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Profesor MCSD Mañana\Downloads\"/>
    </mc:Choice>
  </mc:AlternateContent>
  <xr:revisionPtr revIDLastSave="0" documentId="13_ncr:1_{8291EBB7-CA9A-466C-A660-1BCAB4402B84}" xr6:coauthVersionLast="47" xr6:coauthVersionMax="47" xr10:uidLastSave="{00000000-0000-0000-0000-000000000000}"/>
  <bookViews>
    <workbookView xWindow="-120" yWindow="-120" windowWidth="29040" windowHeight="15720" tabRatio="738" firstSheet="3" activeTab="3" xr2:uid="{00000000-000D-0000-FFFF-FFFF00000000}"/>
  </bookViews>
  <sheets>
    <sheet name="Informe cualitativo" sheetId="95" state="hidden" r:id="rId1"/>
    <sheet name="Total asistencia bueno" sheetId="107" state="hidden" r:id="rId2"/>
    <sheet name="Equipos encendidos" sheetId="123" state="hidden" r:id="rId3"/>
    <sheet name="Mayo" sheetId="151" r:id="rId4"/>
    <sheet name="Abril" sheetId="150" r:id="rId5"/>
    <sheet name="Marzo" sheetId="149" r:id="rId6"/>
    <sheet name="Febrero" sheetId="148" r:id="rId7"/>
    <sheet name="Enero" sheetId="147" r:id="rId8"/>
    <sheet name="Diciembre" sheetId="146" r:id="rId9"/>
    <sheet name="Noviembre" sheetId="145" r:id="rId10"/>
    <sheet name="Octubre" sheetId="87" r:id="rId11"/>
    <sheet name="Junio" sheetId="152" r:id="rId12"/>
    <sheet name="Totales" sheetId="140" r:id="rId13"/>
    <sheet name="Fotos" sheetId="141" r:id="rId14"/>
    <sheet name="Notas" sheetId="142" r:id="rId15"/>
    <sheet name="Proyectos" sheetId="144" r:id="rId16"/>
    <sheet name="Informe 1" sheetId="127" state="hidden" r:id="rId17"/>
    <sheet name="Listado" sheetId="85" state="hidden" r:id="rId18"/>
  </sheets>
  <externalReferences>
    <externalReference r:id="rId19"/>
  </externalReferences>
  <definedNames>
    <definedName name="_xlnm._FilterDatabase" localSheetId="16" hidden="1">'Informe 1'!$A$1:$K$26</definedName>
    <definedName name="_xlnm._FilterDatabase" localSheetId="14" hidden="1">Notas!$A$1:$AF$20</definedName>
    <definedName name="_xlnm._FilterDatabase" localSheetId="15" hidden="1">Proyectos!$A$1:$J$16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44" l="1"/>
  <c r="B2" i="144"/>
  <c r="C2" i="144"/>
  <c r="A3" i="144"/>
  <c r="B3" i="144"/>
  <c r="C3" i="144"/>
  <c r="A4" i="144"/>
  <c r="B4" i="144"/>
  <c r="C4" i="144"/>
  <c r="A5" i="144"/>
  <c r="B5" i="144"/>
  <c r="C5" i="144"/>
  <c r="A6" i="144"/>
  <c r="B6" i="144"/>
  <c r="C6" i="144"/>
  <c r="A7" i="144"/>
  <c r="B7" i="144"/>
  <c r="C7" i="144"/>
  <c r="A8" i="144"/>
  <c r="B8" i="144"/>
  <c r="C8" i="144"/>
  <c r="A9" i="144"/>
  <c r="B9" i="144"/>
  <c r="C9" i="144"/>
  <c r="A10" i="144"/>
  <c r="B10" i="144"/>
  <c r="C10" i="144"/>
  <c r="A11" i="144"/>
  <c r="B11" i="144"/>
  <c r="C11" i="144"/>
  <c r="A12" i="144"/>
  <c r="B12" i="144"/>
  <c r="C12" i="144"/>
  <c r="A13" i="144"/>
  <c r="B13" i="144"/>
  <c r="C13" i="144"/>
  <c r="A14" i="144"/>
  <c r="B14" i="144"/>
  <c r="C14" i="144"/>
  <c r="A15" i="144"/>
  <c r="B15" i="144"/>
  <c r="C15" i="144"/>
  <c r="A16" i="144"/>
  <c r="B16" i="144"/>
  <c r="C16" i="144"/>
  <c r="A17" i="144"/>
  <c r="B17" i="144"/>
  <c r="C17" i="144"/>
  <c r="A18" i="144"/>
  <c r="B18" i="144"/>
  <c r="C18" i="144"/>
  <c r="A19" i="144"/>
  <c r="B19" i="144"/>
  <c r="C19" i="144"/>
  <c r="A20" i="144"/>
  <c r="B20" i="144"/>
  <c r="C20" i="144"/>
  <c r="A21" i="144"/>
  <c r="B21" i="144"/>
  <c r="C21" i="144"/>
  <c r="A22" i="144"/>
  <c r="B22" i="144"/>
  <c r="C22" i="144"/>
  <c r="A23" i="144"/>
  <c r="B23" i="144"/>
  <c r="C23" i="144"/>
  <c r="A24" i="144"/>
  <c r="B24" i="144"/>
  <c r="C24" i="144"/>
  <c r="A25" i="144"/>
  <c r="B25" i="144"/>
  <c r="C25" i="144"/>
  <c r="A26" i="144"/>
  <c r="B26" i="144"/>
  <c r="C26" i="144"/>
  <c r="D27" i="140"/>
  <c r="D26" i="140"/>
  <c r="D25" i="140"/>
  <c r="D24" i="140"/>
  <c r="D23" i="140"/>
  <c r="D22" i="140"/>
  <c r="D21" i="140"/>
  <c r="D20" i="140"/>
  <c r="D19" i="140"/>
  <c r="D18" i="140"/>
  <c r="D17" i="140"/>
  <c r="D16" i="140"/>
  <c r="D15" i="140"/>
  <c r="D14" i="140"/>
  <c r="D13" i="140"/>
  <c r="D12" i="140"/>
  <c r="D11" i="140"/>
  <c r="D10" i="140"/>
  <c r="D9" i="140"/>
  <c r="D8" i="140"/>
  <c r="D7" i="140"/>
  <c r="D6" i="140"/>
  <c r="D5" i="140"/>
  <c r="D4" i="140"/>
  <c r="D3" i="140"/>
  <c r="D2" i="140"/>
  <c r="A2" i="107"/>
  <c r="B2" i="107"/>
  <c r="C2" i="107"/>
  <c r="D2" i="107"/>
  <c r="A3" i="107"/>
  <c r="B3" i="107"/>
  <c r="C3" i="107"/>
  <c r="D3" i="107"/>
  <c r="A4" i="107"/>
  <c r="B4" i="107"/>
  <c r="C4" i="107"/>
  <c r="D4" i="107"/>
  <c r="A5" i="107"/>
  <c r="B5" i="107"/>
  <c r="C5" i="107"/>
  <c r="D5" i="107"/>
  <c r="A6" i="107"/>
  <c r="B6" i="107"/>
  <c r="C6" i="107"/>
  <c r="D6" i="107"/>
  <c r="A7" i="107"/>
  <c r="B7" i="107"/>
  <c r="C7" i="107"/>
  <c r="D7" i="107"/>
  <c r="A8" i="107"/>
  <c r="B8" i="107"/>
  <c r="C8" i="107"/>
  <c r="D8" i="107"/>
  <c r="A9" i="107"/>
  <c r="B9" i="107"/>
  <c r="C9" i="107"/>
  <c r="D9" i="107"/>
  <c r="A10" i="107"/>
  <c r="B10" i="107"/>
  <c r="C10" i="107"/>
  <c r="D10" i="107"/>
  <c r="A11" i="107"/>
  <c r="B11" i="107"/>
  <c r="C11" i="107"/>
  <c r="D11" i="107"/>
  <c r="A12" i="107"/>
  <c r="B12" i="107"/>
  <c r="C12" i="107"/>
  <c r="D12" i="107"/>
  <c r="A13" i="107"/>
  <c r="B13" i="107"/>
  <c r="C13" i="107"/>
  <c r="D13" i="107"/>
  <c r="A14" i="107"/>
  <c r="B14" i="107"/>
  <c r="C14" i="107"/>
  <c r="D14" i="107"/>
  <c r="A15" i="107"/>
  <c r="B15" i="107"/>
  <c r="C15" i="107"/>
  <c r="D15" i="107"/>
  <c r="A16" i="107"/>
  <c r="B16" i="107"/>
  <c r="C16" i="107"/>
  <c r="D16" i="107"/>
  <c r="A17" i="107"/>
  <c r="B17" i="107"/>
  <c r="C17" i="107"/>
  <c r="D17" i="107"/>
  <c r="A18" i="107"/>
  <c r="B18" i="107"/>
  <c r="C18" i="107"/>
  <c r="D18" i="107"/>
  <c r="A19" i="107"/>
  <c r="B19" i="107"/>
  <c r="C19" i="107"/>
  <c r="D19" i="107"/>
  <c r="A20" i="107"/>
  <c r="B20" i="107"/>
  <c r="C20" i="107"/>
  <c r="D20" i="107"/>
  <c r="A21" i="107"/>
  <c r="B21" i="107"/>
  <c r="C21" i="107"/>
  <c r="D21" i="107"/>
  <c r="A22" i="107"/>
  <c r="B22" i="107"/>
  <c r="C22" i="107"/>
  <c r="D22" i="107"/>
  <c r="A23" i="107"/>
  <c r="B23" i="107"/>
  <c r="C23" i="107"/>
  <c r="D23" i="107"/>
  <c r="A24" i="107"/>
  <c r="B24" i="107"/>
  <c r="C24" i="107"/>
  <c r="D24" i="107"/>
  <c r="A25" i="107"/>
  <c r="B25" i="107"/>
  <c r="C25" i="107"/>
  <c r="D25" i="107"/>
  <c r="A26" i="107"/>
  <c r="B26" i="107"/>
  <c r="C26" i="107"/>
  <c r="D26" i="107"/>
  <c r="A27" i="107"/>
  <c r="B27" i="107"/>
  <c r="C27" i="107"/>
  <c r="D27" i="107"/>
  <c r="A28" i="107"/>
  <c r="B28" i="107"/>
  <c r="C28" i="107"/>
  <c r="D28" i="107"/>
  <c r="H5" i="150"/>
  <c r="I5" i="150"/>
  <c r="J5" i="150"/>
  <c r="K5" i="150"/>
  <c r="L5" i="150"/>
  <c r="M5" i="150"/>
  <c r="N5" i="150"/>
  <c r="AQ5" i="150"/>
  <c r="H6" i="150"/>
  <c r="AQ6" i="150" s="1"/>
  <c r="I6" i="150"/>
  <c r="J6" i="150"/>
  <c r="K6" i="150"/>
  <c r="L6" i="150"/>
  <c r="M6" i="150"/>
  <c r="N6" i="150"/>
  <c r="H7" i="150"/>
  <c r="AQ7" i="150" s="1"/>
  <c r="I7" i="150"/>
  <c r="J7" i="150"/>
  <c r="K7" i="150"/>
  <c r="L7" i="150"/>
  <c r="M7" i="150"/>
  <c r="N7" i="150"/>
  <c r="H8" i="150"/>
  <c r="AQ8" i="150" s="1"/>
  <c r="I8" i="150"/>
  <c r="J8" i="150"/>
  <c r="K8" i="150"/>
  <c r="L8" i="150"/>
  <c r="M8" i="150"/>
  <c r="N8" i="150"/>
  <c r="H9" i="150"/>
  <c r="AQ9" i="150" s="1"/>
  <c r="I9" i="150"/>
  <c r="J9" i="150"/>
  <c r="K9" i="150"/>
  <c r="L9" i="150"/>
  <c r="M9" i="150"/>
  <c r="N9" i="150"/>
  <c r="H10" i="150"/>
  <c r="I10" i="150"/>
  <c r="J10" i="150"/>
  <c r="K10" i="150"/>
  <c r="L10" i="150"/>
  <c r="M10" i="150"/>
  <c r="N10" i="150"/>
  <c r="AQ10" i="150"/>
  <c r="H11" i="150"/>
  <c r="I11" i="150"/>
  <c r="J11" i="150"/>
  <c r="K11" i="150"/>
  <c r="L11" i="150"/>
  <c r="M11" i="150"/>
  <c r="N11" i="150"/>
  <c r="AQ11" i="150"/>
  <c r="H12" i="150"/>
  <c r="I12" i="150"/>
  <c r="J12" i="150"/>
  <c r="K12" i="150"/>
  <c r="L12" i="150"/>
  <c r="M12" i="150"/>
  <c r="O12" i="150" s="1"/>
  <c r="N12" i="150"/>
  <c r="AQ12" i="150"/>
  <c r="H13" i="150"/>
  <c r="AQ13" i="150" s="1"/>
  <c r="I13" i="150"/>
  <c r="J13" i="150"/>
  <c r="K13" i="150"/>
  <c r="L13" i="150"/>
  <c r="M13" i="150"/>
  <c r="N13" i="150"/>
  <c r="H14" i="150"/>
  <c r="I14" i="150"/>
  <c r="J14" i="150"/>
  <c r="K14" i="150"/>
  <c r="L14" i="150"/>
  <c r="M14" i="150"/>
  <c r="N14" i="150"/>
  <c r="AQ14" i="150"/>
  <c r="H15" i="150"/>
  <c r="I15" i="150"/>
  <c r="J15" i="150"/>
  <c r="K15" i="150"/>
  <c r="L15" i="150"/>
  <c r="M15" i="150"/>
  <c r="N15" i="150"/>
  <c r="P15" i="150"/>
  <c r="AQ15" i="150"/>
  <c r="H16" i="150"/>
  <c r="AQ16" i="150" s="1"/>
  <c r="I16" i="150"/>
  <c r="J16" i="150"/>
  <c r="K16" i="150"/>
  <c r="L16" i="150"/>
  <c r="M16" i="150"/>
  <c r="N16" i="150"/>
  <c r="H17" i="150"/>
  <c r="AQ17" i="150" s="1"/>
  <c r="I17" i="150"/>
  <c r="J17" i="150"/>
  <c r="K17" i="150"/>
  <c r="L17" i="150"/>
  <c r="M17" i="150"/>
  <c r="N17" i="150"/>
  <c r="H18" i="150"/>
  <c r="I18" i="150"/>
  <c r="J18" i="150"/>
  <c r="K18" i="150"/>
  <c r="L18" i="150"/>
  <c r="M18" i="150"/>
  <c r="N18" i="150"/>
  <c r="AQ18" i="150"/>
  <c r="H19" i="150"/>
  <c r="I19" i="150"/>
  <c r="J19" i="150"/>
  <c r="K19" i="150"/>
  <c r="L19" i="150"/>
  <c r="M19" i="150"/>
  <c r="N19" i="150"/>
  <c r="AQ19" i="150"/>
  <c r="H20" i="150"/>
  <c r="I20" i="150"/>
  <c r="J20" i="150"/>
  <c r="K20" i="150"/>
  <c r="L20" i="150"/>
  <c r="M20" i="150"/>
  <c r="N20" i="150"/>
  <c r="O20" i="150"/>
  <c r="AQ20" i="150"/>
  <c r="H21" i="150"/>
  <c r="AQ21" i="150" s="1"/>
  <c r="I21" i="150"/>
  <c r="J21" i="150"/>
  <c r="K21" i="150"/>
  <c r="L21" i="150"/>
  <c r="M21" i="150"/>
  <c r="N21" i="150"/>
  <c r="H22" i="150"/>
  <c r="I22" i="150"/>
  <c r="J22" i="150"/>
  <c r="K22" i="150"/>
  <c r="L22" i="150"/>
  <c r="M22" i="150"/>
  <c r="N22" i="150"/>
  <c r="AQ22" i="150"/>
  <c r="H23" i="150"/>
  <c r="I23" i="150"/>
  <c r="P23" i="150" s="1"/>
  <c r="J23" i="150"/>
  <c r="K23" i="150"/>
  <c r="L23" i="150"/>
  <c r="M23" i="150"/>
  <c r="N23" i="150"/>
  <c r="AQ23" i="150"/>
  <c r="H24" i="150"/>
  <c r="I24" i="150"/>
  <c r="J24" i="150"/>
  <c r="K24" i="150"/>
  <c r="L24" i="150"/>
  <c r="M24" i="150"/>
  <c r="N24" i="150"/>
  <c r="AQ24" i="150"/>
  <c r="H25" i="150"/>
  <c r="AQ25" i="150" s="1"/>
  <c r="I25" i="150"/>
  <c r="J25" i="150"/>
  <c r="K25" i="150"/>
  <c r="L25" i="150"/>
  <c r="M25" i="150"/>
  <c r="N25" i="150"/>
  <c r="H26" i="150"/>
  <c r="AQ26" i="150" s="1"/>
  <c r="I26" i="150"/>
  <c r="J26" i="150"/>
  <c r="K26" i="150"/>
  <c r="L26" i="150"/>
  <c r="M26" i="150"/>
  <c r="N26" i="150"/>
  <c r="H27" i="150"/>
  <c r="AQ27" i="150" s="1"/>
  <c r="I27" i="150"/>
  <c r="J27" i="150"/>
  <c r="K27" i="150"/>
  <c r="L27" i="150"/>
  <c r="M27" i="150"/>
  <c r="N27" i="150"/>
  <c r="H28" i="150"/>
  <c r="I28" i="150"/>
  <c r="J28" i="150"/>
  <c r="K28" i="150"/>
  <c r="L28" i="150"/>
  <c r="M28" i="150"/>
  <c r="O28" i="150" s="1"/>
  <c r="N28" i="150"/>
  <c r="AQ28" i="150"/>
  <c r="H29" i="150"/>
  <c r="AQ29" i="150" s="1"/>
  <c r="I29" i="150"/>
  <c r="J29" i="150"/>
  <c r="K29" i="150"/>
  <c r="L29" i="150"/>
  <c r="M29" i="150"/>
  <c r="N29" i="150"/>
  <c r="H5" i="151"/>
  <c r="AS5" i="151" s="1"/>
  <c r="I5" i="151"/>
  <c r="J5" i="151"/>
  <c r="K5" i="151"/>
  <c r="L5" i="151"/>
  <c r="O5" i="151" s="1"/>
  <c r="M5" i="151"/>
  <c r="N5" i="151"/>
  <c r="H6" i="151"/>
  <c r="AS6" i="151" s="1"/>
  <c r="I6" i="151"/>
  <c r="J6" i="151"/>
  <c r="K6" i="151"/>
  <c r="L6" i="151"/>
  <c r="M6" i="151"/>
  <c r="N6" i="151"/>
  <c r="H7" i="151"/>
  <c r="AS7" i="151" s="1"/>
  <c r="I7" i="151"/>
  <c r="J7" i="151"/>
  <c r="K7" i="151"/>
  <c r="L7" i="151"/>
  <c r="M7" i="151"/>
  <c r="N7" i="151"/>
  <c r="H8" i="151"/>
  <c r="AS8" i="151" s="1"/>
  <c r="I8" i="151"/>
  <c r="P8" i="151" s="1"/>
  <c r="J8" i="151"/>
  <c r="K8" i="151"/>
  <c r="L8" i="151"/>
  <c r="O8" i="151" s="1"/>
  <c r="M8" i="151"/>
  <c r="N8" i="151"/>
  <c r="H9" i="151"/>
  <c r="AS9" i="151" s="1"/>
  <c r="I9" i="151"/>
  <c r="J9" i="151"/>
  <c r="K9" i="151"/>
  <c r="L9" i="151"/>
  <c r="M9" i="151"/>
  <c r="N9" i="151"/>
  <c r="H10" i="151"/>
  <c r="AS10" i="151" s="1"/>
  <c r="I10" i="151"/>
  <c r="J10" i="151"/>
  <c r="K10" i="151"/>
  <c r="L10" i="151"/>
  <c r="M10" i="151"/>
  <c r="N10" i="151"/>
  <c r="H11" i="151"/>
  <c r="AS11" i="151" s="1"/>
  <c r="I11" i="151"/>
  <c r="J11" i="151"/>
  <c r="K11" i="151"/>
  <c r="L11" i="151"/>
  <c r="M11" i="151"/>
  <c r="N11" i="151"/>
  <c r="H12" i="151"/>
  <c r="AS12" i="151" s="1"/>
  <c r="I12" i="151"/>
  <c r="J12" i="151"/>
  <c r="K12" i="151"/>
  <c r="L12" i="151"/>
  <c r="O12" i="151" s="1"/>
  <c r="M12" i="151"/>
  <c r="N12" i="151"/>
  <c r="H13" i="151"/>
  <c r="AS13" i="151" s="1"/>
  <c r="I13" i="151"/>
  <c r="J13" i="151"/>
  <c r="K13" i="151"/>
  <c r="L13" i="151"/>
  <c r="M13" i="151"/>
  <c r="N13" i="151"/>
  <c r="H14" i="151"/>
  <c r="AS14" i="151" s="1"/>
  <c r="I14" i="151"/>
  <c r="J14" i="151"/>
  <c r="K14" i="151"/>
  <c r="L14" i="151"/>
  <c r="M14" i="151"/>
  <c r="N14" i="151"/>
  <c r="H15" i="151"/>
  <c r="AS15" i="151" s="1"/>
  <c r="I15" i="151"/>
  <c r="J15" i="151"/>
  <c r="K15" i="151"/>
  <c r="L15" i="151"/>
  <c r="M15" i="151"/>
  <c r="N15" i="151"/>
  <c r="H16" i="151"/>
  <c r="AS16" i="151" s="1"/>
  <c r="I16" i="151"/>
  <c r="J16" i="151"/>
  <c r="K16" i="151"/>
  <c r="L16" i="151"/>
  <c r="M16" i="151"/>
  <c r="N16" i="151"/>
  <c r="H17" i="151"/>
  <c r="AS17" i="151" s="1"/>
  <c r="I17" i="151"/>
  <c r="J17" i="151"/>
  <c r="K17" i="151"/>
  <c r="L17" i="151"/>
  <c r="M17" i="151"/>
  <c r="N17" i="151"/>
  <c r="H18" i="151"/>
  <c r="AS18" i="151" s="1"/>
  <c r="I18" i="151"/>
  <c r="J18" i="151"/>
  <c r="K18" i="151"/>
  <c r="L18" i="151"/>
  <c r="M18" i="151"/>
  <c r="N18" i="151"/>
  <c r="H19" i="151"/>
  <c r="AS19" i="151" s="1"/>
  <c r="I19" i="151"/>
  <c r="J19" i="151"/>
  <c r="K19" i="151"/>
  <c r="L19" i="151"/>
  <c r="M19" i="151"/>
  <c r="N19" i="151"/>
  <c r="H20" i="151"/>
  <c r="AS20" i="151" s="1"/>
  <c r="I20" i="151"/>
  <c r="J20" i="151"/>
  <c r="K20" i="151"/>
  <c r="L20" i="151"/>
  <c r="P20" i="151" s="1"/>
  <c r="M20" i="151"/>
  <c r="N20" i="151"/>
  <c r="H21" i="151"/>
  <c r="AS21" i="151" s="1"/>
  <c r="I21" i="151"/>
  <c r="J21" i="151"/>
  <c r="K21" i="151"/>
  <c r="L21" i="151"/>
  <c r="M21" i="151"/>
  <c r="N21" i="151"/>
  <c r="H22" i="151"/>
  <c r="AS22" i="151" s="1"/>
  <c r="I22" i="151"/>
  <c r="J22" i="151"/>
  <c r="K22" i="151"/>
  <c r="L22" i="151"/>
  <c r="M22" i="151"/>
  <c r="N22" i="151"/>
  <c r="H23" i="151"/>
  <c r="AS23" i="151" s="1"/>
  <c r="I23" i="151"/>
  <c r="J23" i="151"/>
  <c r="K23" i="151"/>
  <c r="L23" i="151"/>
  <c r="M23" i="151"/>
  <c r="N23" i="151"/>
  <c r="H24" i="151"/>
  <c r="AS24" i="151" s="1"/>
  <c r="I24" i="151"/>
  <c r="J24" i="151"/>
  <c r="K24" i="151"/>
  <c r="L24" i="151"/>
  <c r="O24" i="151" s="1"/>
  <c r="M24" i="151"/>
  <c r="N24" i="151"/>
  <c r="P24" i="151"/>
  <c r="H25" i="151"/>
  <c r="AS25" i="151" s="1"/>
  <c r="I25" i="151"/>
  <c r="J25" i="151"/>
  <c r="K25" i="151"/>
  <c r="L25" i="151"/>
  <c r="M25" i="151"/>
  <c r="N25" i="151"/>
  <c r="H26" i="151"/>
  <c r="AS26" i="151" s="1"/>
  <c r="I26" i="151"/>
  <c r="J26" i="151"/>
  <c r="K26" i="151"/>
  <c r="L26" i="151"/>
  <c r="M26" i="151"/>
  <c r="N26" i="151"/>
  <c r="H27" i="151"/>
  <c r="AS27" i="151" s="1"/>
  <c r="I27" i="151"/>
  <c r="J27" i="151"/>
  <c r="K27" i="151"/>
  <c r="L27" i="151"/>
  <c r="M27" i="151"/>
  <c r="N27" i="151"/>
  <c r="H28" i="151"/>
  <c r="I28" i="151"/>
  <c r="J28" i="151"/>
  <c r="K28" i="151"/>
  <c r="L28" i="151"/>
  <c r="M28" i="151"/>
  <c r="N28" i="151"/>
  <c r="AS28" i="151"/>
  <c r="H29" i="151"/>
  <c r="AS29" i="151" s="1"/>
  <c r="I29" i="151"/>
  <c r="J29" i="151"/>
  <c r="K29" i="151"/>
  <c r="L29" i="151"/>
  <c r="M29" i="151"/>
  <c r="N29" i="151"/>
  <c r="H5" i="152"/>
  <c r="I5" i="152"/>
  <c r="J5" i="152"/>
  <c r="K5" i="152"/>
  <c r="L5" i="152"/>
  <c r="M5" i="152"/>
  <c r="N5" i="152"/>
  <c r="O5" i="152"/>
  <c r="AH5" i="152"/>
  <c r="H6" i="152"/>
  <c r="AH6" i="152" s="1"/>
  <c r="I6" i="152"/>
  <c r="J6" i="152"/>
  <c r="K6" i="152"/>
  <c r="L6" i="152"/>
  <c r="M6" i="152"/>
  <c r="N6" i="152"/>
  <c r="H7" i="152"/>
  <c r="AH7" i="152" s="1"/>
  <c r="I7" i="152"/>
  <c r="J7" i="152"/>
  <c r="K7" i="152"/>
  <c r="L7" i="152"/>
  <c r="M7" i="152"/>
  <c r="N7" i="152"/>
  <c r="H8" i="152"/>
  <c r="AH8" i="152" s="1"/>
  <c r="I8" i="152"/>
  <c r="J8" i="152"/>
  <c r="K8" i="152"/>
  <c r="L8" i="152"/>
  <c r="M8" i="152"/>
  <c r="N8" i="152"/>
  <c r="H9" i="152"/>
  <c r="AH9" i="152" s="1"/>
  <c r="I9" i="152"/>
  <c r="J9" i="152"/>
  <c r="K9" i="152"/>
  <c r="L9" i="152"/>
  <c r="M9" i="152"/>
  <c r="N9" i="152"/>
  <c r="H10" i="152"/>
  <c r="I10" i="152"/>
  <c r="J10" i="152"/>
  <c r="K10" i="152"/>
  <c r="L10" i="152"/>
  <c r="M10" i="152"/>
  <c r="N10" i="152"/>
  <c r="AH10" i="152"/>
  <c r="H11" i="152"/>
  <c r="I11" i="152"/>
  <c r="J11" i="152"/>
  <c r="K11" i="152"/>
  <c r="L11" i="152"/>
  <c r="M11" i="152"/>
  <c r="N11" i="152"/>
  <c r="AH11" i="152"/>
  <c r="H12" i="152"/>
  <c r="AH12" i="152" s="1"/>
  <c r="I12" i="152"/>
  <c r="J12" i="152"/>
  <c r="K12" i="152"/>
  <c r="L12" i="152"/>
  <c r="M12" i="152"/>
  <c r="N12" i="152"/>
  <c r="P12" i="152"/>
  <c r="H13" i="152"/>
  <c r="AH13" i="152" s="1"/>
  <c r="I13" i="152"/>
  <c r="J13" i="152"/>
  <c r="K13" i="152"/>
  <c r="L13" i="152"/>
  <c r="M13" i="152"/>
  <c r="N13" i="152"/>
  <c r="H14" i="152"/>
  <c r="AH14" i="152" s="1"/>
  <c r="I14" i="152"/>
  <c r="J14" i="152"/>
  <c r="K14" i="152"/>
  <c r="L14" i="152"/>
  <c r="M14" i="152"/>
  <c r="N14" i="152"/>
  <c r="H15" i="152"/>
  <c r="I15" i="152"/>
  <c r="J15" i="152"/>
  <c r="K15" i="152"/>
  <c r="L15" i="152"/>
  <c r="P15" i="152" s="1"/>
  <c r="M15" i="152"/>
  <c r="N15" i="152"/>
  <c r="AH15" i="152"/>
  <c r="H16" i="152"/>
  <c r="AH16" i="152" s="1"/>
  <c r="I16" i="152"/>
  <c r="J16" i="152"/>
  <c r="K16" i="152"/>
  <c r="L16" i="152"/>
  <c r="M16" i="152"/>
  <c r="N16" i="152"/>
  <c r="O16" i="152"/>
  <c r="H17" i="152"/>
  <c r="AH17" i="152" s="1"/>
  <c r="I17" i="152"/>
  <c r="J17" i="152"/>
  <c r="K17" i="152"/>
  <c r="L17" i="152"/>
  <c r="M17" i="152"/>
  <c r="N17" i="152"/>
  <c r="H18" i="152"/>
  <c r="I18" i="152"/>
  <c r="J18" i="152"/>
  <c r="K18" i="152"/>
  <c r="L18" i="152"/>
  <c r="M18" i="152"/>
  <c r="N18" i="152"/>
  <c r="AH18" i="152"/>
  <c r="H19" i="152"/>
  <c r="I19" i="152"/>
  <c r="J19" i="152"/>
  <c r="K19" i="152"/>
  <c r="L19" i="152"/>
  <c r="M19" i="152"/>
  <c r="N19" i="152"/>
  <c r="P19" i="152"/>
  <c r="AH19" i="152"/>
  <c r="H20" i="152"/>
  <c r="AH20" i="152" s="1"/>
  <c r="I20" i="152"/>
  <c r="J20" i="152"/>
  <c r="K20" i="152"/>
  <c r="L20" i="152"/>
  <c r="M20" i="152"/>
  <c r="N20" i="152"/>
  <c r="P20" i="152"/>
  <c r="H21" i="152"/>
  <c r="AH21" i="152" s="1"/>
  <c r="I21" i="152"/>
  <c r="J21" i="152"/>
  <c r="K21" i="152"/>
  <c r="L21" i="152"/>
  <c r="M21" i="152"/>
  <c r="N21" i="152"/>
  <c r="H22" i="152"/>
  <c r="AH22" i="152" s="1"/>
  <c r="I22" i="152"/>
  <c r="J22" i="152"/>
  <c r="K22" i="152"/>
  <c r="L22" i="152"/>
  <c r="M22" i="152"/>
  <c r="N22" i="152"/>
  <c r="H23" i="152"/>
  <c r="I23" i="152"/>
  <c r="J23" i="152"/>
  <c r="K23" i="152"/>
  <c r="L23" i="152"/>
  <c r="M23" i="152"/>
  <c r="N23" i="152"/>
  <c r="O23" i="152" s="1"/>
  <c r="AH23" i="152"/>
  <c r="H24" i="152"/>
  <c r="AH24" i="152" s="1"/>
  <c r="I24" i="152"/>
  <c r="J24" i="152"/>
  <c r="K24" i="152"/>
  <c r="L24" i="152"/>
  <c r="M24" i="152"/>
  <c r="N24" i="152"/>
  <c r="H25" i="152"/>
  <c r="AH25" i="152" s="1"/>
  <c r="I25" i="152"/>
  <c r="J25" i="152"/>
  <c r="K25" i="152"/>
  <c r="L25" i="152"/>
  <c r="M25" i="152"/>
  <c r="N25" i="152"/>
  <c r="H26" i="152"/>
  <c r="I26" i="152"/>
  <c r="J26" i="152"/>
  <c r="K26" i="152"/>
  <c r="L26" i="152"/>
  <c r="M26" i="152"/>
  <c r="N26" i="152"/>
  <c r="AH26" i="152"/>
  <c r="H27" i="152"/>
  <c r="I27" i="152"/>
  <c r="J27" i="152"/>
  <c r="K27" i="152"/>
  <c r="L27" i="152"/>
  <c r="M27" i="152"/>
  <c r="N27" i="152"/>
  <c r="AH27" i="152"/>
  <c r="H28" i="152"/>
  <c r="AH28" i="152" s="1"/>
  <c r="I28" i="152"/>
  <c r="J28" i="152"/>
  <c r="K28" i="152"/>
  <c r="L28" i="152"/>
  <c r="M28" i="152"/>
  <c r="N28" i="152"/>
  <c r="P28" i="152"/>
  <c r="H29" i="152"/>
  <c r="AH29" i="152" s="1"/>
  <c r="I29" i="152"/>
  <c r="J29" i="152"/>
  <c r="K29" i="152"/>
  <c r="L29" i="152"/>
  <c r="M29" i="152"/>
  <c r="N29" i="152"/>
  <c r="E29" i="152"/>
  <c r="D29" i="152"/>
  <c r="C29" i="152"/>
  <c r="B29" i="152"/>
  <c r="E28" i="152"/>
  <c r="D28" i="152"/>
  <c r="C28" i="152"/>
  <c r="B28" i="152"/>
  <c r="E27" i="152"/>
  <c r="D27" i="152"/>
  <c r="C27" i="152"/>
  <c r="B27" i="152"/>
  <c r="E26" i="152"/>
  <c r="D26" i="152"/>
  <c r="C26" i="152"/>
  <c r="B26" i="152"/>
  <c r="E25" i="152"/>
  <c r="D25" i="152"/>
  <c r="C25" i="152"/>
  <c r="B25" i="152"/>
  <c r="E24" i="152"/>
  <c r="D24" i="152"/>
  <c r="C24" i="152"/>
  <c r="B24" i="152"/>
  <c r="E23" i="152"/>
  <c r="D23" i="152"/>
  <c r="C23" i="152"/>
  <c r="B23" i="152"/>
  <c r="E22" i="152"/>
  <c r="D22" i="152"/>
  <c r="C22" i="152"/>
  <c r="B22" i="152"/>
  <c r="E21" i="152"/>
  <c r="D21" i="152"/>
  <c r="C21" i="152"/>
  <c r="B21" i="152"/>
  <c r="E20" i="152"/>
  <c r="D20" i="152"/>
  <c r="C20" i="152"/>
  <c r="B20" i="152"/>
  <c r="E19" i="152"/>
  <c r="D19" i="152"/>
  <c r="C19" i="152"/>
  <c r="B19" i="152"/>
  <c r="E18" i="152"/>
  <c r="D18" i="152"/>
  <c r="C18" i="152"/>
  <c r="B18" i="152"/>
  <c r="E17" i="152"/>
  <c r="D17" i="152"/>
  <c r="C17" i="152"/>
  <c r="B17" i="152"/>
  <c r="E16" i="152"/>
  <c r="D16" i="152"/>
  <c r="C16" i="152"/>
  <c r="B16" i="152"/>
  <c r="E15" i="152"/>
  <c r="D15" i="152"/>
  <c r="C15" i="152"/>
  <c r="B15" i="152"/>
  <c r="E14" i="152"/>
  <c r="D14" i="152"/>
  <c r="C14" i="152"/>
  <c r="B14" i="152"/>
  <c r="E13" i="152"/>
  <c r="D13" i="152"/>
  <c r="C13" i="152"/>
  <c r="B13" i="152"/>
  <c r="E12" i="152"/>
  <c r="D12" i="152"/>
  <c r="C12" i="152"/>
  <c r="B12" i="152"/>
  <c r="E11" i="152"/>
  <c r="D11" i="152"/>
  <c r="C11" i="152"/>
  <c r="B11" i="152"/>
  <c r="E10" i="152"/>
  <c r="D10" i="152"/>
  <c r="C10" i="152"/>
  <c r="B10" i="152"/>
  <c r="E9" i="152"/>
  <c r="D9" i="152"/>
  <c r="C9" i="152"/>
  <c r="B9" i="152"/>
  <c r="E8" i="152"/>
  <c r="D8" i="152"/>
  <c r="C8" i="152"/>
  <c r="B8" i="152"/>
  <c r="E7" i="152"/>
  <c r="D7" i="152"/>
  <c r="C7" i="152"/>
  <c r="B7" i="152"/>
  <c r="E6" i="152"/>
  <c r="D6" i="152"/>
  <c r="C6" i="152"/>
  <c r="B6" i="152"/>
  <c r="E5" i="152"/>
  <c r="D5" i="152"/>
  <c r="C5" i="152"/>
  <c r="B5" i="152"/>
  <c r="E4" i="152"/>
  <c r="D4" i="152"/>
  <c r="C4" i="152"/>
  <c r="B4" i="152"/>
  <c r="E29" i="151"/>
  <c r="D29" i="151"/>
  <c r="C29" i="151"/>
  <c r="B29" i="151"/>
  <c r="E28" i="151"/>
  <c r="D28" i="151"/>
  <c r="C28" i="151"/>
  <c r="B28" i="151"/>
  <c r="E27" i="151"/>
  <c r="D27" i="151"/>
  <c r="C27" i="151"/>
  <c r="B27" i="151"/>
  <c r="E26" i="151"/>
  <c r="D26" i="151"/>
  <c r="C26" i="151"/>
  <c r="B26" i="151"/>
  <c r="E25" i="151"/>
  <c r="D25" i="151"/>
  <c r="C25" i="151"/>
  <c r="B25" i="151"/>
  <c r="E24" i="151"/>
  <c r="D24" i="151"/>
  <c r="C24" i="151"/>
  <c r="B24" i="151"/>
  <c r="E23" i="151"/>
  <c r="D23" i="151"/>
  <c r="C23" i="151"/>
  <c r="B23" i="151"/>
  <c r="E22" i="151"/>
  <c r="D22" i="151"/>
  <c r="C22" i="151"/>
  <c r="B22" i="151"/>
  <c r="E21" i="151"/>
  <c r="D21" i="151"/>
  <c r="C21" i="151"/>
  <c r="B21" i="151"/>
  <c r="E20" i="151"/>
  <c r="D20" i="151"/>
  <c r="C20" i="151"/>
  <c r="B20" i="151"/>
  <c r="E19" i="151"/>
  <c r="D19" i="151"/>
  <c r="C19" i="151"/>
  <c r="B19" i="151"/>
  <c r="E18" i="151"/>
  <c r="D18" i="151"/>
  <c r="C18" i="151"/>
  <c r="B18" i="151"/>
  <c r="E17" i="151"/>
  <c r="D17" i="151"/>
  <c r="C17" i="151"/>
  <c r="B17" i="151"/>
  <c r="E16" i="151"/>
  <c r="D16" i="151"/>
  <c r="C16" i="151"/>
  <c r="B16" i="151"/>
  <c r="E15" i="151"/>
  <c r="D15" i="151"/>
  <c r="C15" i="151"/>
  <c r="B15" i="151"/>
  <c r="E14" i="151"/>
  <c r="D14" i="151"/>
  <c r="C14" i="151"/>
  <c r="B14" i="151"/>
  <c r="E13" i="151"/>
  <c r="D13" i="151"/>
  <c r="C13" i="151"/>
  <c r="B13" i="151"/>
  <c r="E12" i="151"/>
  <c r="D12" i="151"/>
  <c r="C12" i="151"/>
  <c r="B12" i="151"/>
  <c r="E11" i="151"/>
  <c r="D11" i="151"/>
  <c r="C11" i="151"/>
  <c r="B11" i="151"/>
  <c r="E10" i="151"/>
  <c r="D10" i="151"/>
  <c r="C10" i="151"/>
  <c r="B10" i="151"/>
  <c r="E9" i="151"/>
  <c r="D9" i="151"/>
  <c r="C9" i="151"/>
  <c r="B9" i="151"/>
  <c r="E8" i="151"/>
  <c r="D8" i="151"/>
  <c r="C8" i="151"/>
  <c r="B8" i="151"/>
  <c r="E7" i="151"/>
  <c r="D7" i="151"/>
  <c r="C7" i="151"/>
  <c r="B7" i="151"/>
  <c r="E6" i="151"/>
  <c r="D6" i="151"/>
  <c r="C6" i="151"/>
  <c r="B6" i="151"/>
  <c r="E5" i="151"/>
  <c r="D5" i="151"/>
  <c r="C5" i="151"/>
  <c r="B5" i="151"/>
  <c r="E4" i="151"/>
  <c r="D4" i="151"/>
  <c r="C4" i="151"/>
  <c r="B4" i="151"/>
  <c r="E29" i="150"/>
  <c r="D29" i="150"/>
  <c r="C29" i="150"/>
  <c r="B29" i="150"/>
  <c r="E28" i="150"/>
  <c r="D28" i="150"/>
  <c r="C28" i="150"/>
  <c r="B28" i="150"/>
  <c r="E27" i="150"/>
  <c r="D27" i="150"/>
  <c r="C27" i="150"/>
  <c r="B27" i="150"/>
  <c r="E26" i="150"/>
  <c r="D26" i="150"/>
  <c r="C26" i="150"/>
  <c r="B26" i="150"/>
  <c r="E25" i="150"/>
  <c r="D25" i="150"/>
  <c r="C25" i="150"/>
  <c r="B25" i="150"/>
  <c r="E24" i="150"/>
  <c r="D24" i="150"/>
  <c r="C24" i="150"/>
  <c r="B24" i="150"/>
  <c r="E23" i="150"/>
  <c r="D23" i="150"/>
  <c r="C23" i="150"/>
  <c r="B23" i="150"/>
  <c r="E22" i="150"/>
  <c r="D22" i="150"/>
  <c r="C22" i="150"/>
  <c r="B22" i="150"/>
  <c r="E21" i="150"/>
  <c r="D21" i="150"/>
  <c r="C21" i="150"/>
  <c r="B21" i="150"/>
  <c r="E20" i="150"/>
  <c r="D20" i="150"/>
  <c r="C20" i="150"/>
  <c r="B20" i="150"/>
  <c r="E19" i="150"/>
  <c r="D19" i="150"/>
  <c r="C19" i="150"/>
  <c r="B19" i="150"/>
  <c r="E18" i="150"/>
  <c r="D18" i="150"/>
  <c r="C18" i="150"/>
  <c r="B18" i="150"/>
  <c r="E17" i="150"/>
  <c r="D17" i="150"/>
  <c r="C17" i="150"/>
  <c r="B17" i="150"/>
  <c r="E16" i="150"/>
  <c r="D16" i="150"/>
  <c r="C16" i="150"/>
  <c r="B16" i="150"/>
  <c r="E15" i="150"/>
  <c r="D15" i="150"/>
  <c r="C15" i="150"/>
  <c r="B15" i="150"/>
  <c r="E14" i="150"/>
  <c r="D14" i="150"/>
  <c r="C14" i="150"/>
  <c r="B14" i="150"/>
  <c r="E13" i="150"/>
  <c r="D13" i="150"/>
  <c r="C13" i="150"/>
  <c r="B13" i="150"/>
  <c r="E12" i="150"/>
  <c r="D12" i="150"/>
  <c r="C12" i="150"/>
  <c r="B12" i="150"/>
  <c r="E11" i="150"/>
  <c r="D11" i="150"/>
  <c r="C11" i="150"/>
  <c r="B11" i="150"/>
  <c r="E10" i="150"/>
  <c r="D10" i="150"/>
  <c r="C10" i="150"/>
  <c r="B10" i="150"/>
  <c r="E9" i="150"/>
  <c r="D9" i="150"/>
  <c r="C9" i="150"/>
  <c r="B9" i="150"/>
  <c r="E8" i="150"/>
  <c r="D8" i="150"/>
  <c r="C8" i="150"/>
  <c r="B8" i="150"/>
  <c r="E7" i="150"/>
  <c r="D7" i="150"/>
  <c r="C7" i="150"/>
  <c r="B7" i="150"/>
  <c r="E6" i="150"/>
  <c r="D6" i="150"/>
  <c r="C6" i="150"/>
  <c r="B6" i="150"/>
  <c r="E5" i="150"/>
  <c r="D5" i="150"/>
  <c r="C5" i="150"/>
  <c r="B5" i="150"/>
  <c r="E4" i="150"/>
  <c r="D4" i="150"/>
  <c r="C4" i="150"/>
  <c r="B4" i="150"/>
  <c r="B52" i="152"/>
  <c r="B48" i="152"/>
  <c r="B50" i="152" s="1"/>
  <c r="N4" i="152"/>
  <c r="M4" i="152"/>
  <c r="L4" i="152"/>
  <c r="K4" i="152"/>
  <c r="J4" i="152"/>
  <c r="I4" i="152"/>
  <c r="H4" i="152"/>
  <c r="AH4" i="152" s="1"/>
  <c r="B52" i="151"/>
  <c r="B48" i="151"/>
  <c r="B50" i="151" s="1"/>
  <c r="N4" i="151"/>
  <c r="M4" i="151"/>
  <c r="L4" i="151"/>
  <c r="K4" i="151"/>
  <c r="J4" i="151"/>
  <c r="I4" i="151"/>
  <c r="H4" i="151"/>
  <c r="AS4" i="151" s="1"/>
  <c r="B52" i="150"/>
  <c r="B48" i="150"/>
  <c r="N4" i="150"/>
  <c r="M4" i="150"/>
  <c r="L4" i="150"/>
  <c r="K4" i="150"/>
  <c r="J4" i="150"/>
  <c r="I4" i="150"/>
  <c r="H4" i="150"/>
  <c r="AQ4" i="150" s="1"/>
  <c r="B48" i="149"/>
  <c r="B50" i="149" s="1"/>
  <c r="N29" i="149"/>
  <c r="M29" i="149"/>
  <c r="L29" i="149"/>
  <c r="K29" i="149"/>
  <c r="J29" i="149"/>
  <c r="I29" i="149"/>
  <c r="H29" i="149"/>
  <c r="AQ29" i="149" s="1"/>
  <c r="E29" i="149"/>
  <c r="D29" i="149"/>
  <c r="C29" i="149"/>
  <c r="B29" i="149"/>
  <c r="N28" i="149"/>
  <c r="M28" i="149"/>
  <c r="L28" i="149"/>
  <c r="O28" i="149" s="1"/>
  <c r="K28" i="149"/>
  <c r="J28" i="149"/>
  <c r="I28" i="149"/>
  <c r="H28" i="149"/>
  <c r="AQ28" i="149" s="1"/>
  <c r="E28" i="149"/>
  <c r="D28" i="149"/>
  <c r="C28" i="149"/>
  <c r="B28" i="149"/>
  <c r="N27" i="149"/>
  <c r="M27" i="149"/>
  <c r="L27" i="149"/>
  <c r="K27" i="149"/>
  <c r="J27" i="149"/>
  <c r="I27" i="149"/>
  <c r="H27" i="149"/>
  <c r="AQ27" i="149" s="1"/>
  <c r="E27" i="149"/>
  <c r="D27" i="149"/>
  <c r="C27" i="149"/>
  <c r="B27" i="149"/>
  <c r="N26" i="149"/>
  <c r="M26" i="149"/>
  <c r="L26" i="149"/>
  <c r="K26" i="149"/>
  <c r="J26" i="149"/>
  <c r="I26" i="149"/>
  <c r="H26" i="149"/>
  <c r="AQ26" i="149" s="1"/>
  <c r="E26" i="149"/>
  <c r="D26" i="149"/>
  <c r="C26" i="149"/>
  <c r="B26" i="149"/>
  <c r="N25" i="149"/>
  <c r="M25" i="149"/>
  <c r="L25" i="149"/>
  <c r="K25" i="149"/>
  <c r="J25" i="149"/>
  <c r="I25" i="149"/>
  <c r="H25" i="149"/>
  <c r="AQ25" i="149" s="1"/>
  <c r="E25" i="149"/>
  <c r="D25" i="149"/>
  <c r="C25" i="149"/>
  <c r="B25" i="149"/>
  <c r="N24" i="149"/>
  <c r="M24" i="149"/>
  <c r="L24" i="149"/>
  <c r="K24" i="149"/>
  <c r="J24" i="149"/>
  <c r="I24" i="149"/>
  <c r="H24" i="149"/>
  <c r="AQ24" i="149" s="1"/>
  <c r="E24" i="149"/>
  <c r="D24" i="149"/>
  <c r="C24" i="149"/>
  <c r="B24" i="149"/>
  <c r="N23" i="149"/>
  <c r="M23" i="149"/>
  <c r="L23" i="149"/>
  <c r="K23" i="149"/>
  <c r="J23" i="149"/>
  <c r="I23" i="149"/>
  <c r="H23" i="149"/>
  <c r="AQ23" i="149" s="1"/>
  <c r="E23" i="149"/>
  <c r="D23" i="149"/>
  <c r="C23" i="149"/>
  <c r="B23" i="149"/>
  <c r="N22" i="149"/>
  <c r="M22" i="149"/>
  <c r="L22" i="149"/>
  <c r="O22" i="149" s="1"/>
  <c r="K22" i="149"/>
  <c r="J22" i="149"/>
  <c r="I22" i="149"/>
  <c r="H22" i="149"/>
  <c r="AQ22" i="149" s="1"/>
  <c r="E22" i="149"/>
  <c r="D22" i="149"/>
  <c r="C22" i="149"/>
  <c r="B22" i="149"/>
  <c r="N21" i="149"/>
  <c r="M21" i="149"/>
  <c r="L21" i="149"/>
  <c r="K21" i="149"/>
  <c r="J21" i="149"/>
  <c r="I21" i="149"/>
  <c r="H21" i="149"/>
  <c r="AQ21" i="149" s="1"/>
  <c r="E21" i="149"/>
  <c r="D21" i="149"/>
  <c r="C21" i="149"/>
  <c r="B21" i="149"/>
  <c r="N20" i="149"/>
  <c r="M20" i="149"/>
  <c r="L20" i="149"/>
  <c r="K20" i="149"/>
  <c r="J20" i="149"/>
  <c r="I20" i="149"/>
  <c r="H20" i="149"/>
  <c r="AQ20" i="149" s="1"/>
  <c r="E20" i="149"/>
  <c r="D20" i="149"/>
  <c r="C20" i="149"/>
  <c r="B20" i="149"/>
  <c r="N19" i="149"/>
  <c r="M19" i="149"/>
  <c r="L19" i="149"/>
  <c r="K19" i="149"/>
  <c r="J19" i="149"/>
  <c r="I19" i="149"/>
  <c r="H19" i="149"/>
  <c r="AQ19" i="149" s="1"/>
  <c r="E19" i="149"/>
  <c r="D19" i="149"/>
  <c r="C19" i="149"/>
  <c r="B19" i="149"/>
  <c r="N18" i="149"/>
  <c r="M18" i="149"/>
  <c r="L18" i="149"/>
  <c r="K18" i="149"/>
  <c r="J18" i="149"/>
  <c r="I18" i="149"/>
  <c r="H18" i="149"/>
  <c r="AQ18" i="149" s="1"/>
  <c r="E18" i="149"/>
  <c r="D18" i="149"/>
  <c r="C18" i="149"/>
  <c r="B18" i="149"/>
  <c r="N17" i="149"/>
  <c r="M17" i="149"/>
  <c r="L17" i="149"/>
  <c r="K17" i="149"/>
  <c r="J17" i="149"/>
  <c r="I17" i="149"/>
  <c r="H17" i="149"/>
  <c r="AQ17" i="149" s="1"/>
  <c r="E17" i="149"/>
  <c r="D17" i="149"/>
  <c r="C17" i="149"/>
  <c r="B17" i="149"/>
  <c r="N16" i="149"/>
  <c r="M16" i="149"/>
  <c r="L16" i="149"/>
  <c r="O16" i="149" s="1"/>
  <c r="K16" i="149"/>
  <c r="J16" i="149"/>
  <c r="I16" i="149"/>
  <c r="H16" i="149"/>
  <c r="AQ16" i="149" s="1"/>
  <c r="E16" i="149"/>
  <c r="D16" i="149"/>
  <c r="C16" i="149"/>
  <c r="B16" i="149"/>
  <c r="N15" i="149"/>
  <c r="M15" i="149"/>
  <c r="L15" i="149"/>
  <c r="K15" i="149"/>
  <c r="J15" i="149"/>
  <c r="I15" i="149"/>
  <c r="H15" i="149"/>
  <c r="AQ15" i="149" s="1"/>
  <c r="E15" i="149"/>
  <c r="D15" i="149"/>
  <c r="C15" i="149"/>
  <c r="B15" i="149"/>
  <c r="N14" i="149"/>
  <c r="M14" i="149"/>
  <c r="L14" i="149"/>
  <c r="K14" i="149"/>
  <c r="J14" i="149"/>
  <c r="I14" i="149"/>
  <c r="H14" i="149"/>
  <c r="AQ14" i="149" s="1"/>
  <c r="E14" i="149"/>
  <c r="D14" i="149"/>
  <c r="C14" i="149"/>
  <c r="B14" i="149"/>
  <c r="N13" i="149"/>
  <c r="M13" i="149"/>
  <c r="L13" i="149"/>
  <c r="O13" i="149" s="1"/>
  <c r="K13" i="149"/>
  <c r="J13" i="149"/>
  <c r="I13" i="149"/>
  <c r="H13" i="149"/>
  <c r="AQ13" i="149" s="1"/>
  <c r="E13" i="149"/>
  <c r="D13" i="149"/>
  <c r="C13" i="149"/>
  <c r="B13" i="149"/>
  <c r="N12" i="149"/>
  <c r="M12" i="149"/>
  <c r="L12" i="149"/>
  <c r="K12" i="149"/>
  <c r="J12" i="149"/>
  <c r="I12" i="149"/>
  <c r="H12" i="149"/>
  <c r="AQ12" i="149" s="1"/>
  <c r="E12" i="149"/>
  <c r="D12" i="149"/>
  <c r="C12" i="149"/>
  <c r="B12" i="149"/>
  <c r="N11" i="149"/>
  <c r="M11" i="149"/>
  <c r="L11" i="149"/>
  <c r="K11" i="149"/>
  <c r="J11" i="149"/>
  <c r="I11" i="149"/>
  <c r="H11" i="149"/>
  <c r="AQ11" i="149" s="1"/>
  <c r="E11" i="149"/>
  <c r="D11" i="149"/>
  <c r="C11" i="149"/>
  <c r="B11" i="149"/>
  <c r="N10" i="149"/>
  <c r="M10" i="149"/>
  <c r="L10" i="149"/>
  <c r="O10" i="149" s="1"/>
  <c r="K10" i="149"/>
  <c r="J10" i="149"/>
  <c r="I10" i="149"/>
  <c r="H10" i="149"/>
  <c r="AQ10" i="149" s="1"/>
  <c r="E10" i="149"/>
  <c r="D10" i="149"/>
  <c r="C10" i="149"/>
  <c r="B10" i="149"/>
  <c r="N9" i="149"/>
  <c r="M9" i="149"/>
  <c r="L9" i="149"/>
  <c r="K9" i="149"/>
  <c r="J9" i="149"/>
  <c r="I9" i="149"/>
  <c r="H9" i="149"/>
  <c r="AQ9" i="149" s="1"/>
  <c r="E9" i="149"/>
  <c r="D9" i="149"/>
  <c r="C9" i="149"/>
  <c r="B9" i="149"/>
  <c r="N8" i="149"/>
  <c r="M8" i="149"/>
  <c r="L8" i="149"/>
  <c r="K8" i="149"/>
  <c r="J8" i="149"/>
  <c r="I8" i="149"/>
  <c r="H8" i="149"/>
  <c r="AQ8" i="149" s="1"/>
  <c r="E8" i="149"/>
  <c r="D8" i="149"/>
  <c r="C8" i="149"/>
  <c r="B8" i="149"/>
  <c r="N7" i="149"/>
  <c r="M7" i="149"/>
  <c r="L7" i="149"/>
  <c r="O7" i="149" s="1"/>
  <c r="K7" i="149"/>
  <c r="J7" i="149"/>
  <c r="I7" i="149"/>
  <c r="H7" i="149"/>
  <c r="AQ7" i="149" s="1"/>
  <c r="E7" i="149"/>
  <c r="D7" i="149"/>
  <c r="C7" i="149"/>
  <c r="B7" i="149"/>
  <c r="N6" i="149"/>
  <c r="M6" i="149"/>
  <c r="L6" i="149"/>
  <c r="K6" i="149"/>
  <c r="J6" i="149"/>
  <c r="I6" i="149"/>
  <c r="H6" i="149"/>
  <c r="AQ6" i="149" s="1"/>
  <c r="E6" i="149"/>
  <c r="D6" i="149"/>
  <c r="C6" i="149"/>
  <c r="B6" i="149"/>
  <c r="N5" i="149"/>
  <c r="M5" i="149"/>
  <c r="L5" i="149"/>
  <c r="K5" i="149"/>
  <c r="J5" i="149"/>
  <c r="I5" i="149"/>
  <c r="H5" i="149"/>
  <c r="AQ5" i="149" s="1"/>
  <c r="E5" i="149"/>
  <c r="D5" i="149"/>
  <c r="C5" i="149"/>
  <c r="B5" i="149"/>
  <c r="N4" i="149"/>
  <c r="M4" i="149"/>
  <c r="L4" i="149"/>
  <c r="O4" i="149" s="1"/>
  <c r="K4" i="149"/>
  <c r="J4" i="149"/>
  <c r="I4" i="149"/>
  <c r="H4" i="149"/>
  <c r="AQ4" i="149" s="1"/>
  <c r="E4" i="149"/>
  <c r="D4" i="149"/>
  <c r="C4" i="149"/>
  <c r="B4" i="149"/>
  <c r="B48" i="148"/>
  <c r="B50" i="148" s="1"/>
  <c r="N29" i="148"/>
  <c r="M29" i="148"/>
  <c r="L29" i="148"/>
  <c r="K29" i="148"/>
  <c r="J29" i="148"/>
  <c r="I29" i="148"/>
  <c r="H29" i="148"/>
  <c r="AR29" i="148" s="1"/>
  <c r="E29" i="148"/>
  <c r="D29" i="148"/>
  <c r="C29" i="148"/>
  <c r="B29" i="148"/>
  <c r="N28" i="148"/>
  <c r="M28" i="148"/>
  <c r="L28" i="148"/>
  <c r="K28" i="148"/>
  <c r="J28" i="148"/>
  <c r="I28" i="148"/>
  <c r="H28" i="148"/>
  <c r="AR28" i="148" s="1"/>
  <c r="E28" i="148"/>
  <c r="D28" i="148"/>
  <c r="C28" i="148"/>
  <c r="B28" i="148"/>
  <c r="N27" i="148"/>
  <c r="M27" i="148"/>
  <c r="L27" i="148"/>
  <c r="K27" i="148"/>
  <c r="J27" i="148"/>
  <c r="I27" i="148"/>
  <c r="H27" i="148"/>
  <c r="AR27" i="148" s="1"/>
  <c r="E27" i="148"/>
  <c r="D27" i="148"/>
  <c r="C27" i="148"/>
  <c r="B27" i="148"/>
  <c r="N26" i="148"/>
  <c r="M26" i="148"/>
  <c r="L26" i="148"/>
  <c r="K26" i="148"/>
  <c r="J26" i="148"/>
  <c r="I26" i="148"/>
  <c r="H26" i="148"/>
  <c r="AR26" i="148" s="1"/>
  <c r="E26" i="148"/>
  <c r="D26" i="148"/>
  <c r="C26" i="148"/>
  <c r="B26" i="148"/>
  <c r="N25" i="148"/>
  <c r="M25" i="148"/>
  <c r="L25" i="148"/>
  <c r="K25" i="148"/>
  <c r="J25" i="148"/>
  <c r="I25" i="148"/>
  <c r="H25" i="148"/>
  <c r="AR25" i="148" s="1"/>
  <c r="E25" i="148"/>
  <c r="D25" i="148"/>
  <c r="C25" i="148"/>
  <c r="B25" i="148"/>
  <c r="N24" i="148"/>
  <c r="M24" i="148"/>
  <c r="L24" i="148"/>
  <c r="K24" i="148"/>
  <c r="J24" i="148"/>
  <c r="I24" i="148"/>
  <c r="H24" i="148"/>
  <c r="AR24" i="148" s="1"/>
  <c r="E24" i="148"/>
  <c r="D24" i="148"/>
  <c r="C24" i="148"/>
  <c r="B24" i="148"/>
  <c r="N23" i="148"/>
  <c r="M23" i="148"/>
  <c r="L23" i="148"/>
  <c r="K23" i="148"/>
  <c r="J23" i="148"/>
  <c r="I23" i="148"/>
  <c r="H23" i="148"/>
  <c r="AR23" i="148" s="1"/>
  <c r="E23" i="148"/>
  <c r="D23" i="148"/>
  <c r="C23" i="148"/>
  <c r="B23" i="148"/>
  <c r="N22" i="148"/>
  <c r="M22" i="148"/>
  <c r="L22" i="148"/>
  <c r="K22" i="148"/>
  <c r="J22" i="148"/>
  <c r="I22" i="148"/>
  <c r="H22" i="148"/>
  <c r="AR22" i="148" s="1"/>
  <c r="E22" i="148"/>
  <c r="D22" i="148"/>
  <c r="C22" i="148"/>
  <c r="B22" i="148"/>
  <c r="N21" i="148"/>
  <c r="M21" i="148"/>
  <c r="L21" i="148"/>
  <c r="K21" i="148"/>
  <c r="J21" i="148"/>
  <c r="I21" i="148"/>
  <c r="H21" i="148"/>
  <c r="AR21" i="148" s="1"/>
  <c r="E21" i="148"/>
  <c r="D21" i="148"/>
  <c r="C21" i="148"/>
  <c r="B21" i="148"/>
  <c r="N20" i="148"/>
  <c r="M20" i="148"/>
  <c r="L20" i="148"/>
  <c r="K20" i="148"/>
  <c r="J20" i="148"/>
  <c r="I20" i="148"/>
  <c r="H20" i="148"/>
  <c r="AR20" i="148" s="1"/>
  <c r="E20" i="148"/>
  <c r="D20" i="148"/>
  <c r="C20" i="148"/>
  <c r="B20" i="148"/>
  <c r="N19" i="148"/>
  <c r="M19" i="148"/>
  <c r="L19" i="148"/>
  <c r="K19" i="148"/>
  <c r="J19" i="148"/>
  <c r="I19" i="148"/>
  <c r="H19" i="148"/>
  <c r="AR19" i="148" s="1"/>
  <c r="E19" i="148"/>
  <c r="D19" i="148"/>
  <c r="C19" i="148"/>
  <c r="B19" i="148"/>
  <c r="N18" i="148"/>
  <c r="M18" i="148"/>
  <c r="L18" i="148"/>
  <c r="K18" i="148"/>
  <c r="J18" i="148"/>
  <c r="I18" i="148"/>
  <c r="H18" i="148"/>
  <c r="AR18" i="148" s="1"/>
  <c r="E18" i="148"/>
  <c r="D18" i="148"/>
  <c r="C18" i="148"/>
  <c r="B18" i="148"/>
  <c r="N17" i="148"/>
  <c r="M17" i="148"/>
  <c r="L17" i="148"/>
  <c r="K17" i="148"/>
  <c r="J17" i="148"/>
  <c r="I17" i="148"/>
  <c r="H17" i="148"/>
  <c r="AR17" i="148" s="1"/>
  <c r="E17" i="148"/>
  <c r="D17" i="148"/>
  <c r="C17" i="148"/>
  <c r="B17" i="148"/>
  <c r="N16" i="148"/>
  <c r="M16" i="148"/>
  <c r="L16" i="148"/>
  <c r="K16" i="148"/>
  <c r="J16" i="148"/>
  <c r="I16" i="148"/>
  <c r="H16" i="148"/>
  <c r="AR16" i="148" s="1"/>
  <c r="E16" i="148"/>
  <c r="D16" i="148"/>
  <c r="C16" i="148"/>
  <c r="B16" i="148"/>
  <c r="N15" i="148"/>
  <c r="M15" i="148"/>
  <c r="L15" i="148"/>
  <c r="K15" i="148"/>
  <c r="J15" i="148"/>
  <c r="I15" i="148"/>
  <c r="H15" i="148"/>
  <c r="AR15" i="148" s="1"/>
  <c r="E15" i="148"/>
  <c r="D15" i="148"/>
  <c r="C15" i="148"/>
  <c r="B15" i="148"/>
  <c r="N14" i="148"/>
  <c r="M14" i="148"/>
  <c r="L14" i="148"/>
  <c r="K14" i="148"/>
  <c r="J14" i="148"/>
  <c r="I14" i="148"/>
  <c r="H14" i="148"/>
  <c r="AR14" i="148" s="1"/>
  <c r="E14" i="148"/>
  <c r="D14" i="148"/>
  <c r="C14" i="148"/>
  <c r="B14" i="148"/>
  <c r="N13" i="148"/>
  <c r="M13" i="148"/>
  <c r="L13" i="148"/>
  <c r="K13" i="148"/>
  <c r="J13" i="148"/>
  <c r="I13" i="148"/>
  <c r="H13" i="148"/>
  <c r="AR13" i="148" s="1"/>
  <c r="E13" i="148"/>
  <c r="D13" i="148"/>
  <c r="C13" i="148"/>
  <c r="B13" i="148"/>
  <c r="N12" i="148"/>
  <c r="M12" i="148"/>
  <c r="L12" i="148"/>
  <c r="K12" i="148"/>
  <c r="J12" i="148"/>
  <c r="I12" i="148"/>
  <c r="H12" i="148"/>
  <c r="AR12" i="148" s="1"/>
  <c r="E12" i="148"/>
  <c r="D12" i="148"/>
  <c r="C12" i="148"/>
  <c r="B12" i="148"/>
  <c r="N11" i="148"/>
  <c r="M11" i="148"/>
  <c r="L11" i="148"/>
  <c r="K11" i="148"/>
  <c r="J11" i="148"/>
  <c r="I11" i="148"/>
  <c r="H11" i="148"/>
  <c r="AR11" i="148" s="1"/>
  <c r="E11" i="148"/>
  <c r="D11" i="148"/>
  <c r="C11" i="148"/>
  <c r="B11" i="148"/>
  <c r="N10" i="148"/>
  <c r="M10" i="148"/>
  <c r="L10" i="148"/>
  <c r="K10" i="148"/>
  <c r="J10" i="148"/>
  <c r="I10" i="148"/>
  <c r="H10" i="148"/>
  <c r="AR10" i="148" s="1"/>
  <c r="E10" i="148"/>
  <c r="D10" i="148"/>
  <c r="C10" i="148"/>
  <c r="B10" i="148"/>
  <c r="N9" i="148"/>
  <c r="M9" i="148"/>
  <c r="L9" i="148"/>
  <c r="K9" i="148"/>
  <c r="J9" i="148"/>
  <c r="I9" i="148"/>
  <c r="H9" i="148"/>
  <c r="AR9" i="148" s="1"/>
  <c r="E9" i="148"/>
  <c r="D9" i="148"/>
  <c r="C9" i="148"/>
  <c r="B9" i="148"/>
  <c r="N8" i="148"/>
  <c r="M8" i="148"/>
  <c r="L8" i="148"/>
  <c r="K8" i="148"/>
  <c r="J8" i="148"/>
  <c r="I8" i="148"/>
  <c r="H8" i="148"/>
  <c r="AR8" i="148" s="1"/>
  <c r="E8" i="148"/>
  <c r="D8" i="148"/>
  <c r="C8" i="148"/>
  <c r="B8" i="148"/>
  <c r="N7" i="148"/>
  <c r="M7" i="148"/>
  <c r="L7" i="148"/>
  <c r="K7" i="148"/>
  <c r="J7" i="148"/>
  <c r="I7" i="148"/>
  <c r="H7" i="148"/>
  <c r="AR7" i="148" s="1"/>
  <c r="E7" i="148"/>
  <c r="D7" i="148"/>
  <c r="C7" i="148"/>
  <c r="B7" i="148"/>
  <c r="N6" i="148"/>
  <c r="M6" i="148"/>
  <c r="L6" i="148"/>
  <c r="K6" i="148"/>
  <c r="J6" i="148"/>
  <c r="I6" i="148"/>
  <c r="H6" i="148"/>
  <c r="AR6" i="148" s="1"/>
  <c r="E6" i="148"/>
  <c r="D6" i="148"/>
  <c r="C6" i="148"/>
  <c r="B6" i="148"/>
  <c r="N5" i="148"/>
  <c r="M5" i="148"/>
  <c r="L5" i="148"/>
  <c r="K5" i="148"/>
  <c r="J5" i="148"/>
  <c r="I5" i="148"/>
  <c r="H5" i="148"/>
  <c r="AR5" i="148" s="1"/>
  <c r="E5" i="148"/>
  <c r="D5" i="148"/>
  <c r="C5" i="148"/>
  <c r="B5" i="148"/>
  <c r="N4" i="148"/>
  <c r="M4" i="148"/>
  <c r="L4" i="148"/>
  <c r="K4" i="148"/>
  <c r="J4" i="148"/>
  <c r="I4" i="148"/>
  <c r="H4" i="148"/>
  <c r="AR4" i="148" s="1"/>
  <c r="E4" i="148"/>
  <c r="D4" i="148"/>
  <c r="C4" i="148"/>
  <c r="B4" i="148"/>
  <c r="B48" i="147"/>
  <c r="B50" i="147" s="1"/>
  <c r="N30" i="147"/>
  <c r="M30" i="147"/>
  <c r="L30" i="147"/>
  <c r="K30" i="147"/>
  <c r="J30" i="147"/>
  <c r="I30" i="147"/>
  <c r="H30" i="147"/>
  <c r="AP30" i="147" s="1"/>
  <c r="E30" i="147"/>
  <c r="D30" i="147"/>
  <c r="C30" i="147"/>
  <c r="B30" i="147"/>
  <c r="N29" i="147"/>
  <c r="M29" i="147"/>
  <c r="L29" i="147"/>
  <c r="K29" i="147"/>
  <c r="J29" i="147"/>
  <c r="I29" i="147"/>
  <c r="H29" i="147"/>
  <c r="AP29" i="147" s="1"/>
  <c r="E29" i="147"/>
  <c r="D29" i="147"/>
  <c r="C29" i="147"/>
  <c r="B29" i="147"/>
  <c r="N28" i="147"/>
  <c r="M28" i="147"/>
  <c r="L28" i="147"/>
  <c r="K28" i="147"/>
  <c r="J28" i="147"/>
  <c r="I28" i="147"/>
  <c r="H28" i="147"/>
  <c r="AP28" i="147" s="1"/>
  <c r="E28" i="147"/>
  <c r="D28" i="147"/>
  <c r="C28" i="147"/>
  <c r="B28" i="147"/>
  <c r="N27" i="147"/>
  <c r="M27" i="147"/>
  <c r="L27" i="147"/>
  <c r="K27" i="147"/>
  <c r="J27" i="147"/>
  <c r="I27" i="147"/>
  <c r="H27" i="147"/>
  <c r="AP27" i="147" s="1"/>
  <c r="E27" i="147"/>
  <c r="D27" i="147"/>
  <c r="C27" i="147"/>
  <c r="B27" i="147"/>
  <c r="N26" i="147"/>
  <c r="M26" i="147"/>
  <c r="L26" i="147"/>
  <c r="K26" i="147"/>
  <c r="J26" i="147"/>
  <c r="I26" i="147"/>
  <c r="H26" i="147"/>
  <c r="AP26" i="147" s="1"/>
  <c r="E26" i="147"/>
  <c r="D26" i="147"/>
  <c r="C26" i="147"/>
  <c r="B26" i="147"/>
  <c r="N25" i="147"/>
  <c r="M25" i="147"/>
  <c r="L25" i="147"/>
  <c r="O25" i="147" s="1"/>
  <c r="K25" i="147"/>
  <c r="J25" i="147"/>
  <c r="I25" i="147"/>
  <c r="H25" i="147"/>
  <c r="AP25" i="147" s="1"/>
  <c r="E25" i="147"/>
  <c r="D25" i="147"/>
  <c r="C25" i="147"/>
  <c r="B25" i="147"/>
  <c r="N24" i="147"/>
  <c r="M24" i="147"/>
  <c r="L24" i="147"/>
  <c r="K24" i="147"/>
  <c r="J24" i="147"/>
  <c r="I24" i="147"/>
  <c r="H24" i="147"/>
  <c r="AP24" i="147" s="1"/>
  <c r="E24" i="147"/>
  <c r="D24" i="147"/>
  <c r="C24" i="147"/>
  <c r="B24" i="147"/>
  <c r="N23" i="147"/>
  <c r="M23" i="147"/>
  <c r="L23" i="147"/>
  <c r="K23" i="147"/>
  <c r="J23" i="147"/>
  <c r="I23" i="147"/>
  <c r="H23" i="147"/>
  <c r="AP23" i="147" s="1"/>
  <c r="E23" i="147"/>
  <c r="D23" i="147"/>
  <c r="C23" i="147"/>
  <c r="B23" i="147"/>
  <c r="N22" i="147"/>
  <c r="M22" i="147"/>
  <c r="L22" i="147"/>
  <c r="K22" i="147"/>
  <c r="J22" i="147"/>
  <c r="I22" i="147"/>
  <c r="H22" i="147"/>
  <c r="AP22" i="147" s="1"/>
  <c r="E22" i="147"/>
  <c r="D22" i="147"/>
  <c r="C22" i="147"/>
  <c r="B22" i="147"/>
  <c r="N21" i="147"/>
  <c r="M21" i="147"/>
  <c r="L21" i="147"/>
  <c r="K21" i="147"/>
  <c r="J21" i="147"/>
  <c r="I21" i="147"/>
  <c r="H21" i="147"/>
  <c r="AP21" i="147" s="1"/>
  <c r="E21" i="147"/>
  <c r="D21" i="147"/>
  <c r="C21" i="147"/>
  <c r="B21" i="147"/>
  <c r="N20" i="147"/>
  <c r="M20" i="147"/>
  <c r="L20" i="147"/>
  <c r="K20" i="147"/>
  <c r="J20" i="147"/>
  <c r="I20" i="147"/>
  <c r="H20" i="147"/>
  <c r="AP20" i="147" s="1"/>
  <c r="E20" i="147"/>
  <c r="D20" i="147"/>
  <c r="C20" i="147"/>
  <c r="B20" i="147"/>
  <c r="N19" i="147"/>
  <c r="M19" i="147"/>
  <c r="L19" i="147"/>
  <c r="O19" i="147" s="1"/>
  <c r="K19" i="147"/>
  <c r="J19" i="147"/>
  <c r="I19" i="147"/>
  <c r="H19" i="147"/>
  <c r="AP19" i="147" s="1"/>
  <c r="E19" i="147"/>
  <c r="D19" i="147"/>
  <c r="C19" i="147"/>
  <c r="B19" i="147"/>
  <c r="N18" i="147"/>
  <c r="M18" i="147"/>
  <c r="L18" i="147"/>
  <c r="K18" i="147"/>
  <c r="J18" i="147"/>
  <c r="I18" i="147"/>
  <c r="H18" i="147"/>
  <c r="AP18" i="147" s="1"/>
  <c r="E18" i="147"/>
  <c r="D18" i="147"/>
  <c r="C18" i="147"/>
  <c r="B18" i="147"/>
  <c r="N17" i="147"/>
  <c r="M17" i="147"/>
  <c r="L17" i="147"/>
  <c r="K17" i="147"/>
  <c r="J17" i="147"/>
  <c r="I17" i="147"/>
  <c r="H17" i="147"/>
  <c r="AP17" i="147" s="1"/>
  <c r="E17" i="147"/>
  <c r="D17" i="147"/>
  <c r="C17" i="147"/>
  <c r="B17" i="147"/>
  <c r="N16" i="147"/>
  <c r="M16" i="147"/>
  <c r="L16" i="147"/>
  <c r="K16" i="147"/>
  <c r="J16" i="147"/>
  <c r="I16" i="147"/>
  <c r="H16" i="147"/>
  <c r="AP16" i="147" s="1"/>
  <c r="E16" i="147"/>
  <c r="D16" i="147"/>
  <c r="C16" i="147"/>
  <c r="B16" i="147"/>
  <c r="N15" i="147"/>
  <c r="M15" i="147"/>
  <c r="L15" i="147"/>
  <c r="K15" i="147"/>
  <c r="J15" i="147"/>
  <c r="I15" i="147"/>
  <c r="H15" i="147"/>
  <c r="AP15" i="147" s="1"/>
  <c r="E15" i="147"/>
  <c r="D15" i="147"/>
  <c r="C15" i="147"/>
  <c r="B15" i="147"/>
  <c r="N14" i="147"/>
  <c r="M14" i="147"/>
  <c r="L14" i="147"/>
  <c r="O14" i="147" s="1"/>
  <c r="K14" i="147"/>
  <c r="J14" i="147"/>
  <c r="I14" i="147"/>
  <c r="H14" i="147"/>
  <c r="AP14" i="147" s="1"/>
  <c r="E14" i="147"/>
  <c r="D14" i="147"/>
  <c r="C14" i="147"/>
  <c r="B14" i="147"/>
  <c r="N13" i="147"/>
  <c r="M13" i="147"/>
  <c r="L13" i="147"/>
  <c r="O13" i="147" s="1"/>
  <c r="K13" i="147"/>
  <c r="J13" i="147"/>
  <c r="I13" i="147"/>
  <c r="H13" i="147"/>
  <c r="AP13" i="147" s="1"/>
  <c r="E13" i="147"/>
  <c r="D13" i="147"/>
  <c r="C13" i="147"/>
  <c r="B13" i="147"/>
  <c r="N12" i="147"/>
  <c r="M12" i="147"/>
  <c r="L12" i="147"/>
  <c r="K12" i="147"/>
  <c r="J12" i="147"/>
  <c r="I12" i="147"/>
  <c r="H12" i="147"/>
  <c r="AP12" i="147" s="1"/>
  <c r="E12" i="147"/>
  <c r="D12" i="147"/>
  <c r="C12" i="147"/>
  <c r="B12" i="147"/>
  <c r="N11" i="147"/>
  <c r="M11" i="147"/>
  <c r="L11" i="147"/>
  <c r="K11" i="147"/>
  <c r="J11" i="147"/>
  <c r="I11" i="147"/>
  <c r="H11" i="147"/>
  <c r="AP11" i="147" s="1"/>
  <c r="E11" i="147"/>
  <c r="D11" i="147"/>
  <c r="C11" i="147"/>
  <c r="B11" i="147"/>
  <c r="N10" i="147"/>
  <c r="M10" i="147"/>
  <c r="L10" i="147"/>
  <c r="K10" i="147"/>
  <c r="J10" i="147"/>
  <c r="I10" i="147"/>
  <c r="H10" i="147"/>
  <c r="AP10" i="147" s="1"/>
  <c r="E10" i="147"/>
  <c r="D10" i="147"/>
  <c r="C10" i="147"/>
  <c r="B10" i="147"/>
  <c r="N9" i="147"/>
  <c r="M9" i="147"/>
  <c r="L9" i="147"/>
  <c r="K9" i="147"/>
  <c r="J9" i="147"/>
  <c r="I9" i="147"/>
  <c r="H9" i="147"/>
  <c r="AP9" i="147" s="1"/>
  <c r="E9" i="147"/>
  <c r="D9" i="147"/>
  <c r="C9" i="147"/>
  <c r="B9" i="147"/>
  <c r="N8" i="147"/>
  <c r="M8" i="147"/>
  <c r="L8" i="147"/>
  <c r="K8" i="147"/>
  <c r="J8" i="147"/>
  <c r="I8" i="147"/>
  <c r="H8" i="147"/>
  <c r="AP8" i="147" s="1"/>
  <c r="E8" i="147"/>
  <c r="D8" i="147"/>
  <c r="C8" i="147"/>
  <c r="B8" i="147"/>
  <c r="N7" i="147"/>
  <c r="M7" i="147"/>
  <c r="L7" i="147"/>
  <c r="O7" i="147" s="1"/>
  <c r="K7" i="147"/>
  <c r="J7" i="147"/>
  <c r="I7" i="147"/>
  <c r="H7" i="147"/>
  <c r="AP7" i="147" s="1"/>
  <c r="E7" i="147"/>
  <c r="D7" i="147"/>
  <c r="C7" i="147"/>
  <c r="B7" i="147"/>
  <c r="N6" i="147"/>
  <c r="M6" i="147"/>
  <c r="L6" i="147"/>
  <c r="K6" i="147"/>
  <c r="J6" i="147"/>
  <c r="I6" i="147"/>
  <c r="H6" i="147"/>
  <c r="AP6" i="147" s="1"/>
  <c r="E6" i="147"/>
  <c r="D6" i="147"/>
  <c r="C6" i="147"/>
  <c r="B6" i="147"/>
  <c r="N5" i="147"/>
  <c r="M5" i="147"/>
  <c r="L5" i="147"/>
  <c r="K5" i="147"/>
  <c r="J5" i="147"/>
  <c r="I5" i="147"/>
  <c r="H5" i="147"/>
  <c r="AP5" i="147" s="1"/>
  <c r="E5" i="147"/>
  <c r="D5" i="147"/>
  <c r="C5" i="147"/>
  <c r="B5" i="147"/>
  <c r="B48" i="146"/>
  <c r="B50" i="146" s="1"/>
  <c r="N29" i="146"/>
  <c r="M29" i="146"/>
  <c r="L29" i="146"/>
  <c r="K29" i="146"/>
  <c r="J29" i="146"/>
  <c r="I29" i="146"/>
  <c r="H29" i="146"/>
  <c r="AL29" i="146" s="1"/>
  <c r="E29" i="146"/>
  <c r="D29" i="146"/>
  <c r="C29" i="146"/>
  <c r="B29" i="146"/>
  <c r="N28" i="146"/>
  <c r="M28" i="146"/>
  <c r="L28" i="146"/>
  <c r="K28" i="146"/>
  <c r="J28" i="146"/>
  <c r="I28" i="146"/>
  <c r="H28" i="146"/>
  <c r="AL28" i="146" s="1"/>
  <c r="E28" i="146"/>
  <c r="D28" i="146"/>
  <c r="C28" i="146"/>
  <c r="B28" i="146"/>
  <c r="N27" i="146"/>
  <c r="M27" i="146"/>
  <c r="L27" i="146"/>
  <c r="O27" i="146" s="1"/>
  <c r="K27" i="146"/>
  <c r="J27" i="146"/>
  <c r="I27" i="146"/>
  <c r="H27" i="146"/>
  <c r="AL27" i="146" s="1"/>
  <c r="E27" i="146"/>
  <c r="D27" i="146"/>
  <c r="C27" i="146"/>
  <c r="B27" i="146"/>
  <c r="N26" i="146"/>
  <c r="M26" i="146"/>
  <c r="L26" i="146"/>
  <c r="K26" i="146"/>
  <c r="J26" i="146"/>
  <c r="I26" i="146"/>
  <c r="H26" i="146"/>
  <c r="AL26" i="146" s="1"/>
  <c r="E26" i="146"/>
  <c r="D26" i="146"/>
  <c r="C26" i="146"/>
  <c r="B26" i="146"/>
  <c r="N25" i="146"/>
  <c r="M25" i="146"/>
  <c r="L25" i="146"/>
  <c r="K25" i="146"/>
  <c r="J25" i="146"/>
  <c r="I25" i="146"/>
  <c r="H25" i="146"/>
  <c r="AL25" i="146" s="1"/>
  <c r="E25" i="146"/>
  <c r="D25" i="146"/>
  <c r="C25" i="146"/>
  <c r="B25" i="146"/>
  <c r="N24" i="146"/>
  <c r="M24" i="146"/>
  <c r="L24" i="146"/>
  <c r="K24" i="146"/>
  <c r="J24" i="146"/>
  <c r="I24" i="146"/>
  <c r="H24" i="146"/>
  <c r="AL24" i="146" s="1"/>
  <c r="E24" i="146"/>
  <c r="D24" i="146"/>
  <c r="C24" i="146"/>
  <c r="B24" i="146"/>
  <c r="N23" i="146"/>
  <c r="M23" i="146"/>
  <c r="L23" i="146"/>
  <c r="K23" i="146"/>
  <c r="J23" i="146"/>
  <c r="I23" i="146"/>
  <c r="H23" i="146"/>
  <c r="AL23" i="146" s="1"/>
  <c r="E23" i="146"/>
  <c r="D23" i="146"/>
  <c r="C23" i="146"/>
  <c r="B23" i="146"/>
  <c r="N22" i="146"/>
  <c r="M22" i="146"/>
  <c r="L22" i="146"/>
  <c r="K22" i="146"/>
  <c r="J22" i="146"/>
  <c r="I22" i="146"/>
  <c r="H22" i="146"/>
  <c r="AL22" i="146" s="1"/>
  <c r="E22" i="146"/>
  <c r="D22" i="146"/>
  <c r="C22" i="146"/>
  <c r="B22" i="146"/>
  <c r="N21" i="146"/>
  <c r="M21" i="146"/>
  <c r="L21" i="146"/>
  <c r="K21" i="146"/>
  <c r="J21" i="146"/>
  <c r="I21" i="146"/>
  <c r="H21" i="146"/>
  <c r="AL21" i="146" s="1"/>
  <c r="E21" i="146"/>
  <c r="D21" i="146"/>
  <c r="C21" i="146"/>
  <c r="B21" i="146"/>
  <c r="N20" i="146"/>
  <c r="M20" i="146"/>
  <c r="L20" i="146"/>
  <c r="K20" i="146"/>
  <c r="J20" i="146"/>
  <c r="I20" i="146"/>
  <c r="H20" i="146"/>
  <c r="AL20" i="146" s="1"/>
  <c r="E20" i="146"/>
  <c r="D20" i="146"/>
  <c r="C20" i="146"/>
  <c r="B20" i="146"/>
  <c r="N19" i="146"/>
  <c r="M19" i="146"/>
  <c r="L19" i="146"/>
  <c r="K19" i="146"/>
  <c r="J19" i="146"/>
  <c r="I19" i="146"/>
  <c r="H19" i="146"/>
  <c r="AL19" i="146" s="1"/>
  <c r="E19" i="146"/>
  <c r="D19" i="146"/>
  <c r="C19" i="146"/>
  <c r="B19" i="146"/>
  <c r="N18" i="146"/>
  <c r="M18" i="146"/>
  <c r="L18" i="146"/>
  <c r="K18" i="146"/>
  <c r="J18" i="146"/>
  <c r="I18" i="146"/>
  <c r="H18" i="146"/>
  <c r="AL18" i="146" s="1"/>
  <c r="E18" i="146"/>
  <c r="D18" i="146"/>
  <c r="C18" i="146"/>
  <c r="B18" i="146"/>
  <c r="N17" i="146"/>
  <c r="M17" i="146"/>
  <c r="L17" i="146"/>
  <c r="K17" i="146"/>
  <c r="J17" i="146"/>
  <c r="I17" i="146"/>
  <c r="H17" i="146"/>
  <c r="AL17" i="146" s="1"/>
  <c r="E17" i="146"/>
  <c r="D17" i="146"/>
  <c r="C17" i="146"/>
  <c r="B17" i="146"/>
  <c r="N16" i="146"/>
  <c r="M16" i="146"/>
  <c r="L16" i="146"/>
  <c r="K16" i="146"/>
  <c r="J16" i="146"/>
  <c r="I16" i="146"/>
  <c r="H16" i="146"/>
  <c r="AL16" i="146" s="1"/>
  <c r="E16" i="146"/>
  <c r="D16" i="146"/>
  <c r="C16" i="146"/>
  <c r="B16" i="146"/>
  <c r="N15" i="146"/>
  <c r="M15" i="146"/>
  <c r="L15" i="146"/>
  <c r="O15" i="146" s="1"/>
  <c r="K15" i="146"/>
  <c r="J15" i="146"/>
  <c r="I15" i="146"/>
  <c r="H15" i="146"/>
  <c r="AL15" i="146" s="1"/>
  <c r="E15" i="146"/>
  <c r="D15" i="146"/>
  <c r="C15" i="146"/>
  <c r="B15" i="146"/>
  <c r="N14" i="146"/>
  <c r="M14" i="146"/>
  <c r="L14" i="146"/>
  <c r="K14" i="146"/>
  <c r="J14" i="146"/>
  <c r="I14" i="146"/>
  <c r="H14" i="146"/>
  <c r="AL14" i="146" s="1"/>
  <c r="E14" i="146"/>
  <c r="D14" i="146"/>
  <c r="C14" i="146"/>
  <c r="B14" i="146"/>
  <c r="N13" i="146"/>
  <c r="M13" i="146"/>
  <c r="L13" i="146"/>
  <c r="K13" i="146"/>
  <c r="J13" i="146"/>
  <c r="I13" i="146"/>
  <c r="H13" i="146"/>
  <c r="AL13" i="146" s="1"/>
  <c r="E13" i="146"/>
  <c r="D13" i="146"/>
  <c r="C13" i="146"/>
  <c r="B13" i="146"/>
  <c r="N12" i="146"/>
  <c r="M12" i="146"/>
  <c r="L12" i="146"/>
  <c r="O12" i="146" s="1"/>
  <c r="K12" i="146"/>
  <c r="J12" i="146"/>
  <c r="I12" i="146"/>
  <c r="H12" i="146"/>
  <c r="AL12" i="146" s="1"/>
  <c r="E12" i="146"/>
  <c r="D12" i="146"/>
  <c r="C12" i="146"/>
  <c r="B12" i="146"/>
  <c r="N11" i="146"/>
  <c r="M11" i="146"/>
  <c r="L11" i="146"/>
  <c r="K11" i="146"/>
  <c r="J11" i="146"/>
  <c r="I11" i="146"/>
  <c r="H11" i="146"/>
  <c r="AL11" i="146" s="1"/>
  <c r="E11" i="146"/>
  <c r="D11" i="146"/>
  <c r="C11" i="146"/>
  <c r="B11" i="146"/>
  <c r="N10" i="146"/>
  <c r="M10" i="146"/>
  <c r="L10" i="146"/>
  <c r="K10" i="146"/>
  <c r="J10" i="146"/>
  <c r="I10" i="146"/>
  <c r="H10" i="146"/>
  <c r="AL10" i="146" s="1"/>
  <c r="E10" i="146"/>
  <c r="D10" i="146"/>
  <c r="C10" i="146"/>
  <c r="B10" i="146"/>
  <c r="N9" i="146"/>
  <c r="M9" i="146"/>
  <c r="L9" i="146"/>
  <c r="O9" i="146" s="1"/>
  <c r="K9" i="146"/>
  <c r="J9" i="146"/>
  <c r="I9" i="146"/>
  <c r="H9" i="146"/>
  <c r="AL9" i="146" s="1"/>
  <c r="E9" i="146"/>
  <c r="D9" i="146"/>
  <c r="C9" i="146"/>
  <c r="B9" i="146"/>
  <c r="N8" i="146"/>
  <c r="M8" i="146"/>
  <c r="L8" i="146"/>
  <c r="K8" i="146"/>
  <c r="J8" i="146"/>
  <c r="I8" i="146"/>
  <c r="H8" i="146"/>
  <c r="AL8" i="146" s="1"/>
  <c r="E8" i="146"/>
  <c r="D8" i="146"/>
  <c r="C8" i="146"/>
  <c r="B8" i="146"/>
  <c r="N7" i="146"/>
  <c r="M7" i="146"/>
  <c r="L7" i="146"/>
  <c r="K7" i="146"/>
  <c r="J7" i="146"/>
  <c r="I7" i="146"/>
  <c r="H7" i="146"/>
  <c r="AL7" i="146" s="1"/>
  <c r="E7" i="146"/>
  <c r="D7" i="146"/>
  <c r="C7" i="146"/>
  <c r="B7" i="146"/>
  <c r="N6" i="146"/>
  <c r="M6" i="146"/>
  <c r="L6" i="146"/>
  <c r="O6" i="146" s="1"/>
  <c r="K6" i="146"/>
  <c r="J6" i="146"/>
  <c r="I6" i="146"/>
  <c r="H6" i="146"/>
  <c r="AL6" i="146" s="1"/>
  <c r="E6" i="146"/>
  <c r="D6" i="146"/>
  <c r="C6" i="146"/>
  <c r="B6" i="146"/>
  <c r="N5" i="146"/>
  <c r="M5" i="146"/>
  <c r="L5" i="146"/>
  <c r="K5" i="146"/>
  <c r="J5" i="146"/>
  <c r="I5" i="146"/>
  <c r="H5" i="146"/>
  <c r="AL5" i="146" s="1"/>
  <c r="E5" i="146"/>
  <c r="D5" i="146"/>
  <c r="C5" i="146"/>
  <c r="B5" i="146"/>
  <c r="N4" i="146"/>
  <c r="M4" i="146"/>
  <c r="L4" i="146"/>
  <c r="K4" i="146"/>
  <c r="J4" i="146"/>
  <c r="I4" i="146"/>
  <c r="H4" i="146"/>
  <c r="AL4" i="146" s="1"/>
  <c r="E4" i="146"/>
  <c r="D4" i="146"/>
  <c r="C4" i="146"/>
  <c r="B4" i="146"/>
  <c r="B48" i="145"/>
  <c r="B50" i="145" s="1"/>
  <c r="N29" i="145"/>
  <c r="M29" i="145"/>
  <c r="L29" i="145"/>
  <c r="K29" i="145"/>
  <c r="J29" i="145"/>
  <c r="I29" i="145"/>
  <c r="H29" i="145"/>
  <c r="AR29" i="145" s="1"/>
  <c r="E29" i="145"/>
  <c r="D29" i="145"/>
  <c r="C29" i="145"/>
  <c r="B29" i="145"/>
  <c r="N28" i="145"/>
  <c r="M28" i="145"/>
  <c r="L28" i="145"/>
  <c r="K28" i="145"/>
  <c r="J28" i="145"/>
  <c r="I28" i="145"/>
  <c r="H28" i="145"/>
  <c r="AR28" i="145" s="1"/>
  <c r="E28" i="145"/>
  <c r="D28" i="145"/>
  <c r="C28" i="145"/>
  <c r="B28" i="145"/>
  <c r="N27" i="145"/>
  <c r="M27" i="145"/>
  <c r="L27" i="145"/>
  <c r="K27" i="145"/>
  <c r="J27" i="145"/>
  <c r="I27" i="145"/>
  <c r="H27" i="145"/>
  <c r="AR27" i="145" s="1"/>
  <c r="E27" i="145"/>
  <c r="D27" i="145"/>
  <c r="C27" i="145"/>
  <c r="B27" i="145"/>
  <c r="N26" i="145"/>
  <c r="M26" i="145"/>
  <c r="L26" i="145"/>
  <c r="O26" i="145" s="1"/>
  <c r="K26" i="145"/>
  <c r="J26" i="145"/>
  <c r="I26" i="145"/>
  <c r="H26" i="145"/>
  <c r="AR26" i="145" s="1"/>
  <c r="E26" i="145"/>
  <c r="D26" i="145"/>
  <c r="C26" i="145"/>
  <c r="B26" i="145"/>
  <c r="N25" i="145"/>
  <c r="M25" i="145"/>
  <c r="L25" i="145"/>
  <c r="K25" i="145"/>
  <c r="J25" i="145"/>
  <c r="I25" i="145"/>
  <c r="H25" i="145"/>
  <c r="AR25" i="145" s="1"/>
  <c r="E25" i="145"/>
  <c r="D25" i="145"/>
  <c r="C25" i="145"/>
  <c r="B25" i="145"/>
  <c r="N24" i="145"/>
  <c r="M24" i="145"/>
  <c r="L24" i="145"/>
  <c r="K24" i="145"/>
  <c r="J24" i="145"/>
  <c r="I24" i="145"/>
  <c r="H24" i="145"/>
  <c r="AR24" i="145" s="1"/>
  <c r="E24" i="145"/>
  <c r="D24" i="145"/>
  <c r="C24" i="145"/>
  <c r="B24" i="145"/>
  <c r="N23" i="145"/>
  <c r="M23" i="145"/>
  <c r="L23" i="145"/>
  <c r="K23" i="145"/>
  <c r="J23" i="145"/>
  <c r="I23" i="145"/>
  <c r="H23" i="145"/>
  <c r="AR23" i="145" s="1"/>
  <c r="E23" i="145"/>
  <c r="D23" i="145"/>
  <c r="C23" i="145"/>
  <c r="B23" i="145"/>
  <c r="N22" i="145"/>
  <c r="M22" i="145"/>
  <c r="L22" i="145"/>
  <c r="K22" i="145"/>
  <c r="J22" i="145"/>
  <c r="I22" i="145"/>
  <c r="H22" i="145"/>
  <c r="AR22" i="145" s="1"/>
  <c r="E22" i="145"/>
  <c r="D22" i="145"/>
  <c r="C22" i="145"/>
  <c r="B22" i="145"/>
  <c r="N21" i="145"/>
  <c r="M21" i="145"/>
  <c r="L21" i="145"/>
  <c r="K21" i="145"/>
  <c r="J21" i="145"/>
  <c r="I21" i="145"/>
  <c r="H21" i="145"/>
  <c r="AR21" i="145" s="1"/>
  <c r="E21" i="145"/>
  <c r="D21" i="145"/>
  <c r="C21" i="145"/>
  <c r="B21" i="145"/>
  <c r="N20" i="145"/>
  <c r="M20" i="145"/>
  <c r="L20" i="145"/>
  <c r="O20" i="145" s="1"/>
  <c r="K20" i="145"/>
  <c r="J20" i="145"/>
  <c r="I20" i="145"/>
  <c r="H20" i="145"/>
  <c r="AR20" i="145" s="1"/>
  <c r="E20" i="145"/>
  <c r="D20" i="145"/>
  <c r="C20" i="145"/>
  <c r="B20" i="145"/>
  <c r="N19" i="145"/>
  <c r="M19" i="145"/>
  <c r="L19" i="145"/>
  <c r="K19" i="145"/>
  <c r="J19" i="145"/>
  <c r="I19" i="145"/>
  <c r="H19" i="145"/>
  <c r="AR19" i="145" s="1"/>
  <c r="E19" i="145"/>
  <c r="D19" i="145"/>
  <c r="C19" i="145"/>
  <c r="B19" i="145"/>
  <c r="N18" i="145"/>
  <c r="M18" i="145"/>
  <c r="L18" i="145"/>
  <c r="K18" i="145"/>
  <c r="J18" i="145"/>
  <c r="I18" i="145"/>
  <c r="H18" i="145"/>
  <c r="AR18" i="145" s="1"/>
  <c r="E18" i="145"/>
  <c r="D18" i="145"/>
  <c r="C18" i="145"/>
  <c r="B18" i="145"/>
  <c r="N17" i="145"/>
  <c r="M17" i="145"/>
  <c r="L17" i="145"/>
  <c r="O17" i="145" s="1"/>
  <c r="K17" i="145"/>
  <c r="J17" i="145"/>
  <c r="I17" i="145"/>
  <c r="H17" i="145"/>
  <c r="AR17" i="145" s="1"/>
  <c r="E17" i="145"/>
  <c r="D17" i="145"/>
  <c r="C17" i="145"/>
  <c r="B17" i="145"/>
  <c r="N16" i="145"/>
  <c r="M16" i="145"/>
  <c r="L16" i="145"/>
  <c r="K16" i="145"/>
  <c r="J16" i="145"/>
  <c r="I16" i="145"/>
  <c r="H16" i="145"/>
  <c r="AR16" i="145" s="1"/>
  <c r="E16" i="145"/>
  <c r="D16" i="145"/>
  <c r="C16" i="145"/>
  <c r="B16" i="145"/>
  <c r="N15" i="145"/>
  <c r="M15" i="145"/>
  <c r="L15" i="145"/>
  <c r="K15" i="145"/>
  <c r="J15" i="145"/>
  <c r="I15" i="145"/>
  <c r="H15" i="145"/>
  <c r="AR15" i="145" s="1"/>
  <c r="E15" i="145"/>
  <c r="D15" i="145"/>
  <c r="C15" i="145"/>
  <c r="B15" i="145"/>
  <c r="N14" i="145"/>
  <c r="M14" i="145"/>
  <c r="L14" i="145"/>
  <c r="O14" i="145" s="1"/>
  <c r="K14" i="145"/>
  <c r="J14" i="145"/>
  <c r="I14" i="145"/>
  <c r="H14" i="145"/>
  <c r="AR14" i="145" s="1"/>
  <c r="E14" i="145"/>
  <c r="D14" i="145"/>
  <c r="C14" i="145"/>
  <c r="B14" i="145"/>
  <c r="N13" i="145"/>
  <c r="M13" i="145"/>
  <c r="L13" i="145"/>
  <c r="K13" i="145"/>
  <c r="J13" i="145"/>
  <c r="I13" i="145"/>
  <c r="H13" i="145"/>
  <c r="AR13" i="145" s="1"/>
  <c r="E13" i="145"/>
  <c r="D13" i="145"/>
  <c r="C13" i="145"/>
  <c r="B13" i="145"/>
  <c r="N12" i="145"/>
  <c r="M12" i="145"/>
  <c r="L12" i="145"/>
  <c r="K12" i="145"/>
  <c r="J12" i="145"/>
  <c r="I12" i="145"/>
  <c r="H12" i="145"/>
  <c r="AR12" i="145" s="1"/>
  <c r="E12" i="145"/>
  <c r="D12" i="145"/>
  <c r="C12" i="145"/>
  <c r="B12" i="145"/>
  <c r="N11" i="145"/>
  <c r="M11" i="145"/>
  <c r="L11" i="145"/>
  <c r="O11" i="145" s="1"/>
  <c r="K11" i="145"/>
  <c r="J11" i="145"/>
  <c r="I11" i="145"/>
  <c r="H11" i="145"/>
  <c r="AR11" i="145" s="1"/>
  <c r="E11" i="145"/>
  <c r="D11" i="145"/>
  <c r="C11" i="145"/>
  <c r="B11" i="145"/>
  <c r="N10" i="145"/>
  <c r="M10" i="145"/>
  <c r="L10" i="145"/>
  <c r="K10" i="145"/>
  <c r="J10" i="145"/>
  <c r="I10" i="145"/>
  <c r="H10" i="145"/>
  <c r="AR10" i="145" s="1"/>
  <c r="E10" i="145"/>
  <c r="D10" i="145"/>
  <c r="C10" i="145"/>
  <c r="B10" i="145"/>
  <c r="N9" i="145"/>
  <c r="M9" i="145"/>
  <c r="L9" i="145"/>
  <c r="K9" i="145"/>
  <c r="J9" i="145"/>
  <c r="I9" i="145"/>
  <c r="H9" i="145"/>
  <c r="AR9" i="145" s="1"/>
  <c r="E9" i="145"/>
  <c r="D9" i="145"/>
  <c r="C9" i="145"/>
  <c r="B9" i="145"/>
  <c r="N8" i="145"/>
  <c r="M8" i="145"/>
  <c r="L8" i="145"/>
  <c r="O8" i="145" s="1"/>
  <c r="K8" i="145"/>
  <c r="J8" i="145"/>
  <c r="I8" i="145"/>
  <c r="H8" i="145"/>
  <c r="AR8" i="145" s="1"/>
  <c r="E8" i="145"/>
  <c r="D8" i="145"/>
  <c r="C8" i="145"/>
  <c r="B8" i="145"/>
  <c r="N7" i="145"/>
  <c r="M7" i="145"/>
  <c r="L7" i="145"/>
  <c r="K7" i="145"/>
  <c r="J7" i="145"/>
  <c r="I7" i="145"/>
  <c r="H7" i="145"/>
  <c r="AR7" i="145" s="1"/>
  <c r="E7" i="145"/>
  <c r="D7" i="145"/>
  <c r="C7" i="145"/>
  <c r="B7" i="145"/>
  <c r="N6" i="145"/>
  <c r="M6" i="145"/>
  <c r="L6" i="145"/>
  <c r="K6" i="145"/>
  <c r="J6" i="145"/>
  <c r="I6" i="145"/>
  <c r="H6" i="145"/>
  <c r="AR6" i="145" s="1"/>
  <c r="E6" i="145"/>
  <c r="D6" i="145"/>
  <c r="C6" i="145"/>
  <c r="B6" i="145"/>
  <c r="N5" i="145"/>
  <c r="M5" i="145"/>
  <c r="L5" i="145"/>
  <c r="K5" i="145"/>
  <c r="J5" i="145"/>
  <c r="I5" i="145"/>
  <c r="H5" i="145"/>
  <c r="AR5" i="145" s="1"/>
  <c r="E5" i="145"/>
  <c r="D5" i="145"/>
  <c r="C5" i="145"/>
  <c r="B5" i="145"/>
  <c r="N4" i="145"/>
  <c r="M4" i="145"/>
  <c r="L4" i="145"/>
  <c r="O4" i="145" s="1"/>
  <c r="K4" i="145"/>
  <c r="J4" i="145"/>
  <c r="I4" i="145"/>
  <c r="H4" i="145"/>
  <c r="AR4" i="145" s="1"/>
  <c r="E4" i="145"/>
  <c r="D4" i="145"/>
  <c r="C4" i="145"/>
  <c r="B4" i="145"/>
  <c r="D4" i="87"/>
  <c r="A23" i="141"/>
  <c r="B23" i="141"/>
  <c r="C23" i="141"/>
  <c r="D23" i="141"/>
  <c r="A24" i="141"/>
  <c r="B24" i="141"/>
  <c r="C24" i="141"/>
  <c r="D24" i="141"/>
  <c r="A25" i="141"/>
  <c r="B25" i="141"/>
  <c r="C25" i="141"/>
  <c r="D25" i="141"/>
  <c r="A26" i="141"/>
  <c r="B26" i="141"/>
  <c r="C26" i="141"/>
  <c r="D26" i="141"/>
  <c r="A27" i="141"/>
  <c r="B27" i="141"/>
  <c r="C27" i="141"/>
  <c r="D27" i="141"/>
  <c r="A27" i="144"/>
  <c r="B27" i="144"/>
  <c r="C27" i="144"/>
  <c r="A3" i="142"/>
  <c r="A4" i="142"/>
  <c r="A5" i="142"/>
  <c r="A6" i="142"/>
  <c r="A7" i="142"/>
  <c r="A8" i="142"/>
  <c r="A9" i="142"/>
  <c r="A10" i="142"/>
  <c r="A11" i="142"/>
  <c r="A12" i="142"/>
  <c r="A13" i="142"/>
  <c r="A14" i="142"/>
  <c r="A15" i="142"/>
  <c r="A16" i="142"/>
  <c r="A17" i="142"/>
  <c r="A18" i="142"/>
  <c r="A19" i="142"/>
  <c r="A20" i="142"/>
  <c r="A21" i="142"/>
  <c r="A22" i="142"/>
  <c r="A23" i="142"/>
  <c r="A24" i="142"/>
  <c r="A25" i="142"/>
  <c r="A26" i="142"/>
  <c r="A27" i="142"/>
  <c r="A2" i="142"/>
  <c r="B3" i="142"/>
  <c r="C3" i="142"/>
  <c r="B4" i="142"/>
  <c r="C4" i="142"/>
  <c r="B5" i="142"/>
  <c r="C5" i="142"/>
  <c r="B6" i="142"/>
  <c r="C6" i="142"/>
  <c r="B7" i="142"/>
  <c r="C7" i="142"/>
  <c r="B8" i="142"/>
  <c r="C8" i="142"/>
  <c r="B9" i="142"/>
  <c r="C9" i="142"/>
  <c r="B10" i="142"/>
  <c r="C10" i="142"/>
  <c r="B11" i="142"/>
  <c r="C11" i="142"/>
  <c r="B12" i="142"/>
  <c r="C12" i="142"/>
  <c r="B13" i="142"/>
  <c r="C13" i="142"/>
  <c r="B14" i="142"/>
  <c r="C14" i="142"/>
  <c r="B15" i="142"/>
  <c r="C15" i="142"/>
  <c r="B16" i="142"/>
  <c r="C16" i="142"/>
  <c r="B17" i="142"/>
  <c r="C17" i="142"/>
  <c r="B18" i="142"/>
  <c r="C18" i="142"/>
  <c r="B19" i="142"/>
  <c r="C19" i="142"/>
  <c r="B20" i="142"/>
  <c r="C20" i="142"/>
  <c r="B21" i="142"/>
  <c r="C21" i="142"/>
  <c r="B22" i="142"/>
  <c r="C22" i="142"/>
  <c r="B23" i="142"/>
  <c r="C23" i="142"/>
  <c r="B24" i="142"/>
  <c r="C24" i="142"/>
  <c r="B25" i="142"/>
  <c r="C25" i="142"/>
  <c r="B26" i="142"/>
  <c r="C26" i="142"/>
  <c r="B27" i="142"/>
  <c r="C27" i="142"/>
  <c r="C2" i="142"/>
  <c r="B2" i="142"/>
  <c r="O23" i="145" l="1"/>
  <c r="O29" i="145"/>
  <c r="O7" i="145"/>
  <c r="O13" i="145"/>
  <c r="O6" i="145"/>
  <c r="O12" i="145"/>
  <c r="O9" i="145"/>
  <c r="O5" i="145"/>
  <c r="O19" i="145"/>
  <c r="O25" i="145"/>
  <c r="O18" i="145"/>
  <c r="O24" i="145"/>
  <c r="O16" i="145"/>
  <c r="O22" i="145"/>
  <c r="O28" i="145"/>
  <c r="O15" i="145"/>
  <c r="O21" i="145"/>
  <c r="O27" i="145"/>
  <c r="O10" i="145"/>
  <c r="O10" i="146"/>
  <c r="O11" i="146"/>
  <c r="O7" i="146"/>
  <c r="O13" i="146"/>
  <c r="O8" i="146"/>
  <c r="O21" i="146"/>
  <c r="O17" i="146"/>
  <c r="O18" i="146"/>
  <c r="O24" i="146"/>
  <c r="O14" i="146"/>
  <c r="O16" i="146"/>
  <c r="O28" i="146"/>
  <c r="O23" i="146"/>
  <c r="O29" i="146"/>
  <c r="O19" i="146"/>
  <c r="O25" i="146"/>
  <c r="O20" i="146"/>
  <c r="O22" i="146"/>
  <c r="O5" i="146"/>
  <c r="O4" i="146"/>
  <c r="O26" i="146"/>
  <c r="O8" i="147"/>
  <c r="O6" i="147"/>
  <c r="O12" i="147"/>
  <c r="O18" i="147"/>
  <c r="O24" i="147"/>
  <c r="O30" i="147"/>
  <c r="O5" i="147"/>
  <c r="O11" i="147"/>
  <c r="O17" i="147"/>
  <c r="O23" i="147"/>
  <c r="O10" i="147"/>
  <c r="O16" i="147"/>
  <c r="O22" i="147"/>
  <c r="O15" i="147"/>
  <c r="O21" i="147"/>
  <c r="O20" i="147"/>
  <c r="O28" i="147"/>
  <c r="O29" i="147"/>
  <c r="O26" i="147"/>
  <c r="O9" i="147"/>
  <c r="O27" i="147"/>
  <c r="O7" i="148"/>
  <c r="O13" i="148"/>
  <c r="O19" i="148"/>
  <c r="O25" i="148"/>
  <c r="O5" i="148"/>
  <c r="O17" i="148"/>
  <c r="O23" i="148"/>
  <c r="O29" i="148"/>
  <c r="O11" i="148"/>
  <c r="O6" i="148"/>
  <c r="O12" i="148"/>
  <c r="O18" i="148"/>
  <c r="O24" i="148"/>
  <c r="O8" i="148"/>
  <c r="O14" i="148"/>
  <c r="O20" i="148"/>
  <c r="O26" i="148"/>
  <c r="O9" i="148"/>
  <c r="O15" i="148"/>
  <c r="O21" i="148"/>
  <c r="O27" i="148"/>
  <c r="O4" i="148"/>
  <c r="O10" i="148"/>
  <c r="O16" i="148"/>
  <c r="O22" i="148"/>
  <c r="O28" i="148"/>
  <c r="O6" i="149"/>
  <c r="O8" i="149"/>
  <c r="O23" i="149"/>
  <c r="O29" i="149"/>
  <c r="O25" i="149"/>
  <c r="O9" i="149"/>
  <c r="O11" i="149"/>
  <c r="O5" i="149"/>
  <c r="O19" i="149"/>
  <c r="O17" i="149"/>
  <c r="O12" i="149"/>
  <c r="O18" i="149"/>
  <c r="O24" i="149"/>
  <c r="O14" i="149"/>
  <c r="O20" i="149"/>
  <c r="O26" i="149"/>
  <c r="O15" i="149"/>
  <c r="O21" i="149"/>
  <c r="O27" i="149"/>
  <c r="P29" i="150"/>
  <c r="O8" i="150"/>
  <c r="P13" i="150"/>
  <c r="P27" i="150"/>
  <c r="O24" i="150"/>
  <c r="P11" i="150"/>
  <c r="O16" i="150"/>
  <c r="P19" i="150"/>
  <c r="O5" i="150"/>
  <c r="P25" i="150"/>
  <c r="P17" i="150"/>
  <c r="P9" i="150"/>
  <c r="P6" i="150"/>
  <c r="O4" i="151"/>
  <c r="O28" i="151"/>
  <c r="O20" i="151"/>
  <c r="P16" i="151"/>
  <c r="P12" i="151"/>
  <c r="O16" i="151"/>
  <c r="P5" i="151"/>
  <c r="P29" i="151"/>
  <c r="P28" i="151"/>
  <c r="O28" i="152"/>
  <c r="P27" i="152"/>
  <c r="O26" i="152"/>
  <c r="P26" i="152"/>
  <c r="Q25" i="152"/>
  <c r="O24" i="152"/>
  <c r="P24" i="152"/>
  <c r="P23" i="152"/>
  <c r="O20" i="152"/>
  <c r="O18" i="152"/>
  <c r="P18" i="152"/>
  <c r="Q16" i="152"/>
  <c r="P16" i="152"/>
  <c r="O12" i="152"/>
  <c r="P11" i="152"/>
  <c r="O10" i="152"/>
  <c r="P10" i="152"/>
  <c r="Q9" i="152"/>
  <c r="O8" i="152"/>
  <c r="P8" i="152"/>
  <c r="P5" i="152"/>
  <c r="Q29" i="151"/>
  <c r="Q28" i="151"/>
  <c r="O27" i="151"/>
  <c r="Q27" i="151"/>
  <c r="P27" i="151"/>
  <c r="Q26" i="151"/>
  <c r="O26" i="151"/>
  <c r="P26" i="151"/>
  <c r="O25" i="151"/>
  <c r="Q25" i="151"/>
  <c r="Q24" i="151"/>
  <c r="O23" i="151"/>
  <c r="Q23" i="151"/>
  <c r="P23" i="151"/>
  <c r="Q22" i="151"/>
  <c r="O22" i="151"/>
  <c r="P22" i="151"/>
  <c r="O21" i="151"/>
  <c r="Q21" i="151"/>
  <c r="Q20" i="151"/>
  <c r="O19" i="151"/>
  <c r="Q19" i="151"/>
  <c r="P19" i="151"/>
  <c r="Q18" i="151"/>
  <c r="O18" i="151"/>
  <c r="P18" i="151"/>
  <c r="O17" i="151"/>
  <c r="Q17" i="151"/>
  <c r="Q16" i="151"/>
  <c r="O15" i="151"/>
  <c r="Q15" i="151"/>
  <c r="P15" i="151"/>
  <c r="Q14" i="151"/>
  <c r="O14" i="151"/>
  <c r="P14" i="151"/>
  <c r="O13" i="151"/>
  <c r="Q13" i="151"/>
  <c r="Q12" i="151"/>
  <c r="O11" i="151"/>
  <c r="Q11" i="151"/>
  <c r="P11" i="151"/>
  <c r="Q10" i="151"/>
  <c r="O10" i="151"/>
  <c r="P10" i="151"/>
  <c r="O9" i="151"/>
  <c r="Q9" i="151"/>
  <c r="Q8" i="151"/>
  <c r="Q7" i="151"/>
  <c r="O7" i="151"/>
  <c r="P7" i="151"/>
  <c r="O6" i="151"/>
  <c r="Q6" i="151"/>
  <c r="Q5" i="151"/>
  <c r="B50" i="150"/>
  <c r="O27" i="150"/>
  <c r="Q27" i="150"/>
  <c r="Q13" i="150"/>
  <c r="Q28" i="150"/>
  <c r="P28" i="150"/>
  <c r="O26" i="150"/>
  <c r="P26" i="150"/>
  <c r="Q25" i="150"/>
  <c r="Q24" i="150"/>
  <c r="P24" i="150"/>
  <c r="O23" i="150"/>
  <c r="Q23" i="150"/>
  <c r="O22" i="150"/>
  <c r="Q22" i="150"/>
  <c r="O21" i="150"/>
  <c r="Q21" i="150"/>
  <c r="Q20" i="150"/>
  <c r="P20" i="150"/>
  <c r="O19" i="150"/>
  <c r="Q19" i="150"/>
  <c r="O18" i="150"/>
  <c r="P18" i="150"/>
  <c r="Q17" i="150"/>
  <c r="O15" i="150"/>
  <c r="Q15" i="150"/>
  <c r="Q12" i="150"/>
  <c r="P12" i="150"/>
  <c r="O11" i="150"/>
  <c r="Q11" i="150"/>
  <c r="O10" i="150"/>
  <c r="Q10" i="150"/>
  <c r="Q9" i="150"/>
  <c r="I6" i="107"/>
  <c r="J6" i="107"/>
  <c r="K6" i="107" s="1"/>
  <c r="Q6" i="150"/>
  <c r="Q5" i="150"/>
  <c r="P5" i="150"/>
  <c r="O7" i="150"/>
  <c r="Q7" i="150"/>
  <c r="Q29" i="150"/>
  <c r="Q16" i="150"/>
  <c r="P16" i="150"/>
  <c r="O14" i="150"/>
  <c r="Q14" i="150"/>
  <c r="Q8" i="150"/>
  <c r="P8" i="150"/>
  <c r="Q23" i="152"/>
  <c r="Q5" i="152"/>
  <c r="Q28" i="152"/>
  <c r="O22" i="152"/>
  <c r="Q22" i="152"/>
  <c r="Q21" i="152"/>
  <c r="O19" i="152"/>
  <c r="Q19" i="152"/>
  <c r="Q12" i="152"/>
  <c r="O7" i="152"/>
  <c r="P7" i="152"/>
  <c r="Q6" i="152"/>
  <c r="O4" i="152"/>
  <c r="Q24" i="152"/>
  <c r="Q17" i="152"/>
  <c r="O15" i="152"/>
  <c r="Q15" i="152"/>
  <c r="Q8" i="152"/>
  <c r="Q29" i="152"/>
  <c r="O27" i="152"/>
  <c r="Q27" i="152"/>
  <c r="Q20" i="152"/>
  <c r="O14" i="152"/>
  <c r="P14" i="152"/>
  <c r="Q13" i="152"/>
  <c r="O11" i="152"/>
  <c r="Q11" i="152"/>
  <c r="Q26" i="150"/>
  <c r="P21" i="150"/>
  <c r="Q18" i="150"/>
  <c r="O29" i="150"/>
  <c r="O25" i="150"/>
  <c r="P22" i="150"/>
  <c r="O17" i="150"/>
  <c r="P14" i="150"/>
  <c r="O13" i="150"/>
  <c r="P10" i="150"/>
  <c r="O9" i="150"/>
  <c r="P7" i="150"/>
  <c r="O6" i="150"/>
  <c r="P25" i="151"/>
  <c r="P21" i="151"/>
  <c r="P17" i="151"/>
  <c r="P13" i="151"/>
  <c r="P9" i="151"/>
  <c r="P6" i="151"/>
  <c r="O29" i="151"/>
  <c r="Q26" i="152"/>
  <c r="P21" i="152"/>
  <c r="Q18" i="152"/>
  <c r="O29" i="152"/>
  <c r="O25" i="152"/>
  <c r="P22" i="152"/>
  <c r="O21" i="152"/>
  <c r="O17" i="152"/>
  <c r="O13" i="152"/>
  <c r="O9" i="152"/>
  <c r="O6" i="152"/>
  <c r="P29" i="152"/>
  <c r="P25" i="152"/>
  <c r="P17" i="152"/>
  <c r="Q14" i="152"/>
  <c r="P13" i="152"/>
  <c r="Q10" i="152"/>
  <c r="P9" i="152"/>
  <c r="Q7" i="152"/>
  <c r="P6" i="152"/>
  <c r="Q4" i="152"/>
  <c r="P4" i="151"/>
  <c r="O4" i="150"/>
  <c r="P4" i="150"/>
  <c r="Q4" i="150"/>
  <c r="Q4" i="151"/>
  <c r="P4" i="152"/>
  <c r="Q4" i="149"/>
  <c r="P4" i="149"/>
  <c r="Q5" i="149"/>
  <c r="P5" i="149"/>
  <c r="Q6" i="149"/>
  <c r="P6" i="149"/>
  <c r="Q7" i="149"/>
  <c r="P7" i="149"/>
  <c r="Q8" i="149"/>
  <c r="P8" i="149"/>
  <c r="Q9" i="149"/>
  <c r="P9" i="149"/>
  <c r="Q10" i="149"/>
  <c r="P10" i="149"/>
  <c r="Q11" i="149"/>
  <c r="P11" i="149"/>
  <c r="Q12" i="149"/>
  <c r="P12" i="149"/>
  <c r="Q13" i="149"/>
  <c r="P13" i="149"/>
  <c r="Q14" i="149"/>
  <c r="P14" i="149"/>
  <c r="Q15" i="149"/>
  <c r="P15" i="149"/>
  <c r="Q16" i="149"/>
  <c r="P16" i="149"/>
  <c r="Q17" i="149"/>
  <c r="P17" i="149"/>
  <c r="Q18" i="149"/>
  <c r="P18" i="149"/>
  <c r="Q19" i="149"/>
  <c r="P19" i="149"/>
  <c r="Q20" i="149"/>
  <c r="P20" i="149"/>
  <c r="Q21" i="149"/>
  <c r="P21" i="149"/>
  <c r="Q22" i="149"/>
  <c r="P22" i="149"/>
  <c r="Q23" i="149"/>
  <c r="P23" i="149"/>
  <c r="Q24" i="149"/>
  <c r="P24" i="149"/>
  <c r="Q25" i="149"/>
  <c r="P25" i="149"/>
  <c r="Q26" i="149"/>
  <c r="P26" i="149"/>
  <c r="Q27" i="149"/>
  <c r="P27" i="149"/>
  <c r="Q28" i="149"/>
  <c r="P28" i="149"/>
  <c r="Q29" i="149"/>
  <c r="P29" i="149"/>
  <c r="Q4" i="148"/>
  <c r="P4" i="148"/>
  <c r="Q5" i="148"/>
  <c r="P5" i="148"/>
  <c r="Q6" i="148"/>
  <c r="P6" i="148"/>
  <c r="Q7" i="148"/>
  <c r="P7" i="148"/>
  <c r="Q8" i="148"/>
  <c r="P8" i="148"/>
  <c r="Q9" i="148"/>
  <c r="P9" i="148"/>
  <c r="Q10" i="148"/>
  <c r="P10" i="148"/>
  <c r="Q11" i="148"/>
  <c r="P11" i="148"/>
  <c r="Q12" i="148"/>
  <c r="P12" i="148"/>
  <c r="Q13" i="148"/>
  <c r="P13" i="148"/>
  <c r="Q14" i="148"/>
  <c r="P14" i="148"/>
  <c r="Q15" i="148"/>
  <c r="P15" i="148"/>
  <c r="Q16" i="148"/>
  <c r="P16" i="148"/>
  <c r="Q17" i="148"/>
  <c r="P17" i="148"/>
  <c r="Q18" i="148"/>
  <c r="P18" i="148"/>
  <c r="Q19" i="148"/>
  <c r="P19" i="148"/>
  <c r="Q20" i="148"/>
  <c r="P20" i="148"/>
  <c r="Q21" i="148"/>
  <c r="P21" i="148"/>
  <c r="Q22" i="148"/>
  <c r="P22" i="148"/>
  <c r="Q23" i="148"/>
  <c r="P23" i="148"/>
  <c r="Q24" i="148"/>
  <c r="P24" i="148"/>
  <c r="Q25" i="148"/>
  <c r="P25" i="148"/>
  <c r="Q26" i="148"/>
  <c r="P26" i="148"/>
  <c r="Q27" i="148"/>
  <c r="P27" i="148"/>
  <c r="Q28" i="148"/>
  <c r="P28" i="148"/>
  <c r="Q29" i="148"/>
  <c r="P29" i="148"/>
  <c r="Q5" i="147"/>
  <c r="P5" i="147"/>
  <c r="Q6" i="147"/>
  <c r="P6" i="147"/>
  <c r="Q7" i="147"/>
  <c r="P7" i="147"/>
  <c r="Q8" i="147"/>
  <c r="P8" i="147"/>
  <c r="Q9" i="147"/>
  <c r="P9" i="147"/>
  <c r="Q10" i="147"/>
  <c r="P10" i="147"/>
  <c r="Q11" i="147"/>
  <c r="P11" i="147"/>
  <c r="Q12" i="147"/>
  <c r="P12" i="147"/>
  <c r="Q13" i="147"/>
  <c r="P13" i="147"/>
  <c r="Q14" i="147"/>
  <c r="P14" i="147"/>
  <c r="Q15" i="147"/>
  <c r="P15" i="147"/>
  <c r="Q16" i="147"/>
  <c r="P16" i="147"/>
  <c r="Q17" i="147"/>
  <c r="P17" i="147"/>
  <c r="Q18" i="147"/>
  <c r="P18" i="147"/>
  <c r="Q19" i="147"/>
  <c r="P19" i="147"/>
  <c r="Q20" i="147"/>
  <c r="P20" i="147"/>
  <c r="Q21" i="147"/>
  <c r="P21" i="147"/>
  <c r="Q22" i="147"/>
  <c r="P22" i="147"/>
  <c r="Q23" i="147"/>
  <c r="P23" i="147"/>
  <c r="Q24" i="147"/>
  <c r="P24" i="147"/>
  <c r="Q25" i="147"/>
  <c r="P25" i="147"/>
  <c r="Q26" i="147"/>
  <c r="P26" i="147"/>
  <c r="Q27" i="147"/>
  <c r="P27" i="147"/>
  <c r="Q28" i="147"/>
  <c r="P28" i="147"/>
  <c r="Q29" i="147"/>
  <c r="P29" i="147"/>
  <c r="Q30" i="147"/>
  <c r="P30" i="147"/>
  <c r="Q4" i="146"/>
  <c r="P4" i="146"/>
  <c r="Q5" i="146"/>
  <c r="P5" i="146"/>
  <c r="Q6" i="146"/>
  <c r="P6" i="146"/>
  <c r="Q7" i="146"/>
  <c r="P7" i="146"/>
  <c r="Q8" i="146"/>
  <c r="P8" i="146"/>
  <c r="Q9" i="146"/>
  <c r="P9" i="146"/>
  <c r="Q10" i="146"/>
  <c r="P10" i="146"/>
  <c r="Q11" i="146"/>
  <c r="P11" i="146"/>
  <c r="Q12" i="146"/>
  <c r="P12" i="146"/>
  <c r="Q13" i="146"/>
  <c r="P13" i="146"/>
  <c r="Q14" i="146"/>
  <c r="P14" i="146"/>
  <c r="Q15" i="146"/>
  <c r="P15" i="146"/>
  <c r="Q16" i="146"/>
  <c r="P16" i="146"/>
  <c r="Q17" i="146"/>
  <c r="P17" i="146"/>
  <c r="Q18" i="146"/>
  <c r="P18" i="146"/>
  <c r="Q19" i="146"/>
  <c r="P19" i="146"/>
  <c r="Q20" i="146"/>
  <c r="P20" i="146"/>
  <c r="Q21" i="146"/>
  <c r="P21" i="146"/>
  <c r="Q22" i="146"/>
  <c r="P22" i="146"/>
  <c r="Q23" i="146"/>
  <c r="P23" i="146"/>
  <c r="Q24" i="146"/>
  <c r="P24" i="146"/>
  <c r="Q25" i="146"/>
  <c r="P25" i="146"/>
  <c r="Q26" i="146"/>
  <c r="P26" i="146"/>
  <c r="Q27" i="146"/>
  <c r="P27" i="146"/>
  <c r="Q28" i="146"/>
  <c r="P28" i="146"/>
  <c r="Q29" i="146"/>
  <c r="P29" i="146"/>
  <c r="Q4" i="145"/>
  <c r="P4" i="145"/>
  <c r="Q5" i="145"/>
  <c r="P5" i="145"/>
  <c r="Q6" i="145"/>
  <c r="P6" i="145"/>
  <c r="Q7" i="145"/>
  <c r="P7" i="145"/>
  <c r="Q8" i="145"/>
  <c r="P8" i="145"/>
  <c r="Q9" i="145"/>
  <c r="P9" i="145"/>
  <c r="Q10" i="145"/>
  <c r="P10" i="145"/>
  <c r="Q11" i="145"/>
  <c r="P11" i="145"/>
  <c r="Q12" i="145"/>
  <c r="P12" i="145"/>
  <c r="Q13" i="145"/>
  <c r="P13" i="145"/>
  <c r="Q14" i="145"/>
  <c r="P14" i="145"/>
  <c r="Q15" i="145"/>
  <c r="P15" i="145"/>
  <c r="Q16" i="145"/>
  <c r="P16" i="145"/>
  <c r="Q17" i="145"/>
  <c r="P17" i="145"/>
  <c r="Q18" i="145"/>
  <c r="P18" i="145"/>
  <c r="Q19" i="145"/>
  <c r="P19" i="145"/>
  <c r="Q20" i="145"/>
  <c r="P20" i="145"/>
  <c r="Q21" i="145"/>
  <c r="P21" i="145"/>
  <c r="Q22" i="145"/>
  <c r="P22" i="145"/>
  <c r="Q23" i="145"/>
  <c r="P23" i="145"/>
  <c r="Q24" i="145"/>
  <c r="P24" i="145"/>
  <c r="Q25" i="145"/>
  <c r="P25" i="145"/>
  <c r="Q26" i="145"/>
  <c r="P26" i="145"/>
  <c r="Q27" i="145"/>
  <c r="P27" i="145"/>
  <c r="Q28" i="145"/>
  <c r="P28" i="145"/>
  <c r="Q29" i="145"/>
  <c r="P29" i="145"/>
  <c r="A3" i="141"/>
  <c r="B3" i="141"/>
  <c r="C3" i="141"/>
  <c r="D3" i="141"/>
  <c r="A4" i="141"/>
  <c r="B4" i="141"/>
  <c r="C4" i="141"/>
  <c r="D4" i="141"/>
  <c r="A5" i="141"/>
  <c r="B5" i="141"/>
  <c r="C5" i="141"/>
  <c r="D5" i="141"/>
  <c r="A6" i="141"/>
  <c r="B6" i="141"/>
  <c r="C6" i="141"/>
  <c r="D6" i="141"/>
  <c r="A7" i="141"/>
  <c r="B7" i="141"/>
  <c r="C7" i="141"/>
  <c r="D7" i="141"/>
  <c r="A8" i="141"/>
  <c r="B8" i="141"/>
  <c r="C8" i="141"/>
  <c r="D8" i="141"/>
  <c r="A9" i="141"/>
  <c r="B9" i="141"/>
  <c r="C9" i="141"/>
  <c r="D9" i="141"/>
  <c r="A10" i="141"/>
  <c r="B10" i="141"/>
  <c r="C10" i="141"/>
  <c r="D10" i="141"/>
  <c r="A11" i="141"/>
  <c r="B11" i="141"/>
  <c r="C11" i="141"/>
  <c r="D11" i="141"/>
  <c r="A12" i="141"/>
  <c r="B12" i="141"/>
  <c r="C12" i="141"/>
  <c r="D12" i="141"/>
  <c r="A13" i="141"/>
  <c r="B13" i="141"/>
  <c r="C13" i="141"/>
  <c r="D13" i="141"/>
  <c r="A14" i="141"/>
  <c r="B14" i="141"/>
  <c r="C14" i="141"/>
  <c r="D14" i="141"/>
  <c r="A15" i="141"/>
  <c r="B15" i="141"/>
  <c r="C15" i="141"/>
  <c r="D15" i="141"/>
  <c r="A16" i="141"/>
  <c r="B16" i="141"/>
  <c r="C16" i="141"/>
  <c r="D16" i="141"/>
  <c r="A17" i="141"/>
  <c r="B17" i="141"/>
  <c r="C17" i="141"/>
  <c r="D17" i="141"/>
  <c r="A18" i="141"/>
  <c r="B18" i="141"/>
  <c r="C18" i="141"/>
  <c r="D18" i="141"/>
  <c r="A19" i="141"/>
  <c r="B19" i="141"/>
  <c r="C19" i="141"/>
  <c r="D19" i="141"/>
  <c r="A20" i="141"/>
  <c r="B20" i="141"/>
  <c r="C20" i="141"/>
  <c r="D20" i="141"/>
  <c r="A21" i="141"/>
  <c r="B21" i="141"/>
  <c r="C21" i="141"/>
  <c r="D21" i="141"/>
  <c r="A22" i="141"/>
  <c r="B22" i="141"/>
  <c r="C22" i="141"/>
  <c r="D22" i="141"/>
  <c r="B3" i="140"/>
  <c r="C3" i="140"/>
  <c r="B4" i="140"/>
  <c r="C4" i="140"/>
  <c r="B5" i="140"/>
  <c r="C5" i="140"/>
  <c r="B6" i="140"/>
  <c r="C6" i="140"/>
  <c r="B7" i="140"/>
  <c r="C7" i="140"/>
  <c r="B8" i="140"/>
  <c r="C8" i="140"/>
  <c r="B9" i="140"/>
  <c r="C9" i="140"/>
  <c r="B10" i="140"/>
  <c r="C10" i="140"/>
  <c r="B11" i="140"/>
  <c r="C11" i="140"/>
  <c r="B12" i="140"/>
  <c r="C12" i="140"/>
  <c r="B13" i="140"/>
  <c r="C13" i="140"/>
  <c r="B14" i="140"/>
  <c r="C14" i="140"/>
  <c r="B15" i="140"/>
  <c r="C15" i="140"/>
  <c r="B16" i="140"/>
  <c r="C16" i="140"/>
  <c r="B17" i="140"/>
  <c r="C17" i="140"/>
  <c r="B18" i="140"/>
  <c r="C18" i="140"/>
  <c r="B19" i="140"/>
  <c r="C19" i="140"/>
  <c r="B20" i="140"/>
  <c r="C20" i="140"/>
  <c r="B21" i="140"/>
  <c r="C21" i="140"/>
  <c r="B22" i="140"/>
  <c r="C22" i="140"/>
  <c r="B23" i="140"/>
  <c r="C23" i="140"/>
  <c r="B24" i="140"/>
  <c r="C24" i="140"/>
  <c r="B25" i="140"/>
  <c r="C25" i="140"/>
  <c r="B26" i="140"/>
  <c r="C26" i="140"/>
  <c r="B27" i="140"/>
  <c r="C27" i="140"/>
  <c r="G6" i="107" l="1"/>
  <c r="E6" i="107"/>
  <c r="B5" i="87"/>
  <c r="C5" i="87"/>
  <c r="D5" i="87"/>
  <c r="E5" i="87"/>
  <c r="H5" i="87"/>
  <c r="AX5" i="87" s="1"/>
  <c r="I5" i="87"/>
  <c r="J5" i="87"/>
  <c r="K5" i="87"/>
  <c r="L5" i="87"/>
  <c r="P5" i="87" s="1"/>
  <c r="M5" i="87"/>
  <c r="N5" i="87"/>
  <c r="B6" i="87"/>
  <c r="C6" i="87"/>
  <c r="D6" i="87"/>
  <c r="E6" i="87"/>
  <c r="H6" i="87"/>
  <c r="AX6" i="87" s="1"/>
  <c r="I6" i="87"/>
  <c r="J6" i="87"/>
  <c r="K6" i="87"/>
  <c r="L6" i="87"/>
  <c r="O6" i="87" s="1"/>
  <c r="M6" i="87"/>
  <c r="N6" i="87"/>
  <c r="B7" i="87"/>
  <c r="C7" i="87"/>
  <c r="D7" i="87"/>
  <c r="E7" i="87"/>
  <c r="H7" i="87"/>
  <c r="AX7" i="87" s="1"/>
  <c r="I7" i="87"/>
  <c r="J7" i="87"/>
  <c r="K7" i="87"/>
  <c r="L7" i="87"/>
  <c r="M7" i="87"/>
  <c r="N7" i="87"/>
  <c r="P7" i="87"/>
  <c r="B8" i="87"/>
  <c r="C8" i="87"/>
  <c r="D8" i="87"/>
  <c r="E8" i="87"/>
  <c r="H8" i="87"/>
  <c r="AX8" i="87" s="1"/>
  <c r="I8" i="87"/>
  <c r="J8" i="87"/>
  <c r="K8" i="87"/>
  <c r="L8" i="87"/>
  <c r="M8" i="87"/>
  <c r="N8" i="87"/>
  <c r="B9" i="87"/>
  <c r="C9" i="87"/>
  <c r="D9" i="87"/>
  <c r="E9" i="87"/>
  <c r="H9" i="87"/>
  <c r="AX9" i="87" s="1"/>
  <c r="I9" i="87"/>
  <c r="J9" i="87"/>
  <c r="K9" i="87"/>
  <c r="L9" i="87"/>
  <c r="M9" i="87"/>
  <c r="N9" i="87"/>
  <c r="B10" i="87"/>
  <c r="C10" i="87"/>
  <c r="D10" i="87"/>
  <c r="E10" i="87"/>
  <c r="H10" i="87"/>
  <c r="AX10" i="87" s="1"/>
  <c r="I10" i="87"/>
  <c r="P10" i="87" s="1"/>
  <c r="J10" i="87"/>
  <c r="K10" i="87"/>
  <c r="L10" i="87"/>
  <c r="M10" i="87"/>
  <c r="N10" i="87"/>
  <c r="B11" i="87"/>
  <c r="C11" i="87"/>
  <c r="D11" i="87"/>
  <c r="E11" i="87"/>
  <c r="H11" i="87"/>
  <c r="AX11" i="87" s="1"/>
  <c r="I11" i="87"/>
  <c r="J11" i="87"/>
  <c r="K11" i="87"/>
  <c r="L11" i="87"/>
  <c r="M11" i="87"/>
  <c r="N11" i="87"/>
  <c r="B12" i="87"/>
  <c r="C12" i="87"/>
  <c r="D12" i="87"/>
  <c r="E12" i="87"/>
  <c r="H12" i="87"/>
  <c r="AX12" i="87" s="1"/>
  <c r="I12" i="87"/>
  <c r="J12" i="87"/>
  <c r="K12" i="87"/>
  <c r="L12" i="87"/>
  <c r="M12" i="87"/>
  <c r="N12" i="87"/>
  <c r="O12" i="87"/>
  <c r="B13" i="87"/>
  <c r="C13" i="87"/>
  <c r="D13" i="87"/>
  <c r="E13" i="87"/>
  <c r="H13" i="87"/>
  <c r="AX13" i="87" s="1"/>
  <c r="I13" i="87"/>
  <c r="J13" i="87"/>
  <c r="K13" i="87"/>
  <c r="L13" i="87"/>
  <c r="M13" i="87"/>
  <c r="N13" i="87"/>
  <c r="B14" i="87"/>
  <c r="C14" i="87"/>
  <c r="D14" i="87"/>
  <c r="E14" i="87"/>
  <c r="H14" i="87"/>
  <c r="AX14" i="87" s="1"/>
  <c r="I14" i="87"/>
  <c r="J14" i="87"/>
  <c r="K14" i="87"/>
  <c r="L14" i="87"/>
  <c r="M14" i="87"/>
  <c r="N14" i="87"/>
  <c r="B15" i="87"/>
  <c r="C15" i="87"/>
  <c r="D15" i="87"/>
  <c r="E15" i="87"/>
  <c r="H15" i="87"/>
  <c r="AX15" i="87" s="1"/>
  <c r="I15" i="87"/>
  <c r="J15" i="87"/>
  <c r="K15" i="87"/>
  <c r="L15" i="87"/>
  <c r="M15" i="87"/>
  <c r="N15" i="87"/>
  <c r="B16" i="87"/>
  <c r="C16" i="87"/>
  <c r="D16" i="87"/>
  <c r="E16" i="87"/>
  <c r="H16" i="87"/>
  <c r="AX16" i="87" s="1"/>
  <c r="I16" i="87"/>
  <c r="J16" i="87"/>
  <c r="K16" i="87"/>
  <c r="L16" i="87"/>
  <c r="M16" i="87"/>
  <c r="N16" i="87"/>
  <c r="B17" i="87"/>
  <c r="C17" i="87"/>
  <c r="D17" i="87"/>
  <c r="E17" i="87"/>
  <c r="H17" i="87"/>
  <c r="AX17" i="87" s="1"/>
  <c r="I17" i="87"/>
  <c r="J17" i="87"/>
  <c r="K17" i="87"/>
  <c r="L17" i="87"/>
  <c r="P17" i="87" s="1"/>
  <c r="M17" i="87"/>
  <c r="N17" i="87"/>
  <c r="B18" i="87"/>
  <c r="C18" i="87"/>
  <c r="D18" i="87"/>
  <c r="E18" i="87"/>
  <c r="H18" i="87"/>
  <c r="AX18" i="87" s="1"/>
  <c r="I18" i="87"/>
  <c r="J18" i="87"/>
  <c r="K18" i="87"/>
  <c r="L18" i="87"/>
  <c r="M18" i="87"/>
  <c r="N18" i="87"/>
  <c r="B19" i="87"/>
  <c r="C19" i="87"/>
  <c r="D19" i="87"/>
  <c r="E19" i="87"/>
  <c r="H19" i="87"/>
  <c r="AX19" i="87" s="1"/>
  <c r="I19" i="87"/>
  <c r="J19" i="87"/>
  <c r="K19" i="87"/>
  <c r="L19" i="87"/>
  <c r="M19" i="87"/>
  <c r="N19" i="87"/>
  <c r="B20" i="87"/>
  <c r="C20" i="87"/>
  <c r="D20" i="87"/>
  <c r="E20" i="87"/>
  <c r="H20" i="87"/>
  <c r="AX20" i="87" s="1"/>
  <c r="I20" i="87"/>
  <c r="J20" i="87"/>
  <c r="K20" i="87"/>
  <c r="L20" i="87"/>
  <c r="M20" i="87"/>
  <c r="N20" i="87"/>
  <c r="B21" i="87"/>
  <c r="C21" i="87"/>
  <c r="D21" i="87"/>
  <c r="E21" i="87"/>
  <c r="H21" i="87"/>
  <c r="AX21" i="87" s="1"/>
  <c r="I21" i="87"/>
  <c r="J21" i="87"/>
  <c r="K21" i="87"/>
  <c r="L21" i="87"/>
  <c r="P21" i="87" s="1"/>
  <c r="M21" i="87"/>
  <c r="N21" i="87"/>
  <c r="B22" i="87"/>
  <c r="C22" i="87"/>
  <c r="D22" i="87"/>
  <c r="E22" i="87"/>
  <c r="H22" i="87"/>
  <c r="AX22" i="87" s="1"/>
  <c r="I22" i="87"/>
  <c r="J22" i="87"/>
  <c r="K22" i="87"/>
  <c r="L22" i="87"/>
  <c r="M22" i="87"/>
  <c r="N22" i="87"/>
  <c r="B23" i="87"/>
  <c r="C23" i="87"/>
  <c r="D23" i="87"/>
  <c r="E23" i="87"/>
  <c r="H23" i="87"/>
  <c r="AX23" i="87" s="1"/>
  <c r="I23" i="87"/>
  <c r="J23" i="87"/>
  <c r="K23" i="87"/>
  <c r="L23" i="87"/>
  <c r="M23" i="87"/>
  <c r="N23" i="87"/>
  <c r="B24" i="87"/>
  <c r="C24" i="87"/>
  <c r="D24" i="87"/>
  <c r="E24" i="87"/>
  <c r="H24" i="87"/>
  <c r="AX24" i="87" s="1"/>
  <c r="I24" i="87"/>
  <c r="J24" i="87"/>
  <c r="K24" i="87"/>
  <c r="L24" i="87"/>
  <c r="M24" i="87"/>
  <c r="N24" i="87"/>
  <c r="B25" i="87"/>
  <c r="C25" i="87"/>
  <c r="D25" i="87"/>
  <c r="E25" i="87"/>
  <c r="H25" i="87"/>
  <c r="AX25" i="87" s="1"/>
  <c r="I25" i="87"/>
  <c r="J25" i="87"/>
  <c r="K25" i="87"/>
  <c r="L25" i="87"/>
  <c r="M25" i="87"/>
  <c r="N25" i="87"/>
  <c r="B26" i="87"/>
  <c r="C26" i="87"/>
  <c r="D26" i="87"/>
  <c r="E26" i="87"/>
  <c r="H26" i="87"/>
  <c r="AX26" i="87" s="1"/>
  <c r="I26" i="87"/>
  <c r="J26" i="87"/>
  <c r="K26" i="87"/>
  <c r="L26" i="87"/>
  <c r="M26" i="87"/>
  <c r="N26" i="87"/>
  <c r="B27" i="87"/>
  <c r="C27" i="87"/>
  <c r="D27" i="87"/>
  <c r="E27" i="87"/>
  <c r="H27" i="87"/>
  <c r="AX27" i="87" s="1"/>
  <c r="I27" i="87"/>
  <c r="J27" i="87"/>
  <c r="K27" i="87"/>
  <c r="L27" i="87"/>
  <c r="M27" i="87"/>
  <c r="N27" i="87"/>
  <c r="B28" i="87"/>
  <c r="C28" i="87"/>
  <c r="D28" i="87"/>
  <c r="E28" i="87"/>
  <c r="H28" i="87"/>
  <c r="AX28" i="87" s="1"/>
  <c r="I28" i="87"/>
  <c r="J28" i="87"/>
  <c r="K28" i="87"/>
  <c r="L28" i="87"/>
  <c r="M28" i="87"/>
  <c r="N28" i="87"/>
  <c r="B29" i="87"/>
  <c r="C29" i="87"/>
  <c r="D29" i="87"/>
  <c r="E29" i="87"/>
  <c r="H29" i="87"/>
  <c r="AX29" i="87" s="1"/>
  <c r="I29" i="87"/>
  <c r="J29" i="87"/>
  <c r="K29" i="87"/>
  <c r="L29" i="87"/>
  <c r="M29" i="87"/>
  <c r="N29" i="87"/>
  <c r="A3" i="127"/>
  <c r="B3" i="127"/>
  <c r="C3" i="127"/>
  <c r="A4" i="127"/>
  <c r="B4" i="127"/>
  <c r="C4" i="127"/>
  <c r="A5" i="127"/>
  <c r="B5" i="127"/>
  <c r="C5" i="127"/>
  <c r="A6" i="127"/>
  <c r="B6" i="127"/>
  <c r="C6" i="127"/>
  <c r="A7" i="127"/>
  <c r="B7" i="127"/>
  <c r="C7" i="127"/>
  <c r="A8" i="127"/>
  <c r="B8" i="127"/>
  <c r="C8" i="127"/>
  <c r="A9" i="127"/>
  <c r="B9" i="127"/>
  <c r="C9" i="127"/>
  <c r="A10" i="127"/>
  <c r="B10" i="127"/>
  <c r="C10" i="127"/>
  <c r="A11" i="127"/>
  <c r="B11" i="127"/>
  <c r="C11" i="127"/>
  <c r="A12" i="127"/>
  <c r="B12" i="127"/>
  <c r="C12" i="127"/>
  <c r="A13" i="127"/>
  <c r="B13" i="127"/>
  <c r="C13" i="127"/>
  <c r="A14" i="127"/>
  <c r="B14" i="127"/>
  <c r="C14" i="127"/>
  <c r="A15" i="127"/>
  <c r="B15" i="127"/>
  <c r="C15" i="127"/>
  <c r="A16" i="127"/>
  <c r="B16" i="127"/>
  <c r="C16" i="127"/>
  <c r="A17" i="127"/>
  <c r="B17" i="127"/>
  <c r="C17" i="127"/>
  <c r="A18" i="127"/>
  <c r="B18" i="127"/>
  <c r="C18" i="127"/>
  <c r="A19" i="127"/>
  <c r="B19" i="127"/>
  <c r="C19" i="127"/>
  <c r="A20" i="127"/>
  <c r="B20" i="127"/>
  <c r="C20" i="127"/>
  <c r="A21" i="127"/>
  <c r="B21" i="127"/>
  <c r="C21" i="127"/>
  <c r="A22" i="127"/>
  <c r="B22" i="127"/>
  <c r="C22" i="127"/>
  <c r="A23" i="127"/>
  <c r="B23" i="127"/>
  <c r="C23" i="127"/>
  <c r="A24" i="127"/>
  <c r="B24" i="127"/>
  <c r="C24" i="127"/>
  <c r="A25" i="127"/>
  <c r="B25" i="127"/>
  <c r="C25" i="127"/>
  <c r="A26" i="127"/>
  <c r="B26" i="127"/>
  <c r="C26" i="127"/>
  <c r="B2" i="127"/>
  <c r="C2" i="127"/>
  <c r="A2" i="127"/>
  <c r="B2" i="141"/>
  <c r="C2" i="141"/>
  <c r="D2" i="141"/>
  <c r="A2" i="141"/>
  <c r="C2" i="140"/>
  <c r="B2" i="140"/>
  <c r="C4" i="87"/>
  <c r="E4" i="87"/>
  <c r="B4" i="87"/>
  <c r="B47" i="85"/>
  <c r="B49" i="85" s="1"/>
  <c r="B48" i="87"/>
  <c r="I4" i="87"/>
  <c r="J4" i="87"/>
  <c r="K4" i="87"/>
  <c r="L4" i="87"/>
  <c r="M4" i="87"/>
  <c r="N4" i="87"/>
  <c r="H4" i="87"/>
  <c r="AX4" i="87" s="1"/>
  <c r="O27" i="87" l="1"/>
  <c r="P28" i="87"/>
  <c r="H26" i="140" s="1"/>
  <c r="J26" i="140" s="1"/>
  <c r="O16" i="87"/>
  <c r="O9" i="87"/>
  <c r="E8" i="107" s="1"/>
  <c r="P13" i="87"/>
  <c r="O20" i="87"/>
  <c r="O24" i="87"/>
  <c r="P11" i="87"/>
  <c r="I10" i="107" s="1"/>
  <c r="P23" i="87"/>
  <c r="H21" i="140" s="1"/>
  <c r="J21" i="140" s="1"/>
  <c r="J2" i="107"/>
  <c r="B50" i="87"/>
  <c r="F31" i="140"/>
  <c r="F29" i="140" s="1"/>
  <c r="J28" i="107"/>
  <c r="I27" i="107"/>
  <c r="J27" i="107"/>
  <c r="E26" i="107"/>
  <c r="F25" i="140"/>
  <c r="G25" i="140" s="1"/>
  <c r="J26" i="107"/>
  <c r="J25" i="107"/>
  <c r="J24" i="107"/>
  <c r="E23" i="107"/>
  <c r="F22" i="140"/>
  <c r="G22" i="140" s="1"/>
  <c r="J23" i="107"/>
  <c r="J22" i="107"/>
  <c r="J21" i="107"/>
  <c r="I20" i="107"/>
  <c r="H19" i="140"/>
  <c r="J19" i="140" s="1"/>
  <c r="J20" i="107"/>
  <c r="E19" i="107"/>
  <c r="F18" i="140"/>
  <c r="G18" i="140" s="1"/>
  <c r="J19" i="107"/>
  <c r="J18" i="107"/>
  <c r="J17" i="107"/>
  <c r="I16" i="107"/>
  <c r="H15" i="140"/>
  <c r="J15" i="140" s="1"/>
  <c r="J16" i="107"/>
  <c r="E15" i="107"/>
  <c r="F14" i="140"/>
  <c r="G14" i="140" s="1"/>
  <c r="J15" i="107"/>
  <c r="J14" i="107"/>
  <c r="J13" i="107"/>
  <c r="I12" i="107"/>
  <c r="H11" i="140"/>
  <c r="J11" i="140" s="1"/>
  <c r="J12" i="107"/>
  <c r="E11" i="107"/>
  <c r="F10" i="140"/>
  <c r="G10" i="140" s="1"/>
  <c r="J11" i="107"/>
  <c r="J10" i="107"/>
  <c r="I9" i="107"/>
  <c r="H8" i="140"/>
  <c r="J8" i="140" s="1"/>
  <c r="J9" i="107"/>
  <c r="J8" i="107"/>
  <c r="J7" i="107"/>
  <c r="I5" i="107"/>
  <c r="H5" i="140"/>
  <c r="J5" i="140" s="1"/>
  <c r="J5" i="107"/>
  <c r="E4" i="107"/>
  <c r="F4" i="140"/>
  <c r="G4" i="140" s="1"/>
  <c r="J4" i="107"/>
  <c r="I3" i="107"/>
  <c r="H3" i="140"/>
  <c r="J3" i="140" s="1"/>
  <c r="J3" i="107"/>
  <c r="O29" i="87"/>
  <c r="Q29" i="87"/>
  <c r="O28" i="87"/>
  <c r="Q28" i="87"/>
  <c r="Q27" i="87"/>
  <c r="P27" i="87"/>
  <c r="Q26" i="87"/>
  <c r="O25" i="87"/>
  <c r="Q25" i="87"/>
  <c r="Q24" i="87"/>
  <c r="P24" i="87"/>
  <c r="Q23" i="87"/>
  <c r="O22" i="87"/>
  <c r="Q22" i="87"/>
  <c r="O21" i="87"/>
  <c r="Q21" i="87"/>
  <c r="Q20" i="87"/>
  <c r="P20" i="87"/>
  <c r="Q19" i="87"/>
  <c r="O18" i="87"/>
  <c r="Q18" i="87"/>
  <c r="O17" i="87"/>
  <c r="Q17" i="87"/>
  <c r="Q16" i="87"/>
  <c r="P16" i="87"/>
  <c r="O15" i="87"/>
  <c r="Q15" i="87"/>
  <c r="O14" i="87"/>
  <c r="Q14" i="87"/>
  <c r="O13" i="87"/>
  <c r="Q13" i="87"/>
  <c r="Q12" i="87"/>
  <c r="P12" i="87"/>
  <c r="Q11" i="87"/>
  <c r="O10" i="87"/>
  <c r="Q10" i="87"/>
  <c r="Q9" i="87"/>
  <c r="P9" i="87"/>
  <c r="O8" i="87"/>
  <c r="Q8" i="87"/>
  <c r="O7" i="87"/>
  <c r="Q7" i="87"/>
  <c r="Q6" i="87"/>
  <c r="P6" i="87"/>
  <c r="Q5" i="87"/>
  <c r="P26" i="87"/>
  <c r="P19" i="87"/>
  <c r="P15" i="87"/>
  <c r="P8" i="87"/>
  <c r="P29" i="87"/>
  <c r="O26" i="87"/>
  <c r="P25" i="87"/>
  <c r="O23" i="87"/>
  <c r="P22" i="87"/>
  <c r="O19" i="87"/>
  <c r="P18" i="87"/>
  <c r="P14" i="87"/>
  <c r="O11" i="87"/>
  <c r="O5" i="87"/>
  <c r="O4" i="87"/>
  <c r="Q4" i="87"/>
  <c r="P4" i="87"/>
  <c r="H9" i="140" l="1"/>
  <c r="J9" i="140" s="1"/>
  <c r="F7" i="140"/>
  <c r="G7" i="140" s="1"/>
  <c r="I22" i="107"/>
  <c r="K20" i="107"/>
  <c r="K27" i="107"/>
  <c r="K5" i="107"/>
  <c r="K9" i="107"/>
  <c r="K12" i="107"/>
  <c r="I2" i="107"/>
  <c r="K2" i="107" s="1"/>
  <c r="H2" i="140"/>
  <c r="J2" i="140" s="1"/>
  <c r="G2" i="107"/>
  <c r="I2" i="140"/>
  <c r="E2" i="107"/>
  <c r="F2" i="140"/>
  <c r="G2" i="140" s="1"/>
  <c r="E3" i="107"/>
  <c r="F3" i="140"/>
  <c r="G3" i="140" s="1"/>
  <c r="E10" i="107"/>
  <c r="F9" i="140"/>
  <c r="G9" i="140" s="1"/>
  <c r="I13" i="107"/>
  <c r="K13" i="107" s="1"/>
  <c r="H12" i="140"/>
  <c r="J12" i="140" s="1"/>
  <c r="I17" i="107"/>
  <c r="K17" i="107" s="1"/>
  <c r="H16" i="140"/>
  <c r="J16" i="140" s="1"/>
  <c r="E18" i="107"/>
  <c r="F17" i="140"/>
  <c r="G17" i="140" s="1"/>
  <c r="I21" i="107"/>
  <c r="K21" i="107" s="1"/>
  <c r="H20" i="140"/>
  <c r="J20" i="140" s="1"/>
  <c r="E22" i="107"/>
  <c r="F21" i="140"/>
  <c r="G21" i="140" s="1"/>
  <c r="I24" i="107"/>
  <c r="K24" i="107" s="1"/>
  <c r="H23" i="140"/>
  <c r="J23" i="140" s="1"/>
  <c r="E25" i="107"/>
  <c r="F24" i="140"/>
  <c r="G24" i="140" s="1"/>
  <c r="I28" i="107"/>
  <c r="K28" i="107" s="1"/>
  <c r="H27" i="140"/>
  <c r="J27" i="140" s="1"/>
  <c r="I7" i="107"/>
  <c r="K7" i="107" s="1"/>
  <c r="H6" i="140"/>
  <c r="J6" i="140" s="1"/>
  <c r="I14" i="107"/>
  <c r="K14" i="107" s="1"/>
  <c r="H13" i="140"/>
  <c r="J13" i="140" s="1"/>
  <c r="I18" i="107"/>
  <c r="K18" i="107" s="1"/>
  <c r="H17" i="140"/>
  <c r="J17" i="140" s="1"/>
  <c r="I25" i="107"/>
  <c r="K25" i="107" s="1"/>
  <c r="H24" i="140"/>
  <c r="J24" i="140" s="1"/>
  <c r="G3" i="107"/>
  <c r="I3" i="140"/>
  <c r="I4" i="107"/>
  <c r="K4" i="107" s="1"/>
  <c r="H4" i="140"/>
  <c r="J4" i="140" s="1"/>
  <c r="G4" i="107"/>
  <c r="I4" i="140"/>
  <c r="G5" i="107"/>
  <c r="I5" i="140"/>
  <c r="E5" i="107"/>
  <c r="F5" i="140"/>
  <c r="G5" i="140" s="1"/>
  <c r="G7" i="107"/>
  <c r="I6" i="140"/>
  <c r="E7" i="107"/>
  <c r="F6" i="140"/>
  <c r="G6" i="140" s="1"/>
  <c r="I8" i="107"/>
  <c r="K8" i="107" s="1"/>
  <c r="H7" i="140"/>
  <c r="J7" i="140" s="1"/>
  <c r="G8" i="107"/>
  <c r="I7" i="140"/>
  <c r="G9" i="107"/>
  <c r="I8" i="140"/>
  <c r="E9" i="107"/>
  <c r="F8" i="140"/>
  <c r="G8" i="140" s="1"/>
  <c r="G10" i="107"/>
  <c r="I9" i="140"/>
  <c r="I11" i="107"/>
  <c r="K11" i="107" s="1"/>
  <c r="H10" i="140"/>
  <c r="J10" i="140" s="1"/>
  <c r="G11" i="107"/>
  <c r="I10" i="140"/>
  <c r="G12" i="107"/>
  <c r="I11" i="140"/>
  <c r="E12" i="107"/>
  <c r="F11" i="140"/>
  <c r="G11" i="140" s="1"/>
  <c r="G13" i="107"/>
  <c r="I12" i="140"/>
  <c r="E13" i="107"/>
  <c r="F12" i="140"/>
  <c r="G12" i="140" s="1"/>
  <c r="G14" i="107"/>
  <c r="I13" i="140"/>
  <c r="E14" i="107"/>
  <c r="F13" i="140"/>
  <c r="G13" i="140" s="1"/>
  <c r="I15" i="107"/>
  <c r="K15" i="107" s="1"/>
  <c r="H14" i="140"/>
  <c r="J14" i="140" s="1"/>
  <c r="G15" i="107"/>
  <c r="I14" i="140"/>
  <c r="G16" i="107"/>
  <c r="I15" i="140"/>
  <c r="E16" i="107"/>
  <c r="F15" i="140"/>
  <c r="G15" i="140" s="1"/>
  <c r="G17" i="107"/>
  <c r="I16" i="140"/>
  <c r="E17" i="107"/>
  <c r="F16" i="140"/>
  <c r="G16" i="140" s="1"/>
  <c r="G18" i="107"/>
  <c r="I17" i="140"/>
  <c r="I19" i="107"/>
  <c r="K19" i="107" s="1"/>
  <c r="H18" i="140"/>
  <c r="J18" i="140" s="1"/>
  <c r="G19" i="107"/>
  <c r="I18" i="140"/>
  <c r="G20" i="107"/>
  <c r="I19" i="140"/>
  <c r="E20" i="107"/>
  <c r="F19" i="140"/>
  <c r="G19" i="140" s="1"/>
  <c r="G21" i="107"/>
  <c r="I20" i="140"/>
  <c r="E21" i="107"/>
  <c r="F20" i="140"/>
  <c r="G20" i="140" s="1"/>
  <c r="G22" i="107"/>
  <c r="I21" i="140"/>
  <c r="I23" i="107"/>
  <c r="K23" i="107" s="1"/>
  <c r="H22" i="140"/>
  <c r="J22" i="140" s="1"/>
  <c r="G23" i="107"/>
  <c r="I22" i="140"/>
  <c r="G24" i="107"/>
  <c r="I23" i="140"/>
  <c r="E24" i="107"/>
  <c r="F23" i="140"/>
  <c r="G23" i="140" s="1"/>
  <c r="G25" i="107"/>
  <c r="I24" i="140"/>
  <c r="I26" i="107"/>
  <c r="K26" i="107" s="1"/>
  <c r="H25" i="140"/>
  <c r="J25" i="140" s="1"/>
  <c r="G26" i="107"/>
  <c r="I25" i="140"/>
  <c r="G27" i="107"/>
  <c r="I26" i="140"/>
  <c r="E27" i="107"/>
  <c r="F26" i="140"/>
  <c r="G26" i="140" s="1"/>
  <c r="G28" i="107"/>
  <c r="I27" i="140"/>
  <c r="E28" i="107"/>
  <c r="F27" i="140"/>
  <c r="G27" i="140" s="1"/>
  <c r="K3" i="107"/>
  <c r="K10" i="107"/>
  <c r="K16" i="107"/>
  <c r="K22" i="107"/>
  <c r="D31" i="107"/>
  <c r="F7" i="107" l="1"/>
  <c r="F9" i="107"/>
  <c r="M21" i="107"/>
  <c r="H4" i="107"/>
  <c r="L18" i="107"/>
  <c r="M24" i="107"/>
  <c r="M19" i="107"/>
  <c r="M25" i="107"/>
  <c r="H23" i="107"/>
  <c r="H13" i="107"/>
  <c r="M12" i="107"/>
  <c r="H8" i="107"/>
  <c r="L16" i="107"/>
  <c r="F3" i="107"/>
  <c r="F26" i="107"/>
  <c r="M27" i="107"/>
  <c r="L9" i="107"/>
  <c r="F4" i="107"/>
  <c r="F13" i="107"/>
  <c r="H6" i="107"/>
  <c r="F16" i="107"/>
  <c r="M15" i="107"/>
  <c r="F5" i="107"/>
  <c r="M17" i="107"/>
  <c r="L24" i="107"/>
  <c r="L12" i="107"/>
  <c r="F11" i="107"/>
  <c r="M23" i="107"/>
  <c r="F8" i="107"/>
  <c r="F2" i="107"/>
  <c r="F6" i="107"/>
  <c r="F10" i="107"/>
  <c r="F14" i="107"/>
  <c r="M14" i="107"/>
  <c r="M18" i="107"/>
  <c r="M22" i="107"/>
  <c r="M26" i="107"/>
  <c r="L8" i="107"/>
  <c r="H18" i="107"/>
  <c r="H26" i="107"/>
  <c r="M10" i="107"/>
  <c r="F20" i="107"/>
  <c r="L4" i="107"/>
  <c r="L14" i="107"/>
  <c r="H19" i="107"/>
  <c r="F25" i="107"/>
  <c r="F22" i="107"/>
  <c r="M3" i="107"/>
  <c r="M20" i="107"/>
  <c r="L5" i="107"/>
  <c r="F27" i="107"/>
  <c r="F23" i="107"/>
  <c r="F19" i="107"/>
  <c r="F15" i="107"/>
  <c r="H9" i="107"/>
  <c r="L10" i="107"/>
  <c r="F18" i="107"/>
  <c r="M8" i="107"/>
  <c r="L2" i="107"/>
  <c r="L6" i="107"/>
  <c r="M6" i="107"/>
  <c r="L15" i="107"/>
  <c r="L19" i="107"/>
  <c r="L23" i="107"/>
  <c r="L27" i="107"/>
  <c r="M13" i="107"/>
  <c r="L20" i="107"/>
  <c r="L28" i="107"/>
  <c r="L11" i="107"/>
  <c r="F24" i="107"/>
  <c r="M9" i="107"/>
  <c r="H15" i="107"/>
  <c r="F21" i="107"/>
  <c r="L26" i="107"/>
  <c r="H2" i="107"/>
  <c r="M16" i="107"/>
  <c r="H5" i="107"/>
  <c r="L25" i="107"/>
  <c r="L21" i="107"/>
  <c r="L17" i="107"/>
  <c r="M7" i="107"/>
  <c r="M4" i="107"/>
  <c r="F12" i="107"/>
  <c r="H3" i="107"/>
  <c r="H7" i="107"/>
  <c r="H11" i="107"/>
  <c r="L7" i="107"/>
  <c r="H16" i="107"/>
  <c r="H20" i="107"/>
  <c r="H24" i="107"/>
  <c r="H28" i="107"/>
  <c r="M5" i="107"/>
  <c r="H14" i="107"/>
  <c r="H22" i="107"/>
  <c r="L3" i="107"/>
  <c r="H12" i="107"/>
  <c r="F28" i="107"/>
  <c r="H10" i="107"/>
  <c r="F17" i="107"/>
  <c r="L22" i="107"/>
  <c r="H27" i="107"/>
  <c r="M11" i="107"/>
  <c r="M28" i="107"/>
  <c r="L13" i="107"/>
  <c r="M2" i="107"/>
  <c r="H25" i="107"/>
  <c r="H21" i="107"/>
  <c r="H17" i="107"/>
  <c r="M27" i="140"/>
  <c r="L27" i="140"/>
  <c r="K27" i="140"/>
  <c r="L26" i="140"/>
  <c r="M26" i="140"/>
  <c r="K26" i="140"/>
  <c r="L25" i="140"/>
  <c r="M25" i="140"/>
  <c r="K25" i="140"/>
  <c r="L24" i="140"/>
  <c r="M24" i="140"/>
  <c r="K24" i="140"/>
  <c r="M23" i="140"/>
  <c r="L23" i="140"/>
  <c r="K23" i="140"/>
  <c r="L22" i="140"/>
  <c r="M22" i="140"/>
  <c r="K22" i="140"/>
  <c r="L21" i="140"/>
  <c r="M21" i="140"/>
  <c r="K21" i="140"/>
  <c r="L20" i="140"/>
  <c r="M20" i="140"/>
  <c r="K20" i="140"/>
  <c r="M19" i="140"/>
  <c r="L19" i="140"/>
  <c r="K19" i="140"/>
  <c r="L18" i="140"/>
  <c r="M18" i="140"/>
  <c r="K18" i="140"/>
  <c r="L17" i="140"/>
  <c r="M17" i="140"/>
  <c r="K17" i="140"/>
  <c r="L16" i="140"/>
  <c r="M16" i="140"/>
  <c r="K16" i="140"/>
  <c r="M15" i="140"/>
  <c r="L15" i="140"/>
  <c r="K15" i="140"/>
  <c r="L14" i="140"/>
  <c r="M14" i="140"/>
  <c r="K14" i="140"/>
  <c r="L13" i="140"/>
  <c r="M13" i="140"/>
  <c r="K13" i="140"/>
  <c r="L12" i="140"/>
  <c r="M12" i="140"/>
  <c r="K12" i="140"/>
  <c r="M11" i="140"/>
  <c r="L11" i="140"/>
  <c r="K11" i="140"/>
  <c r="L10" i="140"/>
  <c r="M10" i="140"/>
  <c r="K10" i="140"/>
  <c r="L9" i="140"/>
  <c r="M9" i="140"/>
  <c r="K9" i="140"/>
  <c r="L8" i="140"/>
  <c r="M8" i="140"/>
  <c r="K8" i="140"/>
  <c r="M7" i="140"/>
  <c r="L7" i="140"/>
  <c r="K7" i="140"/>
  <c r="L6" i="140"/>
  <c r="M6" i="140"/>
  <c r="K6" i="140"/>
  <c r="L5" i="140"/>
  <c r="M5" i="140"/>
  <c r="K5" i="140"/>
  <c r="M4" i="140"/>
  <c r="L4" i="140"/>
  <c r="K4" i="140"/>
  <c r="L3" i="140"/>
  <c r="M3" i="140"/>
  <c r="K3" i="140"/>
  <c r="L2" i="140"/>
  <c r="M2" i="140"/>
  <c r="K2" i="1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tc={44274F64-DE2C-42CF-810A-7136DA458E09}</author>
    <author>tc={A69D13F6-4543-406C-928F-D0614384A3A8}</author>
    <author>tc={734B08F3-105C-45AA-94F8-196F1F62DBB7}</author>
    <author>tc={202051C6-3F6B-41C6-BA31-6CCA2AE1A6DF}</author>
    <author>tc={64793E28-DEC2-4C31-BC9D-FC8B4A5452CF}</author>
    <author>Usuario</author>
    <author>Juan Bou Bustamante</author>
    <author>tc={A5E4972F-E564-43B8-9C66-58DCE626C97C}</author>
  </authors>
  <commentList>
    <comment ref="D1" authorId="0" shapeId="0" xr:uid="{44274F64-DE2C-42CF-810A-7136DA458E09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E1" authorId="1" shapeId="0" xr:uid="{A69D13F6-4543-406C-928F-D0614384A3A8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F1" authorId="2" shapeId="0" xr:uid="{734B08F3-105C-45AA-94F8-196F1F62DBB7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G1" authorId="3" shapeId="0" xr:uid="{202051C6-3F6B-41C6-BA31-6CCA2AE1A6DF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H1" authorId="4" shapeId="0" xr:uid="{64793E28-DEC2-4C31-BC9D-FC8B4A5452CF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I1" authorId="5" shapeId="0" xr:uid="{00000000-0006-0000-0B00-000001000000}">
      <text>
        <r>
          <rPr>
            <sz val="10"/>
            <color rgb="FF000000"/>
            <rFont val="Arial"/>
            <family val="2"/>
          </rPr>
          <t xml:space="preserve">Puntuar del 1 al 10 (el 10 es la mejor nota). Mucho: 9-10; Medio: 8-7; Bajo: 6-5
</t>
        </r>
      </text>
    </comment>
    <comment ref="J1" authorId="6" shapeId="0" xr:uid="{00000000-0006-0000-0B00-000002000000}">
      <text>
        <r>
          <rPr>
            <sz val="10"/>
            <color rgb="FF000000"/>
            <rFont val="Arial"/>
            <family val="2"/>
          </rPr>
          <t>Puntuar del 1 al 10 (el 10 es la mejor nota)</t>
        </r>
      </text>
    </comment>
    <comment ref="K1" authorId="7" shapeId="0" xr:uid="{A5E4972F-E564-43B8-9C66-58DCE626C97C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Por favor, escribir algo sobre cada alumno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tc={51AC05D0-C69B-48AB-91BE-D7B8AFED515B}</author>
  </authors>
  <commentList>
    <comment ref="T3" authorId="0" shapeId="0" xr:uid="{51AC05D0-C69B-48AB-91BE-D7B8AFED515B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EmpleaTECH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tc={929A395B-A0E5-4F5D-9F6F-72900EC22A7B}</author>
  </authors>
  <commentList>
    <comment ref="AL4" authorId="0" shapeId="0" xr:uid="{929A395B-A0E5-4F5D-9F6F-72900EC22A7B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Día de la nieve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Bou Bustamante</author>
  </authors>
  <commentList>
    <comment ref="L1" authorId="0" shapeId="0" xr:uid="{293509CE-1137-497D-9A1A-A19CAE05677F}">
      <text>
        <r>
          <rPr>
            <b/>
            <sz val="9"/>
            <color indexed="81"/>
            <rFont val="Tahoma"/>
            <charset val="1"/>
          </rPr>
          <t>Juan Bou Bustamante:</t>
        </r>
        <r>
          <rPr>
            <sz val="9"/>
            <color indexed="81"/>
            <rFont val="Tahoma"/>
            <charset val="1"/>
          </rPr>
          <t xml:space="preserve">
23 días es el 85% de 156 días lectivos</t>
        </r>
      </text>
    </comment>
    <comment ref="M1" authorId="0" shapeId="0" xr:uid="{FF202F61-F972-4E83-AAB2-DB0AB943B360}">
      <text>
        <r>
          <rPr>
            <b/>
            <sz val="9"/>
            <color indexed="81"/>
            <rFont val="Tahoma"/>
            <charset val="1"/>
          </rPr>
          <t>Juan Bou Bustamante:</t>
        </r>
        <r>
          <rPr>
            <sz val="9"/>
            <color indexed="81"/>
            <rFont val="Tahoma"/>
            <charset val="1"/>
          </rPr>
          <t xml:space="preserve">
31 días es el 80% de 156 días lectivos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tc={138BF7B8-50FC-4508-A720-CB0C5570F590}</author>
    <author>tc={662343C8-8725-4030-A4AF-8B4F50C063C0}</author>
    <author>tc={5BD836E9-E388-4358-A576-D0B81F694D18}</author>
    <author>tc={C760600A-62F4-43CD-A2FF-FC88CB381B56}</author>
    <author>tc={248CAC96-DB04-4A94-BEFF-58AF7435D334}</author>
    <author>tc={86423E41-2AC3-4E0A-83AA-1D566B5C8322}</author>
    <author>tc={745E0F08-A58B-406A-8BB4-E3E052ACAD18}</author>
    <author>tc={2049DCB1-0AB6-48AF-801C-42349E9FCE38}</author>
  </authors>
  <commentList>
    <comment ref="D1" authorId="0" shapeId="0" xr:uid="{138BF7B8-50FC-4508-A720-CB0C5570F590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E1" authorId="1" shapeId="0" xr:uid="{662343C8-8725-4030-A4AF-8B4F50C063C0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F1" authorId="2" shapeId="0" xr:uid="{5BD836E9-E388-4358-A576-D0B81F694D18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G1" authorId="3" shapeId="0" xr:uid="{C760600A-62F4-43CD-A2FF-FC88CB381B56}">
      <text>
        <r>
          <rPr>
            <sz val="10"/>
            <color rgb="FF00000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nota). Mucho: 9-10; Medio: 8-7; Bajo: 6-5
</t>
        </r>
      </text>
    </comment>
    <comment ref="H1" authorId="4" shapeId="0" xr:uid="{248CAC96-DB04-4A94-BEFF-58AF7435D334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I1" authorId="5" shapeId="0" xr:uid="{86423E41-2AC3-4E0A-83AA-1D566B5C8322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Puntuar del 1 al 10 (el 10 es la mejor nota)</t>
        </r>
      </text>
    </comment>
    <comment ref="J1" authorId="6" shapeId="0" xr:uid="{745E0F08-A58B-406A-8BB4-E3E052ACAD18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Valorar del 1 al 10</t>
        </r>
      </text>
    </comment>
    <comment ref="K1" authorId="7" shapeId="0" xr:uid="{2049DCB1-0AB6-48AF-801C-42349E9FCE38}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Cumplimentar. Dar detalles sobre cada persona</t>
        </r>
      </text>
    </comment>
  </commentList>
</comments>
</file>

<file path=xl/sharedStrings.xml><?xml version="1.0" encoding="utf-8"?>
<sst xmlns="http://schemas.openxmlformats.org/spreadsheetml/2006/main" count="19118" uniqueCount="16733">
  <si>
    <t>Nº</t>
  </si>
  <si>
    <t>APELLIDOS</t>
  </si>
  <si>
    <t>NOMBRE</t>
  </si>
  <si>
    <t>RENDIMIENTO EN CLASE</t>
  </si>
  <si>
    <t>INTERÉS Y ESFUERZO</t>
  </si>
  <si>
    <t>PARTICIPACIÓN EN CLASE</t>
  </si>
  <si>
    <t>COLABORA CON LOS COMPAÑEROS</t>
  </si>
  <si>
    <t>CALIDAD TÉCNICA</t>
  </si>
  <si>
    <t>VALORACIÓN GLOBAL (trayectoria: Actitud y aptitud)</t>
  </si>
  <si>
    <t>RECOMENDARÍAS A ESTE ALUMNO PARA TRABAJAR EN UNA EMPRESA</t>
  </si>
  <si>
    <t>OBSERVACIONES-COMENTARIOS</t>
  </si>
  <si>
    <t>Álvarez García</t>
  </si>
  <si>
    <t>Diego</t>
  </si>
  <si>
    <t>Si</t>
  </si>
  <si>
    <t>Tiene buen nivel, muy lider</t>
  </si>
  <si>
    <t>Amaya Cardona</t>
  </si>
  <si>
    <t>Steven</t>
  </si>
  <si>
    <t>Va haciendo los trabajos, es puntual.</t>
  </si>
  <si>
    <t>Arequipa Cueva</t>
  </si>
  <si>
    <t>Luis Leonardo</t>
  </si>
  <si>
    <t>Está un poco despistado. hay que marcarlo un poco.</t>
  </si>
  <si>
    <t>Carreras Delgado</t>
  </si>
  <si>
    <t>Enrique</t>
  </si>
  <si>
    <t>Buen alumno, trabajador, entrega los trabajos.</t>
  </si>
  <si>
    <t>Danci Koblicska</t>
  </si>
  <si>
    <t>Catalin Grigore</t>
  </si>
  <si>
    <t>Responsable, es muchas veces el representante de los alumnos</t>
  </si>
  <si>
    <t>Diz Gago</t>
  </si>
  <si>
    <t>Daniel</t>
  </si>
  <si>
    <t>Bien, colabora y ayuda, tiene buen nivel y quiere aprender.</t>
  </si>
  <si>
    <t>García Bedoya</t>
  </si>
  <si>
    <t>Bryan Steven</t>
  </si>
  <si>
    <t>Un poco lento, pero va realizando las cosas</t>
  </si>
  <si>
    <t>González Carreras</t>
  </si>
  <si>
    <t>Despistado, serio y aplicado</t>
  </si>
  <si>
    <t>Hebrero Requena</t>
  </si>
  <si>
    <t>Ismael</t>
  </si>
  <si>
    <t>Colabora, tiene buen nivel.</t>
  </si>
  <si>
    <t>Lamata Ramos</t>
  </si>
  <si>
    <t>Gonzalo</t>
  </si>
  <si>
    <t>Problemas para trabajar en equipo.</t>
  </si>
  <si>
    <t>López León</t>
  </si>
  <si>
    <t>José Alejandro</t>
  </si>
  <si>
    <t>Realiza los ejercicios y atiende en clase</t>
  </si>
  <si>
    <t>Luengo Prados</t>
  </si>
  <si>
    <t>Iván</t>
  </si>
  <si>
    <t>Colaborativo, le faltaría trabajar un poco más.</t>
  </si>
  <si>
    <t>Martínez Ruiz-Valdepeñas</t>
  </si>
  <si>
    <t>César</t>
  </si>
  <si>
    <t>Ha ido de menos a más, es trabajador y pregunta las dudas</t>
  </si>
  <si>
    <t>Moreno Pecharromán</t>
  </si>
  <si>
    <t>Ricardo</t>
  </si>
  <si>
    <t>Un poco timido, parece que no se le da muy bien la colaboración</t>
  </si>
  <si>
    <t>Navarro Carretero</t>
  </si>
  <si>
    <t>Guillermo</t>
  </si>
  <si>
    <t>Bien en los trabajos y en los resúmenes iniciales.</t>
  </si>
  <si>
    <t>Nikfarjam Piris</t>
  </si>
  <si>
    <t>Christian</t>
  </si>
  <si>
    <t>Despistado como el sólo, trabajador, también tiene problemas de trabajo en equipo.</t>
  </si>
  <si>
    <t>Palomino Rodríguez</t>
  </si>
  <si>
    <t xml:space="preserve">Álvaro </t>
  </si>
  <si>
    <t>Bien las colaboraciones y se preocupa mucho de aprender.</t>
  </si>
  <si>
    <t>Perillo Montenegro</t>
  </si>
  <si>
    <t>Lucas</t>
  </si>
  <si>
    <t>Va un poco a su bola, pero colabora y hace preguntas cuando no entiende.</t>
  </si>
  <si>
    <t>Ponce Olmedo</t>
  </si>
  <si>
    <t xml:space="preserve">Luis </t>
  </si>
  <si>
    <t>Vive en otro mundo, va, viene, a su bola, evidentemente no las pilla al vuelo.</t>
  </si>
  <si>
    <t>Rodelgo Ruiz</t>
  </si>
  <si>
    <t>David</t>
  </si>
  <si>
    <t>Es timido, simpático y tendría que preguntar algo más</t>
  </si>
  <si>
    <t>Rodríguez Barajas</t>
  </si>
  <si>
    <t>Andrés</t>
  </si>
  <si>
    <t>Bien en lineas generales.</t>
  </si>
  <si>
    <t>Rubio Morán</t>
  </si>
  <si>
    <t>Carlos</t>
  </si>
  <si>
    <t>Puntual y normalmente realiza los ejercicios</t>
  </si>
  <si>
    <t>Ruiz Trenado</t>
  </si>
  <si>
    <t>Fernando</t>
  </si>
  <si>
    <t>Colabora y ayuda a sus compañeros.</t>
  </si>
  <si>
    <t>Sandoval Raza</t>
  </si>
  <si>
    <t>Kevin Eduardo</t>
  </si>
  <si>
    <t>Tiene mucho interés y se va repasando las clases cuando puede.</t>
  </si>
  <si>
    <t>Sierra Mosquera</t>
  </si>
  <si>
    <t>Diana</t>
  </si>
  <si>
    <t>Tiene entorno familiar complicado y facilidad para buscar excusas.</t>
  </si>
  <si>
    <t>Urquizo Zuñiga</t>
  </si>
  <si>
    <t>Juan Eduardo</t>
  </si>
  <si>
    <t>Pregunta, estoy contento con él en lineas generales</t>
  </si>
  <si>
    <t>Villar Fernandes</t>
  </si>
  <si>
    <t>Jaime</t>
  </si>
  <si>
    <t>Se aplica y hace los ejercicios de una forma muy correcta.</t>
  </si>
  <si>
    <t>PUNTUAR TODOS LOS APARTADOS DEL 1 AL 10. El 1 es la peor nota y 10 la mejor</t>
  </si>
  <si>
    <t>EMAIL</t>
  </si>
  <si>
    <t>TOTAL FALTAS Y RETRASOS SIN JUSTIFICAR</t>
  </si>
  <si>
    <t>PORCENTAJE ASISTENCIA (O FALTAS JUSTIFICADAS)</t>
  </si>
  <si>
    <t>Nº de Faltas Total F y R Totales</t>
  </si>
  <si>
    <t>Porcentaje de Asistencia F (si contamos los días completos de asistencia y no contamos los R y/o SAF)</t>
  </si>
  <si>
    <t>Nº de Faltas Total F Totales</t>
  </si>
  <si>
    <t>R+RJ+SAF+SAFJ</t>
  </si>
  <si>
    <t>Nº total de R y SAF, dividido entre 2, más las F (justificadas o no)</t>
  </si>
  <si>
    <t>Porcentaje de asistencia real. Para calcular diploma (80%) o para dejar el curso (-75%)</t>
  </si>
  <si>
    <t>Porcentaje de Asistencia F y R. PARA CALCULAR PRÁCTICAS EN EMPRESA</t>
  </si>
  <si>
    <t>Nº TOTAL DE DÍAS LECTIVOS</t>
  </si>
  <si>
    <t>Fecha</t>
  </si>
  <si>
    <t>Equipos</t>
  </si>
  <si>
    <t>4, 7, 9, 10, 22, 26, 27</t>
  </si>
  <si>
    <t>4, 6, 7, 12, 15, 20, 22, 27</t>
  </si>
  <si>
    <t>7, 22, 23, 24, 26, 27</t>
  </si>
  <si>
    <t>2, 4, 7, 13, 22, 23, 27</t>
  </si>
  <si>
    <t>4, 5, 7, 14, 22, 23, 27</t>
  </si>
  <si>
    <t>4, 5, 7, 14, 22</t>
  </si>
  <si>
    <t>2, 7, 22, 27</t>
  </si>
  <si>
    <t>7, 19, 22, 27</t>
  </si>
  <si>
    <t>7, 21</t>
  </si>
  <si>
    <t>7, 18, 22, 25, 27</t>
  </si>
  <si>
    <t>7, 19, 22, 23, 26</t>
  </si>
  <si>
    <t>4, 7, 8, 22, 27</t>
  </si>
  <si>
    <t>7, 8, 22, 23, 27</t>
  </si>
  <si>
    <t>7,  8, 18,  22, 27</t>
  </si>
  <si>
    <t xml:space="preserve">4, 7, 8, 20, 22, 23, 27, 28 </t>
  </si>
  <si>
    <t>hotm</t>
  </si>
  <si>
    <t>ZONA DE AUTOCÁLCULO</t>
  </si>
  <si>
    <t>x</t>
  </si>
  <si>
    <t>NO MODIFICAR</t>
  </si>
  <si>
    <t>DÍAS</t>
  </si>
  <si>
    <t>Lunes</t>
  </si>
  <si>
    <t>Martes</t>
  </si>
  <si>
    <t>Miércoles</t>
  </si>
  <si>
    <t>Jueves</t>
  </si>
  <si>
    <t>Viernes</t>
  </si>
  <si>
    <t>Sábado</t>
  </si>
  <si>
    <t>Domingo</t>
  </si>
  <si>
    <t>HORAS</t>
  </si>
  <si>
    <t>Nick name</t>
  </si>
  <si>
    <t>Email 365</t>
  </si>
  <si>
    <t>Email</t>
  </si>
  <si>
    <t>Teléfono</t>
  </si>
  <si>
    <t>A</t>
  </si>
  <si>
    <t>FJ</t>
  </si>
  <si>
    <t>RJ</t>
  </si>
  <si>
    <t>SAFJ</t>
  </si>
  <si>
    <t>F</t>
  </si>
  <si>
    <t>R</t>
  </si>
  <si>
    <t>SAF</t>
  </si>
  <si>
    <t>TOTAL FALTAS MES</t>
  </si>
  <si>
    <t>Nº de Faltas Total F Mes</t>
  </si>
  <si>
    <t>Nº de Faltas Total F y R Mes</t>
  </si>
  <si>
    <t>ASISTENCIA</t>
  </si>
  <si>
    <t>CLAVE PROFESOR (INICIALES):</t>
  </si>
  <si>
    <t>CLAVE COORDINADOR (JBB):</t>
  </si>
  <si>
    <t>CLAVES (escribir en mayúsculas)</t>
  </si>
  <si>
    <t/>
  </si>
  <si>
    <t>Dejar en blanco</t>
  </si>
  <si>
    <t>PRESENTACIÓN PROYECTO EN CASA</t>
  </si>
  <si>
    <t>PPC</t>
  </si>
  <si>
    <t>FALTA JUSTIFICADA</t>
  </si>
  <si>
    <t>(aporta justificante original válido)</t>
  </si>
  <si>
    <t>RETRASO JUSTIFICADO</t>
  </si>
  <si>
    <t>INSERTAR COMENTARIOS PARA ESPECIFICAR A QUÉ HORA LLEGA TARDE UN ALUMNO O A QUÉ HORA SE MARCHA UN ALUMNO</t>
  </si>
  <si>
    <t>SALIDA ANTES DE FINALIZAR JUSTIFICADA</t>
  </si>
  <si>
    <t>FALTA</t>
  </si>
  <si>
    <t>(si falta más del 50% de la jornada, computar como falta)</t>
  </si>
  <si>
    <t>RETRASO</t>
  </si>
  <si>
    <t>(si no está al comienzo de la clase. Se considera retraso si se incorpora justo después del descanso, a las 12:00</t>
  </si>
  <si>
    <t>SALIDA ANTES DE FINALIZAR CLASE</t>
  </si>
  <si>
    <t>(si no está al finalizar la clase). Si se marcha a partir de la mitad de la jornada</t>
  </si>
  <si>
    <t>NO SE HA INCORPORADO TODAVÍA</t>
  </si>
  <si>
    <t>X</t>
  </si>
  <si>
    <t>CLAVE PROFESOR</t>
  </si>
  <si>
    <t>Escribir iniciales</t>
  </si>
  <si>
    <t>Sobre fondo de color verde</t>
  </si>
  <si>
    <t>DÍAS LECTIVOS MES:</t>
  </si>
  <si>
    <t>se autocalcula</t>
  </si>
  <si>
    <t>HORAS DÍA:</t>
  </si>
  <si>
    <t>HORAS LECTIVAS MES:</t>
  </si>
  <si>
    <t>OBSERVACIONES (si hay días con menos de X horas lectivas, poner el nº de horas lectivas al mes a mano)</t>
  </si>
  <si>
    <t>TOTAL HORAS CURSO:</t>
  </si>
  <si>
    <t>CLAVE PROFESOR (PGS):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</si>
  <si>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</si>
  <si>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</si>
  <si>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</si>
  <si>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</si>
  <si>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</si>
  <si>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</si>
  <si>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</si>
  <si>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</si>
  <si>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</si>
  <si>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</si>
  <si>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</si>
  <si>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</si>
  <si>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</si>
  <si>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</si>
  <si>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</si>
  <si>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</si>
  <si>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</si>
  <si>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</si>
  <si>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</si>
  <si>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</si>
  <si>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</si>
  <si>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</si>
  <si>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</si>
  <si>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</si>
  <si>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</si>
  <si>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</si>
  <si>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</si>
  <si>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</si>
  <si>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</si>
  <si>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</si>
  <si>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</si>
  <si>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</si>
  <si>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</si>
  <si>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</si>
  <si>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</si>
  <si>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</si>
  <si>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</si>
  <si>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</si>
  <si>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</si>
  <si>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</si>
  <si>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</si>
  <si>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</si>
  <si>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</si>
  <si>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</si>
  <si>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</si>
  <si>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</si>
  <si>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</si>
  <si>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</si>
  <si>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</si>
  <si>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</si>
  <si>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</si>
  <si>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</si>
  <si>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</si>
  <si>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</si>
  <si>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</si>
  <si>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</si>
  <si>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</si>
  <si>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</si>
  <si>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</si>
  <si>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</si>
  <si>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</si>
  <si>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</si>
  <si>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</si>
  <si>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</si>
  <si>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</si>
  <si>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</si>
  <si>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</si>
  <si>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</si>
  <si>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</si>
  <si>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</si>
  <si>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</si>
  <si>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</si>
  <si>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</si>
  <si>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</si>
  <si>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</si>
  <si>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</si>
  <si>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</si>
  <si>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</si>
  <si>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</si>
  <si>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</si>
  <si>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</si>
  <si>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</si>
  <si>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</si>
  <si>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</si>
  <si>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</si>
  <si>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</si>
  <si>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</si>
  <si>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</si>
  <si>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</si>
  <si>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</si>
  <si>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</si>
  <si>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</si>
  <si>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</si>
  <si>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</si>
  <si>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</si>
  <si>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</si>
  <si>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</si>
  <si>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</si>
  <si>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</si>
  <si>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</si>
  <si>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</si>
  <si>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</si>
  <si>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</si>
  <si>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</si>
  <si>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</si>
  <si>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</si>
  <si>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</si>
  <si>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</si>
  <si>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</si>
  <si>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</si>
  <si>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</si>
  <si>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</si>
  <si>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</si>
  <si>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</si>
  <si>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</si>
  <si>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</si>
  <si>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</si>
  <si>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</si>
  <si>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</si>
  <si>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</si>
  <si>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</si>
  <si>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</si>
  <si>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</si>
  <si>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</si>
  <si>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</si>
  <si>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</si>
  <si>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</si>
  <si>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</si>
  <si>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</si>
  <si>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</si>
  <si>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</si>
  <si>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</si>
  <si>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</si>
  <si>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</si>
  <si>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</si>
  <si>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</si>
  <si>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</si>
  <si>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</si>
  <si>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</si>
  <si>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</si>
  <si>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</si>
  <si>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</si>
  <si>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</si>
  <si>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</si>
  <si>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</si>
  <si>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</si>
  <si>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</si>
  <si>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</si>
  <si>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</si>
  <si>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</si>
  <si>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</si>
  <si>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</si>
  <si>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</si>
  <si>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</si>
  <si>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</si>
  <si>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</si>
  <si>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</si>
  <si>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</si>
  <si>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</si>
  <si>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</si>
  <si>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</si>
  <si>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</si>
  <si>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</si>
  <si>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</si>
  <si>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</si>
  <si>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</si>
  <si>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</si>
  <si>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</si>
  <si>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</si>
  <si>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</si>
  <si>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</si>
  <si>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</si>
  <si>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</si>
  <si>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</si>
  <si>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</si>
  <si>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</si>
  <si>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</si>
  <si>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</si>
  <si>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</si>
  <si>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</si>
  <si>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</si>
  <si>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</si>
  <si>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</si>
  <si>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</si>
  <si>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</si>
  <si>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</si>
  <si>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</si>
  <si>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</si>
  <si>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</si>
  <si>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</si>
  <si>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</si>
  <si>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</si>
  <si>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</si>
  <si>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</si>
  <si>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</si>
  <si>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</si>
  <si>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</si>
  <si>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</si>
  <si>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</si>
  <si>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</si>
  <si>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</si>
  <si>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</si>
  <si>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</si>
  <si>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</si>
  <si>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</si>
  <si>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</si>
  <si>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</si>
  <si>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</si>
  <si>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</si>
  <si>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</si>
  <si>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</si>
  <si>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</si>
  <si>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</si>
  <si>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</si>
  <si>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</si>
  <si>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</si>
  <si>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</si>
  <si>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</si>
  <si>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</si>
  <si>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</si>
  <si>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</si>
  <si>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</si>
  <si>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</si>
  <si>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</si>
  <si>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</si>
  <si>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</si>
  <si>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</si>
  <si>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</si>
  <si>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</si>
  <si>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</si>
  <si>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</si>
  <si>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</si>
  <si>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</si>
  <si>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</si>
  <si>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</si>
  <si>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</si>
  <si>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</si>
  <si>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</si>
  <si>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</si>
  <si>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</si>
  <si>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</si>
  <si>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</si>
  <si>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</si>
  <si>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</si>
  <si>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</si>
  <si>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</si>
  <si>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</si>
  <si>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</si>
  <si>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</si>
  <si>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</si>
  <si>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</si>
  <si>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</si>
  <si>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</si>
  <si>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</si>
  <si>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</si>
  <si>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</si>
  <si>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</si>
  <si>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</si>
  <si>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</si>
  <si>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</si>
  <si>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</si>
  <si>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</si>
  <si>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</si>
  <si>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</si>
  <si>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</si>
  <si>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</si>
  <si>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</si>
  <si>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</si>
  <si>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</si>
  <si>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</si>
  <si>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</si>
  <si>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</si>
  <si>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</si>
  <si>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</si>
  <si>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</si>
  <si>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</si>
  <si>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</si>
  <si>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</si>
  <si>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</si>
  <si>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</si>
  <si>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</si>
  <si>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</si>
  <si>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</si>
  <si>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</si>
  <si>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</si>
  <si>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</si>
  <si>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</si>
  <si>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</si>
  <si>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</si>
  <si>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</si>
  <si>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</si>
  <si>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</si>
  <si>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</si>
  <si>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</si>
  <si>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</si>
  <si>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</si>
  <si>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</si>
  <si>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</si>
  <si>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</si>
  <si>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</si>
  <si>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</si>
  <si>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</si>
  <si>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</si>
  <si>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</si>
  <si>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</si>
  <si>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</si>
  <si>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</si>
  <si>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</si>
  <si>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</si>
  <si>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</si>
  <si>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</si>
  <si>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</si>
  <si>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</si>
  <si>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</si>
  <si>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</si>
  <si>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</si>
  <si>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</si>
  <si>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</si>
  <si>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</si>
  <si>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</si>
  <si>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</si>
  <si>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</si>
  <si>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</si>
  <si>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</si>
  <si>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</si>
  <si>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</si>
  <si>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</si>
  <si>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</si>
  <si>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</si>
  <si>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</si>
  <si>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</si>
  <si>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</si>
  <si>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</si>
  <si>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</si>
  <si>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</si>
  <si>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</si>
  <si>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</si>
  <si>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</si>
  <si>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</si>
  <si>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</si>
  <si>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</si>
  <si>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</si>
  <si>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</si>
  <si>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</si>
  <si>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</si>
  <si>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</si>
  <si>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</si>
  <si>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</si>
  <si>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</si>
  <si>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</si>
  <si>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</si>
  <si>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</si>
  <si>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</si>
  <si>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</si>
  <si>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</si>
  <si>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</si>
  <si>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</si>
  <si>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</si>
  <si>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</si>
  <si>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</si>
  <si>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</si>
  <si>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</si>
  <si>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</si>
  <si>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</si>
  <si>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</si>
  <si>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</si>
  <si>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</si>
  <si>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</si>
  <si>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</si>
  <si>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</si>
  <si>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</si>
  <si>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</si>
  <si>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</si>
  <si>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</si>
  <si>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</si>
  <si>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</si>
  <si>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</si>
  <si>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</si>
  <si>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</si>
  <si>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</si>
  <si>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</si>
  <si>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</si>
  <si>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</si>
  <si>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</si>
  <si>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</si>
  <si>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</si>
  <si>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</si>
  <si>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</si>
  <si>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</si>
  <si>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</si>
  <si>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</si>
  <si>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</si>
  <si>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</si>
  <si>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</si>
  <si>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</si>
  <si>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</si>
  <si>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</si>
  <si>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</si>
  <si>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</si>
  <si>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</si>
  <si>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</si>
  <si>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</si>
  <si>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</si>
  <si>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</si>
  <si>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</si>
  <si>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</si>
  <si>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</si>
  <si>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</si>
  <si>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</si>
  <si>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</si>
  <si>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</si>
  <si>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</si>
  <si>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</si>
  <si>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</si>
  <si>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</si>
  <si>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</si>
  <si>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</si>
  <si>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</si>
  <si>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</si>
  <si>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</si>
  <si>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</si>
  <si>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</si>
  <si>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</si>
  <si>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</si>
  <si>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</si>
  <si>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</si>
  <si>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</si>
  <si>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</si>
  <si>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</si>
  <si>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</si>
  <si>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</si>
  <si>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</si>
  <si>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</si>
  <si>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</si>
  <si>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</si>
  <si>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</si>
  <si>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</si>
  <si>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</si>
  <si>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</si>
  <si>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</si>
  <si>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</si>
  <si>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</si>
  <si>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</si>
  <si>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</si>
  <si>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</si>
  <si>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</si>
  <si>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</si>
  <si>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</si>
  <si>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</si>
  <si>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</si>
  <si>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</si>
  <si>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</si>
  <si>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</si>
  <si>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</si>
  <si>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</si>
  <si>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</si>
  <si>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</si>
  <si>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</si>
  <si>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</si>
  <si>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</si>
  <si>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</si>
  <si>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</si>
  <si>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</si>
  <si>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</si>
  <si>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</si>
  <si>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</si>
  <si>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</si>
  <si>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</si>
  <si>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</si>
  <si>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</si>
  <si>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</si>
  <si>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</si>
  <si>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</si>
  <si>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</si>
  <si>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</si>
  <si>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</si>
  <si>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</si>
  <si>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</si>
  <si>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</si>
  <si>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</si>
  <si>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</si>
  <si>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</si>
  <si>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</si>
  <si>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</si>
  <si>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</si>
  <si>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</si>
  <si>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</si>
  <si>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</si>
  <si>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</si>
  <si>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</si>
  <si>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</si>
  <si>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</si>
  <si>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</si>
  <si>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</si>
  <si>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</si>
  <si>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</si>
  <si>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</si>
  <si>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</si>
  <si>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</si>
  <si>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</si>
  <si>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</si>
  <si>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</si>
  <si>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</si>
  <si>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</si>
  <si>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</si>
  <si>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</si>
  <si>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</si>
  <si>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</si>
  <si>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</si>
  <si>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</si>
  <si>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</si>
  <si>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</si>
  <si>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</si>
  <si>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</si>
  <si>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</si>
  <si>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</si>
  <si>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</si>
  <si>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</si>
  <si>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</si>
  <si>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</si>
  <si>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</si>
  <si>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</si>
  <si>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</si>
  <si>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</si>
  <si>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</si>
  <si>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</si>
  <si>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</si>
  <si>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</si>
  <si>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</si>
  <si>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</si>
  <si>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</si>
  <si>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</si>
  <si>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</si>
  <si>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</si>
  <si>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</si>
  <si>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</si>
  <si>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</si>
  <si>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</si>
  <si>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</si>
  <si>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</si>
  <si>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</si>
  <si>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</si>
  <si>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</si>
  <si>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</si>
  <si>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</si>
  <si>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</si>
  <si>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</si>
  <si>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</si>
  <si>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</si>
  <si>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</si>
  <si>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</si>
  <si>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</si>
  <si>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</si>
  <si>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</si>
  <si>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</si>
  <si>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</si>
  <si>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</si>
  <si>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</si>
  <si>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</si>
  <si>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</si>
  <si>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</si>
  <si>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</si>
  <si>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</si>
  <si>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</si>
  <si>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</si>
  <si>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</si>
  <si>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</si>
  <si>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</si>
  <si>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</si>
  <si>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</si>
  <si>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</si>
  <si>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</si>
  <si>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</si>
  <si>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</si>
  <si>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</si>
  <si>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</si>
  <si>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</si>
  <si>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</si>
  <si>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</si>
  <si>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</si>
  <si>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</si>
  <si>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</si>
  <si>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</si>
  <si>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</si>
  <si>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</si>
  <si>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</si>
  <si>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</si>
  <si>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</si>
  <si>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</si>
  <si>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</si>
  <si>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</si>
  <si>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</si>
  <si>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</si>
  <si>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</si>
  <si>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</si>
  <si>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</si>
  <si>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</si>
  <si>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</si>
  <si>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</si>
  <si>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</si>
  <si>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</si>
  <si>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</si>
  <si>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</si>
  <si>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</si>
  <si>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</si>
  <si>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</si>
  <si>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</si>
  <si>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</si>
  <si>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</si>
  <si>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</si>
  <si>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</si>
  <si>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</si>
  <si>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</si>
  <si>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</si>
  <si>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</si>
  <si>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</si>
  <si>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</si>
  <si>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</si>
  <si>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</si>
  <si>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</si>
  <si>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</si>
  <si>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</si>
  <si>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</si>
  <si>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</si>
  <si>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</si>
  <si>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</si>
  <si>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</si>
  <si>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</si>
  <si>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</si>
  <si>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</si>
  <si>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</si>
  <si>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</si>
  <si>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</si>
  <si>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</si>
  <si>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</si>
  <si>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</si>
  <si>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</si>
  <si>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</si>
  <si>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</si>
  <si>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</si>
  <si>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</si>
  <si>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</si>
  <si>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</si>
  <si>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</si>
  <si>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</si>
  <si>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</si>
  <si>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</si>
  <si>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</si>
  <si>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</si>
  <si>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</si>
  <si>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</si>
  <si>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</si>
  <si>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</si>
  <si>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</si>
  <si>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</si>
  <si>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</si>
  <si>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</si>
  <si>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</si>
  <si>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</si>
  <si>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</si>
  <si>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</si>
  <si>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</si>
  <si>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</si>
  <si>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</si>
  <si>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</si>
  <si>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</si>
  <si>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</si>
  <si>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</si>
  <si>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</si>
  <si>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</si>
  <si>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</si>
  <si>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</si>
  <si>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</si>
  <si>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</si>
  <si>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</si>
  <si>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</si>
  <si>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</si>
  <si>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</si>
  <si>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</si>
  <si>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</si>
  <si>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</si>
  <si>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</si>
  <si>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</si>
  <si>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</si>
  <si>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</si>
  <si>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</si>
  <si>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</si>
  <si>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</si>
  <si>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</si>
  <si>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</si>
  <si>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</si>
  <si>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</si>
  <si>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</si>
  <si>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</si>
  <si>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</si>
  <si>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</si>
  <si>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</si>
  <si>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</si>
  <si>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</si>
  <si>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</si>
  <si>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</si>
  <si>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</si>
  <si>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</si>
  <si>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</si>
  <si>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</si>
  <si>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</si>
  <si>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</si>
  <si>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</si>
  <si>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</si>
  <si>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</si>
  <si>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</si>
  <si>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</si>
  <si>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</si>
  <si>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</si>
  <si>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</si>
  <si>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</si>
  <si>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</si>
  <si>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</si>
  <si>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</si>
  <si>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</si>
  <si>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</si>
  <si>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</si>
  <si>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</si>
  <si>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</si>
  <si>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</si>
  <si>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</si>
  <si>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</si>
  <si>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</si>
  <si>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</si>
  <si>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</si>
  <si>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</si>
  <si>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</si>
  <si>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</si>
  <si>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</si>
  <si>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</si>
  <si>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</si>
  <si>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</si>
  <si>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</si>
  <si>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</si>
  <si>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</si>
  <si>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</si>
  <si>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</si>
  <si>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</si>
  <si>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</si>
  <si>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</si>
  <si>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</si>
  <si>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</si>
  <si>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</si>
  <si>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</si>
  <si>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</si>
  <si>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</si>
  <si>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</si>
  <si>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</si>
  <si>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</si>
  <si>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</si>
  <si>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</si>
  <si>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</si>
  <si>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</si>
  <si>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</si>
  <si>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</si>
  <si>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</si>
  <si>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</si>
  <si>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</si>
  <si>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</si>
  <si>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</si>
  <si>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</si>
  <si>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</si>
  <si>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</si>
  <si>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</si>
  <si>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</si>
  <si>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</si>
  <si>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</si>
  <si>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</si>
  <si>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</si>
  <si>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</si>
  <si>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</si>
  <si>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</si>
  <si>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</si>
  <si>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</si>
  <si>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</si>
  <si>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</si>
  <si>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</si>
  <si>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</si>
  <si>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</si>
  <si>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</si>
  <si>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</si>
  <si>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</si>
  <si>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</si>
  <si>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</si>
  <si>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</si>
  <si>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</si>
  <si>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</si>
  <si>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</si>
  <si>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</si>
  <si>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</si>
  <si>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</si>
  <si>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</si>
  <si>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</si>
  <si>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</si>
  <si>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</si>
  <si>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</si>
  <si>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</si>
  <si>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</si>
  <si>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</si>
  <si>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</si>
  <si>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</si>
  <si>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</si>
  <si>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</si>
  <si>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</si>
  <si>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</si>
  <si>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</si>
  <si>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</si>
  <si>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</si>
  <si>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</si>
  <si>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</si>
  <si>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</si>
  <si>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</si>
  <si>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</si>
  <si>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</si>
  <si>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</si>
  <si>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</si>
  <si>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</si>
  <si>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</si>
  <si>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</si>
  <si>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</si>
  <si>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</si>
  <si>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</si>
  <si>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</si>
  <si>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</si>
  <si>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</si>
  <si>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</si>
  <si>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</si>
  <si>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</si>
  <si>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</si>
  <si>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</si>
  <si>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</si>
  <si>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</si>
  <si>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</si>
  <si>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</si>
  <si>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</si>
  <si>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</si>
  <si>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</si>
  <si>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</si>
  <si>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</si>
  <si>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</si>
  <si>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</si>
  <si>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</si>
  <si>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</si>
  <si>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</si>
  <si>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</si>
  <si>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</si>
  <si>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</si>
  <si>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</si>
  <si>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</si>
  <si>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</si>
  <si>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</si>
  <si>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</si>
  <si>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</si>
  <si>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</si>
  <si>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</si>
  <si>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</si>
  <si>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</si>
  <si>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</si>
  <si>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</si>
  <si>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</si>
  <si>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</si>
  <si>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</si>
  <si>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</si>
  <si>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</si>
  <si>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</si>
  <si>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</si>
  <si>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</si>
  <si>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</si>
  <si>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</si>
  <si>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</si>
  <si>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</si>
  <si>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</si>
  <si>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</si>
  <si>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</si>
  <si>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</si>
  <si>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</si>
  <si>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</si>
  <si>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</si>
  <si>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</si>
  <si>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</si>
  <si>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</si>
  <si>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</si>
  <si>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</si>
  <si>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</si>
  <si>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</si>
  <si>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</si>
  <si>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</si>
  <si>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</si>
  <si>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</si>
  <si>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</si>
  <si>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</si>
  <si>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</si>
  <si>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</si>
  <si>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</si>
  <si>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</si>
  <si>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</si>
  <si>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</si>
  <si>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</si>
  <si>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</si>
  <si>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</si>
  <si>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</si>
  <si>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</si>
  <si>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</si>
  <si>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</si>
  <si>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</si>
  <si>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</si>
  <si>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</si>
  <si>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</si>
  <si>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</si>
  <si>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</si>
  <si>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</si>
  <si>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</si>
  <si>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</si>
  <si>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</si>
  <si>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</si>
  <si>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</si>
  <si>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</si>
  <si>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</si>
  <si>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</si>
  <si>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</si>
  <si>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</si>
  <si>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</si>
  <si>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</si>
  <si>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</si>
  <si>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</si>
  <si>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</si>
  <si>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</si>
  <si>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</si>
  <si>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</si>
  <si>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</si>
  <si>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</si>
  <si>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</si>
  <si>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</si>
  <si>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</si>
  <si>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</si>
  <si>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</si>
  <si>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</si>
  <si>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</si>
  <si>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</si>
  <si>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</si>
  <si>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</si>
  <si>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</si>
  <si>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</si>
  <si>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</si>
  <si>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</si>
  <si>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</si>
  <si>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</si>
  <si>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</si>
  <si>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</si>
  <si>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</si>
  <si>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</si>
  <si>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</si>
  <si>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</si>
  <si>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</si>
  <si>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</si>
  <si>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</si>
  <si>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</si>
  <si>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</si>
  <si>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</si>
  <si>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</si>
  <si>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</si>
  <si>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</si>
  <si>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</si>
  <si>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</si>
  <si>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</si>
  <si>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</si>
  <si>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</si>
  <si>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</si>
  <si>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</si>
  <si>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</si>
  <si>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</si>
  <si>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</si>
  <si>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</si>
  <si>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</si>
  <si>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</si>
  <si>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</si>
  <si>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</si>
  <si>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</si>
  <si>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</si>
  <si>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</si>
  <si>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</si>
  <si>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</si>
  <si>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</si>
  <si>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</si>
  <si>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</si>
  <si>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</si>
  <si>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</si>
  <si>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</si>
  <si>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</si>
  <si>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</si>
  <si>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</si>
  <si>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</si>
  <si>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</si>
  <si>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</si>
  <si>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</si>
  <si>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</si>
  <si>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</si>
  <si>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</si>
  <si>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</si>
  <si>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</si>
  <si>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</si>
  <si>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</si>
  <si>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</si>
  <si>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</si>
  <si>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</si>
  <si>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</si>
  <si>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</si>
  <si>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</si>
  <si>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</si>
  <si>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</si>
  <si>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</si>
  <si>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</si>
  <si>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</si>
  <si>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</si>
  <si>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</si>
  <si>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</si>
  <si>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</si>
  <si>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</si>
  <si>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</si>
  <si>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</si>
  <si>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</si>
  <si>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</si>
  <si>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</si>
  <si>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</si>
  <si>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</si>
  <si>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</si>
  <si>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</si>
  <si>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</si>
  <si>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</si>
  <si>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</si>
  <si>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</si>
  <si>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</si>
  <si>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</si>
  <si>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</si>
  <si>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</si>
  <si>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</si>
  <si>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</si>
  <si>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</si>
  <si>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</si>
  <si>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</si>
  <si>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</si>
  <si>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</si>
  <si>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</si>
  <si>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</si>
  <si>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</si>
  <si>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</si>
  <si>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</si>
  <si>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</si>
  <si>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</si>
  <si>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</si>
  <si>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</si>
  <si>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</si>
  <si>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</si>
  <si>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</si>
  <si>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</si>
  <si>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</si>
  <si>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</si>
  <si>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</si>
  <si>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</si>
  <si>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</si>
  <si>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</si>
  <si>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</si>
  <si>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</si>
  <si>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</si>
  <si>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</si>
  <si>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</si>
  <si>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</si>
  <si>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</si>
  <si>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</si>
  <si>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</si>
  <si>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</si>
  <si>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</si>
  <si>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</si>
  <si>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</si>
  <si>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</si>
  <si>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</si>
  <si>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</si>
  <si>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</si>
  <si>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</si>
  <si>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</si>
  <si>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</si>
  <si>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</si>
  <si>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</si>
  <si>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</si>
  <si>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</si>
  <si>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</si>
  <si>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</si>
  <si>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</si>
  <si>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</si>
  <si>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</si>
  <si>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</si>
  <si>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</si>
  <si>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</si>
  <si>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</si>
  <si>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</si>
  <si>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</si>
  <si>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</si>
  <si>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</si>
  <si>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</si>
  <si>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</si>
  <si>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</si>
  <si>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</si>
  <si>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</si>
  <si>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</si>
  <si>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</si>
  <si>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</si>
  <si>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</si>
  <si>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</si>
  <si>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</si>
  <si>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</si>
  <si>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</si>
  <si>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</si>
  <si>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</si>
  <si>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</si>
  <si>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</si>
  <si>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</si>
  <si>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</si>
  <si>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</si>
  <si>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</si>
  <si>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</si>
  <si>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</si>
  <si>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</si>
  <si>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</si>
  <si>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</si>
  <si>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</si>
  <si>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</si>
  <si>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</si>
  <si>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</si>
  <si>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</si>
  <si>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</si>
  <si>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</si>
  <si>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</si>
  <si>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</si>
  <si>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</si>
  <si>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</si>
  <si>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</si>
  <si>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</si>
  <si>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</si>
  <si>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</si>
  <si>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</si>
  <si>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</si>
  <si>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</si>
  <si>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</si>
  <si>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</si>
  <si>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</si>
  <si>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</si>
  <si>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</si>
  <si>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</si>
  <si>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</si>
  <si>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</si>
  <si>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</si>
  <si>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</si>
  <si>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</si>
  <si>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</si>
  <si>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</si>
  <si>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</si>
  <si>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</si>
  <si>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</si>
  <si>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</si>
  <si>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</si>
  <si>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</si>
  <si>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</si>
  <si>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</si>
  <si>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</si>
  <si>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</si>
  <si>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</si>
  <si>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</si>
  <si>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</si>
  <si>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</si>
  <si>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</si>
  <si>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</si>
  <si>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</si>
  <si>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</si>
  <si>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</si>
  <si>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</si>
  <si>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</si>
  <si>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</si>
  <si>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</si>
  <si>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</si>
  <si>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</si>
  <si>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</si>
  <si>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</si>
  <si>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</si>
  <si>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</si>
  <si>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</si>
  <si>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</si>
  <si>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</si>
  <si>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</si>
  <si>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</si>
  <si>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</si>
  <si>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</si>
  <si>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</si>
  <si>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</si>
  <si>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</si>
  <si>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</si>
  <si>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</si>
  <si>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</si>
  <si>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</si>
  <si>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</si>
  <si>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</si>
  <si>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</si>
  <si>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</si>
  <si>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</si>
  <si>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</si>
  <si>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</si>
  <si>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</si>
  <si>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</si>
  <si>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</si>
  <si>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</si>
  <si>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</si>
  <si>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</si>
  <si>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</si>
  <si>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</si>
  <si>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</si>
  <si>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</si>
  <si>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</si>
  <si>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</si>
  <si>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</si>
  <si>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</si>
  <si>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</si>
  <si>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</si>
  <si>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</si>
  <si>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</si>
  <si>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</si>
  <si>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</si>
  <si>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</si>
  <si>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</si>
  <si>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</si>
  <si>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</si>
  <si>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</si>
  <si>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</si>
  <si>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</si>
  <si>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</si>
  <si>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</si>
  <si>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</si>
  <si>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</si>
  <si>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</si>
  <si>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</si>
  <si>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</si>
  <si>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</si>
  <si>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</si>
  <si>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</si>
  <si>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</si>
  <si>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</si>
  <si>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</si>
  <si>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</si>
  <si>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</si>
  <si>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</si>
  <si>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</si>
  <si>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</si>
  <si>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</si>
  <si>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</si>
  <si>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</si>
  <si>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</si>
  <si>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</si>
  <si>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</si>
  <si>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</si>
  <si>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</si>
  <si>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</si>
  <si>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</si>
  <si>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</si>
  <si>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</si>
  <si>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</si>
  <si>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</si>
  <si>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</si>
  <si>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</si>
  <si>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</si>
  <si>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</si>
  <si>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</si>
  <si>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</si>
  <si>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</si>
  <si>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</si>
  <si>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</si>
  <si>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</si>
  <si>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</si>
  <si>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</si>
  <si>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</si>
  <si>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</si>
  <si>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</si>
  <si>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</si>
  <si>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</si>
  <si>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</si>
  <si>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</si>
  <si>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</si>
  <si>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</si>
  <si>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</si>
  <si>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</si>
  <si>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</si>
  <si>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</si>
  <si>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</si>
  <si>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</si>
  <si>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</si>
  <si>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</si>
  <si>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</si>
  <si>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</si>
  <si>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</si>
  <si>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</si>
  <si>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</si>
  <si>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</si>
  <si>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</si>
  <si>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</si>
  <si>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</si>
  <si>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</si>
  <si>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</si>
  <si>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</si>
  <si>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</si>
  <si>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</si>
  <si>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</si>
  <si>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</si>
  <si>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</si>
  <si>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</si>
  <si>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</si>
  <si>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</si>
  <si>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</si>
  <si>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</si>
  <si>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</si>
  <si>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</si>
  <si>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</si>
  <si>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</si>
  <si>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</si>
  <si>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</si>
  <si>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</si>
  <si>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</si>
  <si>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</si>
  <si>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</si>
  <si>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</si>
  <si>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</si>
  <si>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</si>
  <si>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</si>
  <si>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</si>
  <si>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</si>
  <si>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</si>
  <si>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</si>
  <si>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</si>
  <si>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</si>
  <si>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</si>
  <si>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</si>
  <si>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</si>
  <si>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</si>
  <si>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</si>
  <si>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</si>
  <si>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</si>
  <si>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</si>
  <si>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</si>
  <si>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</si>
  <si>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</si>
  <si>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</si>
  <si>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</si>
  <si>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</si>
  <si>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</si>
  <si>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</si>
  <si>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</si>
  <si>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</si>
  <si>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</si>
  <si>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</si>
  <si>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</si>
  <si>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</si>
  <si>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</si>
  <si>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</si>
  <si>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</si>
  <si>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</si>
  <si>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</si>
  <si>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</si>
  <si>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</si>
  <si>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</si>
  <si>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</si>
  <si>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</si>
  <si>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</si>
  <si>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</si>
  <si>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</si>
  <si>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</si>
  <si>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</si>
  <si>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</si>
  <si>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</si>
  <si>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</si>
  <si>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</si>
  <si>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</si>
  <si>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</si>
  <si>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</si>
  <si>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</si>
  <si>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</si>
  <si>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</si>
  <si>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</si>
  <si>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</si>
  <si>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</si>
  <si>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</si>
  <si>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</si>
  <si>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</si>
  <si>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</si>
  <si>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</si>
  <si>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</si>
  <si>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</si>
  <si>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</si>
  <si>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</si>
  <si>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</si>
  <si>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</si>
  <si>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</si>
  <si>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</si>
  <si>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</si>
  <si>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</si>
  <si>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</si>
  <si>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</si>
  <si>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</si>
  <si>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</si>
  <si>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</si>
  <si>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</si>
  <si>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</si>
  <si>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</si>
  <si>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</si>
  <si>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</si>
  <si>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</si>
  <si>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</si>
  <si>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</si>
  <si>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</si>
  <si>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</si>
  <si>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</si>
  <si>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</si>
  <si>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</si>
  <si>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</si>
  <si>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</si>
  <si>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</si>
  <si>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</si>
  <si>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</si>
  <si>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</si>
  <si>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</si>
  <si>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</si>
  <si>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</si>
  <si>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</si>
  <si>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</si>
  <si>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</si>
  <si>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</si>
  <si>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</si>
  <si>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</si>
  <si>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</si>
  <si>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</si>
  <si>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</si>
  <si>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</si>
  <si>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</si>
  <si>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</si>
  <si>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</si>
  <si>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</si>
  <si>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</si>
  <si>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</si>
  <si>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</si>
  <si>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</si>
  <si>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</si>
  <si>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</si>
  <si>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</si>
  <si>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</si>
  <si>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</si>
  <si>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</si>
  <si>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</si>
  <si>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</si>
  <si>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</si>
  <si>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</si>
  <si>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</si>
  <si>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</si>
  <si>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</si>
  <si>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</si>
  <si>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</si>
  <si>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</si>
  <si>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</si>
  <si>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</si>
  <si>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</si>
  <si>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</si>
  <si>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</si>
  <si>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</si>
  <si>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</si>
  <si>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</si>
  <si>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</si>
  <si>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</si>
  <si>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</si>
  <si>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</si>
  <si>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</si>
  <si>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</si>
  <si>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</si>
  <si>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</si>
  <si>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</si>
  <si>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</si>
  <si>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</si>
  <si>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</si>
  <si>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</si>
  <si>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</si>
  <si>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</si>
  <si>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</si>
  <si>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</si>
  <si>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</si>
  <si>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</si>
  <si>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</si>
  <si>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</si>
  <si>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</si>
  <si>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</si>
  <si>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</si>
  <si>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</si>
  <si>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</si>
  <si>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</si>
  <si>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</si>
  <si>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</si>
  <si>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</si>
  <si>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</si>
  <si>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</si>
  <si>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</si>
  <si>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</si>
  <si>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</si>
  <si>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</si>
  <si>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</si>
  <si>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</si>
  <si>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</si>
  <si>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</si>
  <si>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</si>
  <si>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</si>
  <si>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</si>
  <si>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</si>
  <si>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</si>
  <si>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</si>
  <si>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</si>
  <si>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</si>
  <si>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</si>
  <si>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</si>
  <si>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</si>
  <si>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</si>
  <si>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</si>
  <si>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</si>
  <si>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</si>
  <si>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</si>
  <si>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</si>
  <si>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</si>
  <si>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</si>
  <si>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</si>
  <si>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</si>
  <si>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</si>
  <si>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</si>
  <si>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</si>
  <si>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</si>
  <si>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</si>
  <si>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</si>
  <si>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</si>
  <si>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</si>
  <si>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</si>
  <si>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</si>
  <si>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</si>
  <si>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</si>
  <si>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</si>
  <si>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</si>
  <si>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</si>
  <si>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</si>
  <si>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</si>
  <si>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</si>
  <si>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</si>
  <si>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</si>
  <si>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</si>
  <si>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</si>
  <si>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</si>
  <si>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</si>
  <si>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</si>
  <si>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</si>
  <si>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</si>
  <si>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</si>
  <si>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</si>
  <si>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</si>
  <si>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</si>
  <si>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</si>
  <si>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</si>
  <si>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</si>
  <si>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</si>
  <si>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</si>
  <si>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</si>
  <si>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</si>
  <si>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</si>
  <si>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</si>
  <si>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</si>
  <si>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</si>
  <si>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</si>
  <si>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</si>
  <si>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</si>
  <si>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</si>
  <si>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</si>
  <si>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</si>
  <si>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</si>
  <si>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</si>
  <si>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</si>
  <si>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</si>
  <si>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</si>
  <si>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</si>
  <si>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</si>
  <si>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</si>
  <si>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</si>
  <si>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</si>
  <si>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</si>
  <si>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</si>
  <si>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</si>
  <si>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</si>
  <si>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</si>
  <si>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</si>
  <si>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</si>
  <si>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</si>
  <si>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</si>
  <si>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</si>
  <si>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</si>
  <si>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</si>
  <si>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</si>
  <si>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</si>
  <si>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</si>
  <si>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</si>
  <si>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</si>
  <si>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</si>
  <si>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</si>
  <si>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</si>
  <si>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</si>
  <si>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</si>
  <si>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</si>
  <si>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</si>
  <si>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</si>
  <si>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</si>
  <si>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</si>
  <si>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</si>
  <si>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</si>
  <si>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</si>
  <si>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</si>
  <si>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</si>
  <si>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</si>
  <si>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</si>
  <si>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</si>
  <si>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</si>
  <si>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</si>
  <si>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</si>
  <si>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</si>
  <si>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</si>
  <si>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</si>
  <si>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</si>
  <si>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</si>
  <si>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</si>
  <si>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</si>
  <si>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</si>
  <si>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</si>
  <si>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</si>
  <si>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</si>
  <si>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</si>
  <si>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</si>
  <si>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</si>
  <si>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</si>
  <si>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</si>
  <si>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</si>
  <si>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</si>
  <si>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</si>
  <si>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</si>
  <si>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</si>
  <si>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</si>
  <si>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</si>
  <si>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</si>
  <si>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</si>
  <si>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</si>
  <si>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</si>
  <si>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</si>
  <si>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</si>
  <si>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</si>
  <si>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</si>
  <si>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</si>
  <si>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</si>
  <si>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</si>
  <si>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</si>
  <si>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</si>
  <si>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</si>
  <si>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</si>
  <si>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</si>
  <si>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</si>
  <si>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</si>
  <si>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</si>
  <si>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</si>
  <si>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</si>
  <si>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</si>
  <si>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</si>
  <si>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</si>
  <si>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</si>
  <si>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</si>
  <si>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</si>
  <si>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</si>
  <si>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</si>
  <si>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</si>
  <si>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</si>
  <si>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</si>
  <si>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</si>
  <si>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</si>
  <si>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</si>
  <si>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</si>
  <si>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</si>
  <si>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</si>
  <si>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</si>
  <si>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</si>
  <si>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</si>
  <si>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</si>
  <si>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</si>
  <si>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</si>
  <si>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</si>
  <si>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</si>
  <si>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</si>
  <si>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</si>
  <si>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</si>
  <si>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</si>
  <si>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</si>
  <si>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</si>
  <si>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</si>
  <si>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</si>
  <si>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</si>
  <si>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</si>
  <si>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</si>
  <si>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</si>
  <si>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</si>
  <si>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</si>
  <si>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</si>
  <si>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</si>
  <si>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</si>
  <si>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</si>
  <si>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</si>
  <si>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</si>
  <si>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</si>
  <si>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</si>
  <si>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</si>
  <si>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</si>
  <si>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</si>
  <si>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</si>
  <si>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</si>
  <si>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</si>
  <si>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</si>
  <si>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</si>
  <si>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</si>
  <si>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</si>
  <si>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</si>
  <si>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</si>
  <si>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</si>
  <si>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</si>
  <si>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</si>
  <si>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</si>
  <si>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</si>
  <si>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</si>
  <si>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</si>
  <si>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</si>
  <si>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</si>
  <si>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</si>
  <si>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</si>
  <si>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</si>
  <si>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</si>
  <si>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</si>
  <si>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</si>
  <si>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</si>
  <si>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</si>
  <si>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</si>
  <si>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</si>
  <si>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</si>
  <si>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</si>
  <si>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</si>
  <si>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</si>
  <si>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</si>
  <si>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</si>
  <si>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</si>
  <si>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</si>
  <si>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</si>
  <si>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</si>
  <si>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</si>
  <si>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</si>
  <si>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</si>
  <si>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</si>
  <si>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</si>
  <si>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</si>
  <si>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</si>
  <si>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</si>
  <si>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</si>
  <si>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</si>
  <si>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</si>
  <si>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</si>
  <si>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</si>
  <si>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</si>
  <si>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</si>
  <si>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</si>
  <si>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</si>
  <si>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</si>
  <si>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</si>
  <si>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</si>
  <si>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</si>
  <si>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</si>
  <si>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</si>
  <si>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</si>
  <si>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</si>
  <si>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</si>
  <si>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</si>
  <si>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</si>
  <si>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</si>
  <si>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</si>
  <si>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</si>
  <si>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</si>
  <si>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</si>
  <si>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</si>
  <si>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</si>
  <si>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</si>
  <si>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</si>
  <si>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</si>
  <si>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</si>
  <si>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</si>
  <si>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</si>
  <si>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</si>
  <si>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</si>
  <si>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</si>
  <si>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</si>
  <si>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</si>
  <si>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</si>
  <si>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</si>
  <si>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</si>
  <si>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</si>
  <si>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</si>
  <si>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</si>
  <si>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</si>
  <si>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</si>
  <si>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</si>
  <si>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</si>
  <si>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</si>
  <si>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</si>
  <si>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</si>
  <si>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</si>
  <si>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</si>
  <si>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</si>
  <si>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</si>
  <si>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</si>
  <si>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</si>
  <si>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</si>
  <si>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</si>
  <si>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</si>
  <si>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</si>
  <si>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</si>
  <si>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</si>
  <si>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</si>
  <si>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</si>
  <si>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</si>
  <si>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</si>
  <si>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</si>
  <si>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</si>
  <si>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</si>
  <si>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</si>
  <si>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</si>
  <si>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</si>
  <si>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</si>
  <si>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</si>
  <si>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</si>
  <si>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</si>
  <si>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</si>
  <si>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</si>
  <si>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</si>
  <si>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</si>
  <si>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</si>
  <si>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</si>
  <si>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</si>
  <si>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</si>
  <si>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</si>
  <si>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</si>
  <si>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</si>
  <si>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</si>
  <si>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</si>
  <si>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</si>
  <si>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</si>
  <si>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</si>
  <si>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</si>
  <si>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</si>
  <si>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</si>
  <si>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</si>
  <si>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</si>
  <si>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</si>
  <si>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</si>
  <si>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</si>
  <si>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</si>
  <si>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</si>
  <si>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</si>
  <si>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</si>
  <si>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</si>
  <si>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</si>
  <si>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</si>
  <si>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</si>
  <si>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</si>
  <si>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</si>
  <si>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</si>
  <si>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</si>
  <si>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</si>
  <si>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</si>
  <si>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</si>
  <si>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</si>
  <si>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</si>
  <si>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</si>
  <si>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</si>
  <si>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</si>
  <si>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</si>
  <si>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</si>
  <si>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</si>
  <si>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</si>
  <si>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</si>
  <si>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</si>
  <si>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</si>
  <si>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</si>
  <si>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</si>
  <si>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</si>
  <si>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</si>
  <si>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</si>
  <si>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</si>
  <si>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</si>
  <si>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</si>
  <si>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</si>
  <si>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</si>
  <si>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</si>
  <si>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</si>
  <si>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</si>
  <si>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</si>
  <si>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</si>
  <si>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</si>
  <si>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</si>
  <si>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</si>
  <si>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</si>
  <si>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</si>
  <si>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</si>
  <si>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</si>
  <si>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</si>
  <si>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</si>
  <si>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</si>
  <si>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</si>
  <si>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</si>
  <si>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</si>
  <si>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</si>
  <si>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</si>
  <si>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</si>
  <si>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</si>
  <si>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</si>
  <si>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</si>
  <si>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</si>
  <si>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</si>
  <si>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</si>
  <si>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</si>
  <si>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</si>
  <si>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</si>
  <si>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</si>
  <si>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</si>
  <si>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</si>
  <si>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</si>
  <si>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</si>
  <si>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</si>
  <si>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</si>
  <si>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</si>
  <si>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</si>
  <si>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</si>
  <si>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</si>
  <si>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</si>
  <si>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</si>
  <si>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</si>
  <si>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</si>
  <si>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</si>
  <si>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</si>
  <si>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</si>
  <si>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</si>
  <si>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</si>
  <si>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</si>
  <si>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</si>
  <si>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</si>
  <si>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</si>
  <si>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</si>
  <si>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</si>
  <si>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</si>
  <si>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</si>
  <si>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</si>
  <si>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</si>
  <si>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</si>
  <si>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</si>
  <si>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</si>
  <si>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</si>
  <si>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</si>
  <si>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</si>
  <si>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</si>
  <si>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</si>
  <si>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</si>
  <si>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</si>
  <si>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</si>
  <si>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</si>
  <si>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</si>
  <si>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</si>
  <si>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</si>
  <si>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</si>
  <si>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</si>
  <si>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</si>
  <si>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</si>
  <si>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</si>
  <si>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</si>
  <si>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</si>
  <si>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</si>
  <si>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</si>
  <si>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</si>
  <si>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</si>
  <si>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</si>
  <si>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</si>
  <si>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</si>
  <si>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</si>
  <si>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</si>
  <si>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</si>
  <si>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</si>
  <si>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</si>
  <si>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</si>
  <si>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</si>
  <si>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</si>
  <si>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</si>
  <si>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</si>
  <si>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</si>
  <si>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</si>
  <si>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</si>
  <si>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</si>
  <si>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</si>
  <si>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</si>
  <si>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</si>
  <si>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</si>
  <si>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</si>
  <si>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</si>
  <si>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</si>
  <si>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</si>
  <si>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</si>
  <si>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</si>
  <si>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</si>
  <si>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</si>
  <si>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</si>
  <si>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</si>
  <si>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</si>
  <si>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</si>
  <si>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</si>
  <si>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</si>
  <si>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</si>
  <si>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</si>
  <si>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</si>
  <si>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</si>
  <si>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</si>
  <si>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</si>
  <si>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</si>
  <si>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</si>
  <si>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</si>
  <si>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</si>
  <si>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</si>
  <si>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</si>
  <si>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</si>
  <si>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</si>
  <si>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</si>
  <si>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</si>
  <si>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</si>
  <si>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</si>
  <si>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</si>
  <si>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</si>
  <si>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</si>
  <si>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</si>
  <si>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</si>
  <si>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</si>
  <si>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</si>
  <si>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</si>
  <si>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</si>
  <si>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</si>
  <si>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</si>
  <si>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</si>
  <si>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</si>
  <si>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</si>
  <si>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</si>
  <si>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</si>
  <si>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</si>
  <si>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</si>
  <si>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</si>
  <si>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</si>
  <si>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</si>
  <si>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</si>
  <si>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</si>
  <si>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</si>
  <si>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</si>
  <si>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</si>
  <si>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</si>
  <si>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</si>
  <si>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</si>
  <si>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</si>
  <si>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</si>
  <si>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</si>
  <si>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</si>
  <si>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</si>
  <si>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</si>
  <si>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</si>
  <si>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</si>
  <si>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</si>
  <si>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</si>
  <si>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</si>
  <si>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</si>
  <si>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</si>
  <si>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</si>
  <si>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</si>
  <si>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</si>
  <si>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</si>
  <si>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</si>
  <si>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</si>
  <si>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</si>
  <si>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</si>
  <si>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</si>
  <si>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</si>
  <si>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</si>
  <si>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</si>
  <si>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</si>
  <si>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</si>
  <si>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</si>
  <si>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</si>
  <si>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</si>
  <si>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</si>
  <si>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</si>
  <si>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</si>
  <si>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</si>
  <si>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</si>
  <si>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</si>
  <si>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</si>
  <si>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</si>
  <si>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</si>
  <si>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</si>
  <si>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</si>
  <si>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</si>
  <si>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</si>
  <si>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</si>
  <si>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</si>
  <si>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</si>
  <si>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</si>
  <si>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</si>
  <si>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</si>
  <si>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</si>
  <si>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</si>
  <si>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</si>
  <si>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</si>
  <si>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</si>
  <si>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</si>
  <si>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</si>
  <si>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</si>
  <si>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</si>
  <si>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</si>
  <si>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</si>
  <si>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</si>
  <si>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</si>
  <si>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</si>
  <si>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</si>
  <si>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</si>
  <si>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</si>
  <si>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</si>
  <si>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</si>
  <si>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</si>
  <si>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</si>
  <si>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</si>
  <si>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</si>
  <si>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</si>
  <si>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</si>
  <si>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</si>
  <si>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</si>
  <si>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</si>
  <si>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</si>
  <si>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</si>
  <si>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</si>
  <si>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</si>
  <si>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</si>
  <si>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</si>
  <si>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</si>
  <si>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</si>
  <si>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</si>
  <si>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</si>
  <si>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</si>
  <si>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</si>
  <si>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</si>
  <si>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</si>
  <si>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</si>
  <si>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</si>
  <si>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</si>
  <si>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</si>
  <si>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</si>
  <si>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</si>
  <si>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</si>
  <si>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</si>
  <si>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</si>
  <si>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</si>
  <si>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</si>
  <si>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</si>
  <si>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</si>
  <si>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</si>
  <si>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</si>
  <si>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</si>
  <si>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</si>
  <si>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</si>
  <si>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</si>
  <si>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</si>
  <si>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</si>
  <si>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</si>
  <si>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</si>
  <si>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</si>
  <si>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</si>
  <si>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</si>
  <si>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</si>
  <si>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</si>
  <si>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</si>
  <si>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</si>
  <si>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</si>
  <si>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</si>
  <si>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</si>
  <si>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</si>
  <si>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</si>
  <si>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</si>
  <si>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</si>
  <si>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</si>
  <si>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</si>
  <si>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</si>
  <si>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</si>
  <si>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</si>
  <si>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</si>
  <si>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</si>
  <si>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</si>
  <si>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</si>
  <si>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</si>
  <si>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</si>
  <si>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</si>
  <si>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</si>
  <si>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</si>
  <si>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</si>
  <si>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</si>
  <si>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</si>
  <si>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</si>
  <si>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</si>
  <si>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</si>
  <si>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</si>
  <si>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</si>
  <si>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</si>
  <si>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</si>
  <si>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</si>
  <si>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</si>
  <si>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</si>
  <si>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</si>
  <si>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</si>
  <si>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</si>
  <si>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</si>
  <si>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</si>
  <si>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</si>
  <si>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</si>
  <si>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</si>
  <si>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</si>
  <si>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</si>
  <si>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</si>
  <si>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</si>
  <si>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</si>
  <si>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</si>
  <si>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</si>
  <si>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</si>
  <si>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</si>
  <si>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</si>
  <si>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</si>
  <si>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</si>
  <si>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</si>
  <si>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</si>
  <si>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</si>
  <si>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</si>
  <si>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</si>
  <si>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</si>
  <si>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</si>
  <si>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</si>
  <si>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</si>
  <si>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</si>
  <si>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</si>
  <si>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</si>
  <si>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</si>
  <si>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</si>
  <si>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</si>
  <si>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</si>
  <si>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</si>
  <si>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</si>
  <si>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</si>
  <si>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</si>
  <si>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</si>
  <si>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</si>
  <si>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</si>
  <si>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</si>
  <si>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</si>
  <si>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</si>
  <si>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</si>
  <si>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</si>
  <si>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</si>
  <si>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</si>
  <si>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</si>
  <si>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</si>
  <si>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</si>
  <si>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</si>
  <si>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</si>
  <si>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</si>
  <si>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</si>
  <si>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</si>
  <si>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</si>
  <si>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</si>
  <si>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</si>
  <si>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</si>
  <si>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</si>
  <si>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</si>
  <si>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</si>
  <si>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</si>
  <si>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</si>
  <si>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</si>
  <si>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</si>
  <si>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</si>
  <si>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</si>
  <si>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</si>
  <si>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</si>
  <si>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</si>
  <si>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</si>
  <si>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</si>
  <si>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</si>
  <si>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</si>
  <si>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</si>
  <si>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</si>
  <si>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</si>
  <si>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</si>
  <si>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</si>
  <si>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</si>
  <si>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</si>
  <si>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</si>
  <si>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</si>
  <si>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</si>
  <si>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</si>
  <si>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</si>
  <si>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</si>
  <si>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</si>
  <si>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</si>
  <si>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</si>
  <si>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</si>
  <si>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</si>
  <si>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</si>
  <si>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</si>
  <si>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</si>
  <si>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</si>
  <si>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</si>
  <si>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</si>
  <si>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</si>
  <si>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</si>
  <si>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</si>
  <si>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</si>
  <si>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</si>
  <si>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</si>
  <si>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</si>
  <si>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</si>
  <si>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</si>
  <si>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</si>
  <si>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</si>
  <si>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</si>
  <si>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</si>
  <si>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</si>
  <si>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</si>
  <si>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</si>
  <si>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</si>
  <si>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</si>
  <si>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</si>
  <si>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</si>
  <si>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</si>
  <si>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</si>
  <si>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</si>
  <si>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</si>
  <si>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</si>
  <si>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</si>
  <si>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</si>
  <si>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</si>
  <si>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</si>
  <si>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</si>
  <si>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</si>
  <si>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</si>
  <si>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</si>
  <si>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</si>
  <si>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</si>
  <si>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</si>
  <si>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</si>
  <si>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</si>
  <si>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</si>
  <si>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</si>
  <si>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</si>
  <si>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</si>
  <si>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</si>
  <si>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</si>
  <si>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</si>
  <si>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</si>
  <si>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</si>
  <si>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</si>
  <si>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</si>
  <si>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</si>
  <si>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</si>
  <si>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</si>
  <si>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</si>
  <si>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</si>
  <si>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</si>
  <si>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</si>
  <si>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</si>
  <si>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</si>
  <si>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</si>
  <si>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</si>
  <si>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</si>
  <si>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</si>
  <si>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</si>
  <si>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</si>
  <si>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</si>
  <si>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</si>
  <si>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</si>
  <si>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</si>
  <si>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</si>
  <si>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</si>
  <si>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</si>
  <si>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</si>
  <si>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</si>
  <si>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</si>
  <si>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</si>
  <si>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</si>
  <si>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</si>
  <si>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</si>
  <si>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</si>
  <si>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</si>
  <si>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</si>
  <si>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</si>
  <si>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</si>
  <si>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</si>
  <si>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</si>
  <si>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</si>
  <si>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</si>
  <si>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</si>
  <si>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</si>
  <si>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</si>
  <si>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</si>
  <si>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</si>
  <si>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</si>
  <si>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</si>
  <si>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</si>
  <si>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</si>
  <si>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</si>
  <si>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</si>
  <si>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</si>
  <si>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</si>
  <si>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</si>
  <si>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</si>
  <si>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</si>
  <si>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</si>
  <si>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</si>
  <si>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</si>
  <si>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</si>
  <si>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</si>
  <si>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</si>
  <si>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</si>
  <si>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</si>
  <si>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</si>
  <si>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</si>
  <si>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</si>
  <si>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</si>
  <si>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</si>
  <si>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</si>
  <si>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</si>
  <si>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</si>
  <si>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</si>
  <si>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</si>
  <si>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</si>
  <si>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</si>
  <si>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</si>
  <si>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</si>
  <si>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</si>
  <si>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</si>
  <si>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</si>
  <si>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</si>
  <si>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</si>
  <si>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</si>
  <si>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</si>
  <si>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</si>
  <si>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</si>
  <si>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</si>
  <si>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</si>
  <si>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</si>
  <si>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</si>
  <si>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</si>
  <si>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</si>
  <si>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</si>
  <si>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</si>
  <si>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</si>
  <si>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</si>
  <si>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</si>
  <si>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</si>
  <si>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</si>
  <si>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</si>
  <si>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</si>
  <si>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</si>
  <si>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</si>
  <si>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</si>
  <si>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</si>
  <si>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</si>
  <si>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</si>
  <si>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</si>
  <si>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</si>
  <si>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</si>
  <si>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</si>
  <si>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</si>
  <si>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</si>
  <si>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</si>
  <si>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</si>
  <si>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</si>
  <si>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</si>
  <si>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</si>
  <si>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</si>
  <si>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</si>
  <si>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</si>
  <si>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</si>
  <si>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</si>
  <si>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</si>
  <si>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</si>
  <si>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</si>
  <si>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</si>
  <si>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</si>
  <si>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</si>
  <si>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</si>
  <si>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</si>
  <si>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</si>
  <si>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</si>
  <si>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</si>
  <si>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</si>
  <si>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</si>
  <si>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</si>
  <si>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</si>
  <si>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</si>
  <si>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</si>
  <si>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</si>
  <si>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</si>
  <si>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</si>
  <si>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</si>
  <si>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</si>
  <si>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</si>
  <si>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</si>
  <si>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</si>
  <si>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</si>
  <si>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</si>
  <si>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</si>
  <si>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</si>
  <si>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</si>
  <si>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</si>
  <si>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</si>
  <si>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</si>
  <si>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</si>
  <si>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</si>
  <si>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</si>
  <si>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</si>
  <si>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</si>
  <si>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</si>
  <si>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</si>
  <si>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</si>
  <si>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</si>
  <si>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</si>
  <si>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</si>
  <si>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</si>
  <si>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</si>
  <si>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</si>
  <si>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</si>
  <si>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</si>
  <si>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</si>
  <si>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</si>
  <si>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</si>
  <si>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</si>
  <si>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</si>
  <si>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</si>
  <si>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</si>
  <si>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</si>
  <si>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</si>
  <si>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</si>
  <si>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</si>
  <si>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</si>
  <si>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</si>
  <si>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</si>
  <si>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</si>
  <si>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</si>
  <si>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</si>
  <si>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</si>
  <si>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</si>
  <si>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</si>
  <si>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</si>
  <si>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</si>
  <si>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</si>
  <si>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</si>
  <si>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</si>
  <si>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</si>
  <si>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</si>
  <si>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</si>
  <si>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</si>
  <si>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</si>
  <si>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</si>
  <si>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</si>
  <si>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</si>
  <si>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</si>
  <si>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</si>
  <si>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</si>
  <si>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</si>
  <si>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</si>
  <si>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</si>
  <si>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</si>
  <si>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</si>
  <si>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</si>
  <si>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</si>
  <si>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</si>
  <si>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</si>
  <si>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</si>
  <si>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</si>
  <si>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</si>
  <si>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</si>
  <si>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</si>
  <si>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</si>
  <si>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</si>
  <si>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</si>
  <si>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</si>
  <si>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</si>
  <si>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</si>
  <si>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</si>
  <si>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</si>
  <si>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</si>
  <si>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</si>
  <si>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</si>
  <si>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</si>
  <si>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</si>
  <si>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</si>
  <si>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</si>
  <si>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</si>
  <si>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</si>
  <si>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</si>
  <si>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</si>
  <si>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</si>
  <si>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</si>
  <si>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</si>
  <si>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</si>
  <si>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</si>
  <si>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</si>
  <si>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</si>
  <si>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</si>
  <si>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</si>
  <si>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</si>
  <si>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</si>
  <si>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</si>
  <si>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</si>
  <si>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</si>
  <si>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</si>
  <si>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</si>
  <si>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</si>
  <si>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</si>
  <si>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</si>
  <si>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</si>
  <si>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</si>
  <si>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</si>
  <si>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</si>
  <si>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</si>
  <si>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</si>
  <si>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</si>
  <si>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</si>
  <si>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</si>
  <si>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</si>
  <si>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</si>
  <si>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</si>
  <si>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</si>
  <si>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</si>
  <si>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</si>
  <si>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</si>
  <si>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</si>
  <si>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</si>
  <si>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</si>
  <si>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</si>
  <si>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</si>
  <si>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</si>
  <si>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</si>
  <si>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</si>
  <si>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</si>
  <si>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</si>
  <si>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</si>
  <si>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</si>
  <si>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</si>
  <si>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</si>
  <si>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</si>
  <si>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</si>
  <si>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</si>
  <si>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</si>
  <si>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</si>
  <si>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</si>
  <si>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</si>
  <si>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</si>
  <si>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</si>
  <si>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</si>
  <si>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</si>
  <si>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</si>
  <si>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</si>
  <si>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</si>
  <si>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</si>
  <si>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</si>
  <si>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</si>
  <si>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</si>
  <si>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</si>
  <si>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</si>
  <si>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</si>
  <si>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</si>
  <si>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</si>
  <si>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</si>
  <si>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</si>
  <si>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</si>
  <si>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</si>
  <si>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</si>
  <si>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</si>
  <si>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</si>
  <si>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</si>
  <si>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</si>
  <si>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</si>
  <si>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</si>
  <si>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</si>
  <si>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</si>
  <si>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</si>
  <si>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</si>
  <si>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</si>
  <si>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</si>
  <si>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</si>
  <si>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</si>
  <si>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</si>
  <si>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</si>
  <si>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</si>
  <si>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</si>
  <si>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</si>
  <si>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</si>
  <si>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</si>
  <si>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</si>
  <si>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</si>
  <si>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</si>
  <si>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</si>
  <si>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</si>
  <si>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</si>
  <si>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</si>
  <si>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</si>
  <si>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</si>
  <si>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</si>
  <si>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</si>
  <si>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</si>
  <si>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</si>
  <si>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</si>
  <si>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</si>
  <si>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</si>
  <si>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</si>
  <si>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</si>
  <si>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</si>
  <si>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</si>
  <si>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</si>
  <si>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</si>
  <si>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</si>
  <si>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</si>
  <si>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</si>
  <si>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</si>
  <si>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</si>
  <si>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</si>
  <si>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</si>
  <si>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</si>
  <si>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</si>
  <si>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</si>
  <si>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</si>
  <si>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</si>
  <si>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</si>
  <si>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</si>
  <si>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</si>
  <si>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</si>
  <si>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</si>
  <si>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</si>
  <si>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</si>
  <si>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</si>
  <si>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</si>
  <si>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</si>
  <si>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</si>
  <si>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</si>
  <si>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</si>
  <si>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</si>
  <si>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</si>
  <si>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</si>
  <si>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</si>
  <si>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</si>
  <si>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</si>
  <si>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</si>
  <si>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</si>
  <si>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</si>
  <si>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</si>
  <si>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</si>
  <si>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</si>
  <si>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</si>
  <si>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</si>
  <si>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</si>
  <si>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</si>
  <si>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</si>
  <si>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</si>
  <si>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</si>
  <si>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</si>
  <si>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</si>
  <si>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</si>
  <si>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</si>
  <si>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</si>
  <si>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</si>
  <si>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</si>
  <si>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</si>
  <si>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</si>
  <si>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</si>
  <si>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</si>
  <si>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</si>
  <si>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</si>
  <si>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</si>
  <si>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</si>
  <si>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</si>
  <si>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</si>
  <si>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</si>
  <si>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</si>
  <si>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</si>
  <si>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</si>
  <si>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</si>
  <si>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</si>
  <si>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</si>
  <si>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</si>
  <si>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</si>
  <si>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</si>
  <si>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</si>
  <si>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</si>
  <si>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</si>
  <si>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</si>
  <si>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</si>
  <si>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</si>
  <si>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</si>
  <si>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</si>
  <si>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</si>
  <si>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</si>
  <si>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</si>
  <si>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</si>
  <si>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</si>
  <si>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</si>
  <si>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</si>
  <si>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</si>
  <si>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</si>
  <si>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</si>
  <si>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</si>
  <si>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</si>
  <si>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</si>
  <si>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</si>
  <si>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</si>
  <si>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</si>
  <si>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</si>
  <si>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</si>
  <si>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</si>
  <si>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</si>
  <si>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</si>
  <si>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</si>
  <si>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</si>
  <si>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</si>
  <si>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</si>
  <si>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</si>
  <si>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</si>
  <si>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</si>
  <si>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</si>
  <si>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</si>
  <si>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</si>
  <si>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</si>
  <si>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</si>
  <si>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</si>
  <si>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</si>
  <si>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</si>
  <si>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</si>
  <si>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</si>
  <si>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</si>
  <si>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</si>
  <si>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</si>
  <si>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</si>
  <si>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</si>
  <si>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</si>
  <si>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</si>
  <si>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</si>
  <si>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</si>
  <si>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</si>
  <si>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</si>
  <si>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</si>
  <si>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</si>
  <si>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</si>
  <si>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</si>
  <si>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</si>
  <si>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</si>
  <si>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</si>
  <si>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</si>
  <si>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</si>
  <si>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</si>
  <si>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</si>
  <si>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</si>
  <si>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</si>
  <si>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</si>
  <si>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</si>
  <si>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</si>
  <si>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</si>
  <si>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</si>
  <si>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</si>
  <si>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</si>
  <si>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</si>
  <si>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</si>
  <si>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</si>
  <si>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</si>
  <si>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</si>
  <si>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</si>
  <si>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</si>
  <si>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</si>
  <si>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</si>
  <si>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</si>
  <si>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</si>
  <si>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</si>
  <si>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</si>
  <si>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</si>
  <si>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</si>
  <si>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</si>
  <si>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</si>
  <si>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</si>
  <si>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</si>
  <si>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</si>
  <si>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</si>
  <si>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</si>
  <si>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</si>
  <si>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</si>
  <si>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</si>
  <si>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</si>
  <si>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</si>
  <si>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</si>
  <si>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</si>
  <si>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</si>
  <si>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</si>
  <si>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</si>
  <si>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</si>
  <si>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</si>
  <si>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</si>
  <si>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</si>
  <si>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</si>
  <si>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</si>
  <si>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</si>
  <si>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</si>
  <si>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</si>
  <si>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</si>
  <si>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</si>
  <si>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</si>
  <si>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</si>
  <si>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</si>
  <si>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</si>
  <si>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</si>
  <si>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</si>
  <si>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</si>
  <si>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</si>
  <si>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</si>
  <si>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</si>
  <si>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</si>
  <si>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</si>
  <si>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</si>
  <si>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</si>
  <si>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</si>
  <si>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</si>
  <si>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</si>
  <si>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</si>
  <si>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</si>
  <si>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</si>
  <si>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</si>
  <si>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</si>
  <si>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</si>
  <si>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</si>
  <si>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</si>
  <si>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</si>
  <si>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</si>
  <si>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</si>
  <si>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</si>
  <si>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</si>
  <si>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</si>
  <si>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</si>
  <si>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</si>
  <si>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</si>
  <si>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</si>
  <si>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</si>
  <si>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</si>
  <si>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</si>
  <si>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</si>
  <si>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</si>
  <si>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</si>
  <si>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</si>
  <si>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</si>
  <si>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</si>
  <si>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</si>
  <si>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</si>
  <si>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</si>
  <si>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</si>
  <si>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</si>
  <si>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</si>
  <si>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</si>
  <si>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</si>
  <si>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</si>
  <si>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</si>
  <si>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</si>
  <si>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</si>
  <si>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</si>
  <si>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</si>
  <si>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</si>
  <si>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</si>
  <si>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</si>
  <si>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</si>
  <si>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</si>
  <si>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</si>
  <si>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</si>
  <si>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</si>
  <si>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</si>
  <si>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</si>
  <si>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</si>
  <si>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</si>
  <si>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</si>
  <si>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</si>
  <si>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</si>
  <si>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</si>
  <si>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</si>
  <si>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</si>
  <si>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</si>
  <si>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</si>
  <si>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</si>
  <si>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</si>
  <si>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</si>
  <si>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</si>
  <si>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</si>
  <si>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</si>
  <si>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</si>
  <si>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</si>
  <si>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</si>
  <si>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</si>
  <si>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</si>
  <si>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</si>
  <si>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</si>
  <si>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</si>
  <si>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</si>
  <si>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</si>
  <si>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</si>
  <si>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</si>
  <si>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</si>
  <si>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</si>
  <si>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</si>
  <si>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</si>
  <si>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</si>
  <si>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</si>
  <si>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</si>
  <si>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</si>
  <si>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</si>
  <si>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</si>
  <si>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</si>
  <si>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</si>
  <si>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</si>
  <si>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</si>
  <si>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</si>
  <si>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</si>
  <si>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</si>
  <si>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</si>
  <si>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</si>
  <si>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</si>
  <si>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</si>
  <si>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</si>
  <si>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</si>
  <si>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</si>
  <si>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</si>
  <si>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</si>
  <si>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</si>
  <si>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</si>
  <si>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</si>
  <si>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</si>
  <si>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</si>
  <si>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</si>
  <si>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</si>
  <si>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</si>
  <si>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</si>
  <si>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</si>
  <si>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</si>
  <si>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</si>
  <si>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</si>
  <si>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</si>
  <si>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</si>
  <si>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</si>
  <si>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</si>
  <si>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</si>
  <si>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</si>
  <si>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</si>
  <si>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</si>
  <si>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</si>
  <si>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</si>
  <si>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</si>
  <si>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</si>
  <si>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</si>
  <si>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</si>
  <si>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</si>
  <si>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</si>
  <si>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</si>
  <si>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</si>
  <si>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</si>
  <si>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</si>
  <si>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</si>
  <si>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</si>
  <si>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</si>
  <si>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</si>
  <si>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</si>
  <si>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</si>
  <si>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</si>
  <si>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</si>
  <si>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</si>
  <si>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</si>
  <si>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</si>
  <si>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</si>
  <si>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</si>
  <si>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</si>
  <si>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</si>
  <si>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</si>
  <si>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</si>
  <si>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</si>
  <si>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</si>
  <si>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</si>
  <si>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</si>
  <si>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</si>
  <si>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</si>
  <si>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</si>
  <si>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</si>
  <si>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</si>
  <si>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</si>
  <si>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</si>
  <si>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</si>
  <si>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</si>
  <si>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</si>
  <si>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</si>
  <si>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</si>
  <si>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</si>
  <si>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</si>
  <si>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</si>
  <si>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</si>
  <si>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</si>
  <si>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</si>
  <si>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</si>
  <si>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</si>
  <si>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</si>
  <si>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</si>
  <si>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</si>
  <si>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</si>
  <si>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</si>
  <si>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</si>
  <si>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</si>
  <si>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</si>
  <si>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</si>
  <si>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</si>
  <si>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</si>
  <si>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</si>
  <si>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</si>
  <si>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</si>
  <si>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</si>
  <si>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</si>
  <si>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</si>
  <si>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</si>
  <si>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</si>
  <si>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</si>
  <si>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</si>
  <si>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</si>
  <si>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</si>
  <si>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</si>
  <si>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</si>
  <si>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</si>
  <si>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</si>
  <si>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</si>
  <si>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</si>
  <si>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</si>
  <si>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</si>
  <si>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</si>
  <si>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</si>
  <si>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</si>
  <si>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</si>
  <si>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</si>
  <si>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</si>
  <si>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</si>
  <si>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</si>
  <si>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</si>
  <si>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</si>
  <si>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</si>
  <si>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</si>
  <si>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</si>
  <si>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</si>
  <si>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</si>
  <si>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</si>
  <si>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</si>
  <si>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</si>
  <si>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</si>
  <si>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</si>
  <si>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</si>
  <si>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</si>
  <si>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</si>
  <si>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</si>
  <si>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</si>
  <si>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</si>
  <si>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</si>
  <si>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</si>
  <si>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</si>
  <si>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</si>
  <si>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</si>
  <si>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</si>
  <si>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</si>
  <si>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</si>
  <si>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</si>
  <si>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</si>
  <si>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</si>
  <si>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</si>
  <si>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</si>
  <si>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</si>
  <si>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</si>
  <si>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</si>
  <si>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</si>
  <si>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</si>
  <si>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</si>
  <si>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</si>
  <si>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</si>
  <si>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</si>
  <si>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</si>
  <si>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</si>
  <si>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</si>
  <si>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</si>
  <si>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</si>
  <si>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</si>
  <si>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</si>
  <si>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</si>
  <si>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</si>
  <si>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</si>
  <si>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</si>
  <si>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</si>
  <si>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</si>
  <si>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</si>
  <si>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</si>
  <si>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</si>
  <si>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</si>
  <si>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</si>
  <si>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</si>
  <si>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</si>
  <si>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</si>
  <si>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</si>
  <si>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</si>
  <si>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</si>
  <si>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</si>
  <si>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</si>
  <si>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</si>
  <si>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</si>
  <si>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</si>
  <si>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</si>
  <si>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</si>
  <si>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</si>
  <si>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</si>
  <si>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</si>
  <si>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</si>
  <si>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</si>
  <si>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</si>
  <si>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</si>
  <si>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</si>
  <si>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</si>
  <si>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</si>
  <si>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</si>
  <si>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</si>
  <si>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</si>
  <si>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</si>
  <si>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</si>
  <si>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</si>
  <si>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</si>
  <si>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</si>
  <si>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</si>
  <si>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</si>
  <si>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</si>
  <si>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</si>
  <si>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</si>
  <si>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</si>
  <si>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</si>
  <si>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</si>
  <si>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</si>
  <si>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</si>
  <si>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</si>
  <si>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</si>
  <si>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</si>
  <si>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</si>
  <si>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</si>
  <si>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</si>
  <si>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</si>
  <si>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</si>
  <si>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</si>
  <si>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</si>
  <si>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</si>
  <si>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</si>
  <si>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</si>
  <si>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</si>
  <si>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</si>
  <si>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</si>
  <si>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</si>
  <si>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</si>
  <si>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</si>
  <si>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</si>
  <si>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</si>
  <si>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</si>
  <si>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</si>
  <si>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</si>
  <si>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</si>
  <si>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</si>
  <si>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</si>
  <si>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</si>
  <si>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</si>
  <si>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</si>
  <si>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</si>
  <si>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</si>
  <si>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</si>
  <si>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</si>
  <si>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</si>
  <si>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</si>
  <si>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</si>
  <si>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</si>
  <si>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</si>
  <si>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</si>
  <si>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</si>
  <si>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</si>
  <si>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</si>
  <si>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</si>
  <si>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</si>
  <si>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</si>
  <si>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</si>
  <si>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</si>
  <si>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</si>
  <si>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</si>
  <si>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</si>
  <si>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</si>
  <si>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</si>
  <si>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</si>
  <si>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</si>
  <si>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</si>
  <si>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</si>
  <si>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</si>
  <si>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</si>
  <si>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</si>
  <si>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</si>
  <si>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</si>
  <si>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</si>
  <si>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</si>
  <si>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</si>
  <si>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</si>
  <si>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</si>
  <si>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</si>
  <si>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</si>
  <si>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</si>
  <si>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</si>
  <si>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</si>
  <si>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</si>
  <si>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</si>
  <si>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</si>
  <si>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</si>
  <si>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</si>
  <si>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</si>
  <si>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</si>
  <si>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</si>
  <si>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</si>
  <si>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</si>
  <si>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</si>
  <si>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</si>
  <si>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</si>
  <si>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</si>
  <si>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</si>
  <si>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</si>
  <si>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</si>
  <si>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</si>
  <si>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</si>
  <si>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</si>
  <si>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</si>
  <si>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</si>
  <si>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</si>
  <si>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</si>
  <si>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</si>
  <si>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</si>
  <si>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</si>
  <si>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</si>
  <si>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</si>
  <si>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</si>
  <si>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</si>
  <si>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</si>
  <si>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</si>
  <si>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</si>
  <si>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</si>
  <si>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</si>
  <si>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</si>
  <si>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</si>
  <si>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</si>
  <si>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</si>
  <si>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</si>
  <si>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</si>
  <si>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</si>
  <si>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</si>
  <si>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</si>
  <si>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</si>
  <si>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</si>
  <si>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</si>
  <si>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</si>
  <si>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</si>
  <si>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</si>
  <si>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</si>
  <si>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</si>
  <si>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</si>
  <si>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</si>
  <si>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</si>
  <si>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</si>
  <si>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</si>
  <si>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</si>
  <si>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</si>
  <si>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</si>
  <si>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</si>
  <si>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</si>
  <si>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</si>
  <si>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</si>
  <si>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</si>
  <si>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</si>
  <si>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</si>
  <si>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</si>
  <si>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</si>
  <si>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</si>
  <si>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</si>
  <si>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</si>
  <si>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</si>
  <si>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</si>
  <si>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</si>
  <si>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</si>
  <si>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</si>
  <si>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</si>
  <si>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</si>
  <si>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</si>
  <si>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</si>
  <si>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</si>
  <si>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</si>
  <si>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</si>
  <si>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</si>
  <si>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</si>
  <si>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</si>
  <si>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</si>
  <si>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</si>
  <si>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</si>
  <si>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</si>
  <si>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</si>
  <si>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</si>
  <si>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</si>
  <si>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</si>
  <si>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</si>
  <si>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</si>
  <si>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</si>
  <si>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</si>
  <si>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</si>
  <si>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</si>
  <si>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</si>
  <si>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</si>
  <si>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</si>
  <si>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</si>
  <si>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</si>
  <si>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</si>
  <si>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</si>
  <si>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</si>
  <si>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</si>
  <si>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</si>
  <si>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</si>
  <si>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</si>
  <si>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</si>
  <si>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</si>
  <si>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</si>
  <si>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</si>
  <si>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</si>
  <si>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</si>
  <si>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</si>
  <si>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</si>
  <si>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</si>
  <si>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</si>
  <si>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</si>
  <si>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</si>
  <si>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</si>
  <si>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</si>
  <si>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</si>
  <si>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</si>
  <si>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</si>
  <si>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</si>
  <si>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</si>
  <si>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</si>
  <si>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</si>
  <si>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</si>
  <si>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</si>
  <si>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</si>
  <si>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</si>
  <si>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</si>
  <si>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</si>
  <si>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</si>
  <si>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</si>
  <si>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</si>
  <si>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</si>
  <si>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</si>
  <si>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</si>
  <si>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</si>
  <si>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</si>
  <si>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</si>
  <si>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</si>
  <si>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</si>
  <si>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</si>
  <si>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</si>
  <si>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</si>
  <si>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</si>
  <si>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</si>
  <si>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</si>
  <si>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</si>
  <si>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</si>
  <si>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</si>
  <si>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</si>
  <si>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</si>
  <si>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</si>
  <si>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</si>
  <si>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</si>
  <si>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</si>
  <si>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</si>
  <si>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</si>
  <si>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</si>
  <si>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</si>
  <si>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</si>
  <si>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</si>
  <si>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</si>
  <si>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</si>
  <si>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</si>
  <si>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</si>
  <si>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</si>
  <si>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</si>
  <si>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</si>
  <si>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</si>
  <si>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</si>
  <si>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</si>
  <si>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</si>
  <si>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</si>
  <si>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</si>
  <si>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</si>
  <si>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</si>
  <si>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</si>
  <si>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</si>
  <si>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</si>
  <si>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</si>
  <si>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</si>
  <si>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</si>
  <si>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</si>
  <si>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</si>
  <si>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</si>
  <si>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</si>
  <si>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</si>
  <si>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</si>
  <si>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</si>
  <si>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</si>
  <si>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</si>
  <si>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</si>
  <si>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</si>
  <si>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</si>
  <si>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</si>
  <si>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</si>
  <si>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</si>
  <si>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</si>
  <si>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</si>
  <si>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</si>
  <si>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</si>
  <si>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</si>
  <si>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</si>
  <si>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</si>
  <si>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</si>
  <si>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</si>
  <si>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</si>
  <si>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</si>
  <si>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</si>
  <si>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</si>
  <si>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</si>
  <si>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</si>
  <si>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</si>
  <si>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</si>
  <si>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</si>
  <si>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</si>
  <si>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</si>
  <si>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</si>
  <si>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</si>
  <si>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</si>
  <si>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</si>
  <si>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</si>
  <si>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</si>
  <si>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</si>
  <si>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</si>
  <si>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</si>
  <si>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</si>
  <si>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</si>
  <si>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</si>
  <si>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</si>
  <si>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</si>
  <si>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</si>
  <si>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</si>
  <si>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</si>
  <si>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</si>
  <si>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</si>
  <si>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</si>
  <si>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</si>
  <si>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</si>
  <si>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</si>
  <si>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</si>
  <si>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</si>
  <si>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</si>
  <si>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</si>
  <si>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</si>
  <si>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</si>
  <si>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</si>
  <si>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</si>
  <si>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</si>
  <si>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</si>
  <si>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</si>
  <si>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</si>
  <si>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</si>
  <si>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</si>
  <si>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</si>
  <si>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</si>
  <si>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</si>
  <si>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</si>
  <si>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</si>
  <si>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</si>
  <si>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</si>
  <si>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</si>
  <si>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</si>
  <si>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</si>
  <si>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</si>
  <si>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</si>
  <si>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</si>
  <si>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</si>
  <si>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</si>
  <si>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</si>
  <si>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</si>
  <si>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</si>
  <si>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</si>
  <si>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</si>
  <si>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</si>
  <si>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</si>
  <si>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</si>
  <si>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</si>
  <si>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</si>
  <si>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</si>
  <si>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</si>
  <si>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</si>
  <si>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</si>
  <si>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</si>
  <si>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</si>
  <si>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</si>
  <si>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</si>
  <si>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</si>
  <si>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</si>
  <si>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</si>
  <si>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</si>
  <si>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</si>
  <si>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</si>
  <si>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</si>
  <si>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</si>
  <si>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</si>
  <si>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</si>
  <si>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</si>
  <si>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</si>
  <si>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</si>
  <si>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</si>
  <si>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</si>
  <si>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</si>
  <si>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</si>
  <si>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</si>
  <si>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</si>
  <si>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</si>
  <si>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</si>
  <si>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</si>
  <si>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</si>
  <si>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</si>
  <si>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</si>
  <si>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</si>
  <si>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</si>
  <si>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</si>
  <si>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</si>
  <si>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</si>
  <si>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</si>
  <si>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</si>
  <si>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</si>
  <si>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</si>
  <si>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</si>
  <si>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</si>
  <si>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</si>
  <si>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</si>
  <si>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</si>
  <si>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</si>
  <si>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</si>
  <si>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</si>
  <si>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</si>
  <si>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</si>
  <si>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</si>
  <si>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</si>
  <si>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</si>
  <si>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</si>
  <si>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</si>
  <si>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</si>
  <si>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</si>
  <si>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</si>
  <si>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</si>
  <si>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</si>
  <si>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</si>
  <si>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</si>
  <si>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</si>
  <si>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</si>
  <si>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</si>
  <si>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</si>
  <si>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</si>
  <si>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</si>
  <si>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</si>
  <si>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</si>
  <si>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</si>
  <si>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</si>
  <si>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</si>
  <si>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</si>
  <si>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</si>
  <si>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</si>
  <si>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</si>
  <si>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</si>
  <si>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</si>
  <si>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</si>
  <si>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</si>
  <si>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</si>
  <si>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</si>
  <si>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</si>
  <si>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</si>
  <si>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</si>
  <si>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</si>
  <si>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</si>
  <si>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</si>
  <si>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</si>
  <si>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</si>
  <si>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</si>
  <si>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</si>
  <si>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</si>
  <si>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</si>
  <si>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</si>
  <si>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</si>
  <si>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</si>
  <si>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</si>
  <si>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</si>
  <si>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</si>
  <si>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</si>
  <si>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</si>
  <si>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</si>
  <si>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</si>
  <si>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</si>
  <si>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</si>
  <si>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</si>
  <si>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</si>
  <si>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</si>
  <si>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</si>
  <si>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</si>
  <si>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</si>
  <si>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</si>
  <si>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</si>
  <si>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</si>
  <si>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</si>
  <si>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</si>
  <si>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</si>
  <si>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</si>
  <si>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</si>
  <si>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</si>
  <si>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</si>
  <si>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</si>
  <si>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</si>
  <si>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</si>
  <si>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</si>
  <si>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</si>
  <si>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</si>
  <si>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</si>
  <si>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</si>
  <si>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</si>
  <si>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</si>
  <si>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</si>
  <si>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</si>
  <si>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</si>
  <si>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</si>
  <si>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</si>
  <si>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</si>
  <si>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</si>
  <si>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</si>
  <si>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</si>
  <si>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</si>
  <si>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</si>
  <si>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</si>
  <si>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</si>
  <si>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</si>
  <si>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</si>
  <si>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</si>
  <si>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</si>
  <si>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</si>
  <si>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</si>
  <si>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</si>
  <si>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</si>
  <si>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</si>
  <si>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</si>
  <si>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</si>
  <si>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</si>
  <si>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</si>
  <si>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</si>
  <si>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</si>
  <si>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</si>
  <si>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</si>
  <si>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</si>
  <si>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</si>
  <si>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</si>
  <si>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</si>
  <si>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</si>
  <si>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</si>
  <si>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</si>
  <si>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</si>
  <si>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</si>
  <si>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</si>
  <si>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</si>
  <si>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</si>
  <si>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</si>
  <si>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</si>
  <si>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</si>
  <si>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</si>
  <si>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</si>
  <si>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</si>
  <si>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</si>
  <si>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</si>
  <si>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</si>
  <si>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</si>
  <si>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</si>
  <si>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</si>
  <si>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</si>
  <si>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</si>
  <si>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</si>
  <si>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</si>
  <si>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</si>
  <si>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</si>
  <si>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</si>
  <si>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</si>
  <si>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</si>
  <si>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</si>
  <si>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</si>
  <si>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</si>
  <si>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</si>
  <si>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</si>
  <si>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</si>
  <si>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</si>
  <si>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</si>
  <si>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</si>
  <si>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</si>
  <si>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</si>
  <si>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</si>
  <si>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</si>
  <si>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</si>
  <si>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</si>
  <si>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</si>
  <si>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</si>
  <si>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</si>
  <si>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</si>
  <si>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</si>
  <si>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</si>
  <si>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</si>
  <si>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</si>
  <si>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</si>
  <si>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</si>
  <si>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</si>
  <si>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</si>
  <si>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</si>
  <si>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</si>
  <si>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</si>
  <si>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</si>
  <si>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</si>
  <si>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</si>
  <si>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</si>
  <si>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</si>
  <si>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</si>
  <si>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</si>
  <si>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</si>
  <si>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</si>
  <si>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</si>
  <si>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</si>
  <si>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</si>
  <si>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</si>
  <si>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</si>
  <si>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</si>
  <si>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</si>
  <si>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</si>
  <si>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</si>
  <si>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</si>
  <si>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</si>
  <si>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</si>
  <si>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</si>
  <si>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</si>
  <si>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</si>
  <si>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</si>
  <si>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</si>
  <si>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</si>
  <si>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</si>
  <si>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</si>
  <si>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</si>
  <si>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</si>
  <si>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</si>
  <si>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</si>
  <si>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</si>
  <si>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</si>
  <si>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</si>
  <si>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</si>
  <si>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</si>
  <si>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</si>
  <si>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</si>
  <si>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</si>
  <si>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</si>
  <si>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</si>
  <si>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</si>
  <si>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</si>
  <si>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</si>
  <si>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</si>
  <si>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</si>
  <si>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</si>
  <si>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</si>
  <si>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</si>
  <si>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</si>
  <si>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</si>
  <si>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</si>
  <si>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</si>
  <si>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</si>
  <si>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</si>
  <si>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</si>
  <si>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</si>
  <si>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</si>
  <si>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</si>
  <si>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</si>
  <si>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</si>
  <si>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</si>
  <si>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</si>
  <si>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</si>
  <si>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</si>
  <si>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</si>
  <si>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</si>
  <si>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</si>
  <si>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</si>
  <si>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</si>
  <si>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</si>
  <si>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</si>
  <si>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</si>
  <si>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</si>
  <si>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</si>
  <si>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</si>
  <si>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</si>
  <si>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</si>
  <si>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</si>
  <si>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</si>
  <si>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</si>
  <si>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</si>
  <si>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</si>
  <si>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</si>
  <si>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</si>
  <si>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</si>
  <si>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</si>
  <si>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</si>
  <si>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</si>
  <si>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</si>
  <si>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</si>
  <si>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</si>
  <si>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</si>
  <si>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</si>
  <si>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</si>
  <si>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</si>
  <si>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</si>
  <si>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</si>
  <si>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</si>
  <si>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</si>
  <si>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</si>
  <si>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</si>
  <si>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</si>
  <si>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</si>
  <si>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</si>
  <si>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</si>
  <si>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</si>
  <si>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</si>
  <si>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</si>
  <si>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</si>
  <si>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</si>
  <si>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</si>
  <si>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</si>
  <si>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</si>
  <si>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</si>
  <si>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</si>
  <si>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</si>
  <si>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</si>
  <si>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</si>
  <si>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</si>
  <si>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</si>
  <si>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</si>
  <si>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</si>
  <si>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</si>
  <si>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</si>
  <si>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</si>
  <si>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</si>
  <si>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</si>
  <si>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</si>
  <si>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</si>
  <si>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</si>
  <si>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</si>
  <si>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</si>
  <si>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</si>
  <si>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</si>
  <si>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</si>
  <si>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</si>
  <si>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</si>
  <si>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</si>
  <si>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</si>
  <si>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</si>
  <si>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</si>
  <si>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</si>
  <si>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</si>
  <si>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</si>
  <si>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</si>
  <si>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</si>
  <si>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</si>
  <si>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</si>
  <si>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</si>
  <si>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</si>
  <si>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</si>
  <si>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</si>
  <si>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</si>
  <si>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</si>
  <si>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</si>
  <si>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</si>
  <si>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</si>
  <si>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</si>
  <si>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</si>
  <si>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</si>
  <si>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</si>
  <si>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</si>
  <si>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</si>
  <si>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</si>
  <si>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</si>
  <si>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</si>
  <si>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</si>
  <si>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</si>
  <si>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</si>
  <si>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</si>
  <si>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</si>
  <si>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</si>
  <si>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</si>
  <si>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</si>
  <si>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</si>
  <si>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</si>
  <si>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</si>
  <si>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</si>
  <si>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</si>
  <si>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</si>
  <si>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</si>
  <si>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</si>
  <si>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</si>
  <si>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</si>
  <si>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</si>
  <si>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</si>
  <si>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</si>
  <si>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</si>
  <si>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</si>
  <si>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</si>
  <si>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</si>
  <si>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</si>
  <si>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</si>
  <si>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</si>
  <si>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</si>
  <si>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</si>
  <si>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</si>
  <si>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</si>
  <si>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</si>
  <si>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</si>
  <si>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</si>
  <si>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</si>
  <si>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</si>
  <si>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</si>
  <si>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</si>
  <si>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</si>
  <si>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</si>
  <si>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</si>
  <si>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</si>
  <si>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</si>
  <si>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</si>
  <si>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</si>
  <si>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</si>
  <si>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</si>
  <si>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</si>
  <si>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</si>
  <si>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</si>
  <si>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</si>
  <si>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</si>
  <si>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</si>
  <si>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</si>
  <si>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</si>
  <si>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</si>
  <si>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</si>
  <si>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</si>
  <si>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</si>
  <si>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</si>
  <si>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</si>
  <si>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</si>
  <si>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</si>
  <si>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</si>
  <si>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</si>
  <si>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</si>
  <si>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</si>
  <si>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</si>
  <si>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</si>
  <si>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</si>
  <si>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</si>
  <si>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</si>
  <si>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</si>
  <si>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</si>
  <si>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</si>
  <si>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</si>
  <si>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</si>
  <si>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</si>
  <si>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</si>
  <si>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</si>
  <si>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</si>
  <si>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</si>
  <si>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</si>
  <si>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</si>
  <si>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</si>
  <si>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</si>
  <si>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</si>
  <si>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</si>
  <si>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</si>
  <si>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</si>
  <si>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</si>
  <si>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</si>
  <si>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</si>
  <si>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</si>
  <si>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</si>
  <si>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</si>
  <si>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</si>
  <si>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</si>
  <si>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</si>
  <si>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</si>
  <si>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</si>
  <si>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</si>
  <si>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</si>
  <si>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</si>
  <si>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</si>
  <si>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</si>
  <si>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</si>
  <si>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</si>
  <si>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</si>
  <si>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</si>
  <si>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</si>
  <si>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</si>
  <si>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</si>
  <si>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</si>
  <si>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</si>
  <si>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</si>
  <si>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</si>
  <si>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</si>
  <si>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</si>
  <si>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</si>
  <si>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</si>
  <si>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</si>
  <si>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</si>
  <si>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</si>
  <si>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</si>
  <si>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</si>
  <si>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</si>
  <si>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</si>
  <si>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</si>
  <si>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</si>
  <si>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</si>
  <si>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</si>
  <si>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</si>
  <si>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</si>
  <si>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</si>
  <si>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</si>
  <si>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</si>
  <si>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</si>
  <si>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</si>
  <si>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</si>
  <si>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</si>
  <si>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</si>
  <si>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</si>
  <si>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</si>
  <si>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</si>
  <si>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</si>
  <si>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</si>
  <si>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</si>
  <si>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</si>
  <si>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</si>
  <si>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</si>
  <si>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</si>
  <si>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</si>
  <si>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</si>
  <si>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</si>
  <si>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</si>
  <si>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</si>
  <si>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</si>
  <si>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</si>
  <si>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</si>
  <si>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</si>
  <si>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</si>
  <si>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</si>
  <si>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</si>
  <si>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</si>
  <si>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</si>
  <si>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</si>
  <si>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</si>
  <si>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</si>
  <si>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</si>
  <si>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</si>
  <si>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</si>
  <si>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</si>
  <si>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</si>
  <si>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</si>
  <si>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</si>
  <si>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</si>
  <si>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</si>
  <si>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</si>
  <si>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</si>
  <si>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</si>
  <si>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</si>
  <si>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</si>
  <si>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</si>
  <si>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</si>
  <si>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</si>
  <si>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</si>
  <si>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</si>
  <si>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</si>
  <si>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</si>
  <si>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</si>
  <si>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</si>
  <si>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</si>
  <si>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</si>
  <si>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</si>
  <si>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</si>
  <si>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</si>
  <si>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</si>
  <si>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</si>
  <si>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</si>
  <si>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</si>
  <si>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</si>
  <si>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</si>
  <si>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</si>
  <si>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</si>
  <si>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</si>
  <si>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</si>
  <si>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</si>
  <si>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</si>
  <si>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</si>
  <si>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</si>
  <si>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</si>
  <si>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</si>
  <si>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</si>
  <si>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</si>
  <si>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</si>
  <si>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</si>
  <si>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</si>
  <si>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</si>
  <si>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</si>
  <si>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</si>
  <si>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</si>
  <si>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</si>
  <si>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</si>
  <si>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</si>
  <si>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</si>
  <si>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</si>
  <si>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</si>
  <si>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</si>
  <si>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</si>
  <si>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</si>
  <si>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</si>
  <si>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</si>
  <si>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</si>
  <si>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</si>
  <si>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</si>
  <si>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</si>
  <si>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</si>
  <si>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</si>
  <si>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</si>
  <si>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</si>
  <si>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</si>
  <si>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</si>
  <si>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</si>
  <si>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</si>
  <si>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</si>
  <si>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</si>
  <si>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</si>
  <si>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</si>
  <si>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</si>
  <si>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</si>
  <si>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</si>
  <si>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</si>
  <si>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</si>
  <si>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</si>
  <si>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</si>
  <si>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</si>
  <si>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</si>
  <si>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</si>
  <si>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</si>
  <si>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</si>
  <si>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</si>
  <si>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</si>
  <si>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</si>
  <si>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</si>
  <si>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</si>
  <si>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</si>
  <si>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</si>
  <si>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</si>
  <si>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</si>
  <si>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</si>
  <si>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</si>
  <si>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</si>
  <si>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</si>
  <si>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</si>
  <si>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</si>
  <si>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</si>
  <si>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</si>
  <si>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</si>
  <si>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</si>
  <si>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</si>
  <si>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</si>
  <si>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</si>
  <si>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</si>
  <si>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</si>
  <si>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</si>
  <si>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</si>
  <si>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</si>
  <si>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</si>
  <si>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</si>
  <si>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</si>
  <si>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</si>
  <si>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</si>
  <si>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</si>
  <si>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</si>
  <si>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</si>
  <si>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</si>
  <si>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</si>
  <si>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</si>
  <si>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</si>
  <si>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</si>
  <si>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</si>
  <si>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</si>
  <si>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</si>
  <si>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</si>
  <si>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</si>
  <si>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</si>
  <si>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</si>
  <si>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</si>
  <si>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</si>
  <si>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</si>
  <si>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</si>
  <si>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</si>
  <si>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</si>
  <si>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</si>
  <si>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</si>
  <si>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</si>
  <si>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</si>
  <si>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</si>
  <si>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</si>
  <si>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</si>
  <si>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</si>
  <si>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</si>
  <si>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</si>
  <si>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</si>
  <si>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</si>
  <si>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</si>
  <si>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</si>
  <si>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</si>
  <si>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</si>
  <si>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</si>
  <si>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</si>
  <si>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</si>
  <si>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</si>
  <si>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</si>
  <si>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</si>
  <si>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</si>
  <si>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</si>
  <si>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</si>
  <si>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</si>
  <si>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</si>
  <si>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</si>
  <si>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</si>
  <si>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</si>
  <si>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</si>
  <si>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</si>
  <si>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</si>
  <si>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</si>
  <si>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</si>
  <si>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</si>
  <si>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</si>
  <si>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</si>
  <si>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</si>
  <si>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</si>
  <si>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</si>
  <si>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</si>
  <si>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</si>
  <si>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</si>
  <si>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</si>
  <si>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</si>
  <si>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</si>
  <si>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</si>
  <si>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</si>
  <si>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</si>
  <si>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</si>
  <si>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</si>
  <si>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</si>
  <si>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</si>
  <si>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</si>
  <si>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</si>
  <si>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</si>
  <si>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</si>
  <si>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</si>
  <si>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</si>
  <si>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</si>
  <si>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</si>
  <si>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</si>
  <si>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</si>
  <si>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</si>
  <si>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</si>
  <si>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</si>
  <si>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</si>
  <si>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</si>
  <si>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</si>
  <si>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</si>
  <si>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</si>
  <si>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</si>
  <si>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</si>
  <si>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</si>
  <si>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</si>
  <si>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</si>
  <si>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</si>
  <si>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</si>
  <si>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</si>
  <si>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</si>
  <si>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</si>
  <si>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</si>
  <si>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</si>
  <si>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</si>
  <si>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</si>
  <si>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</si>
  <si>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</si>
  <si>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</si>
  <si>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</si>
  <si>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</si>
  <si>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</si>
  <si>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</si>
  <si>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</si>
  <si>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</si>
  <si>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</si>
  <si>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</si>
  <si>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</si>
  <si>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</si>
  <si>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</si>
  <si>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</si>
  <si>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</si>
  <si>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</si>
  <si>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</si>
  <si>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</si>
  <si>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</si>
  <si>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</si>
  <si>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</si>
  <si>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</si>
  <si>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</si>
  <si>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</si>
  <si>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</si>
  <si>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</si>
  <si>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</si>
  <si>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</si>
  <si>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</si>
  <si>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</si>
  <si>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</si>
  <si>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</si>
  <si>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</si>
  <si>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</si>
  <si>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</si>
  <si>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</si>
  <si>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</si>
  <si>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</si>
  <si>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</si>
  <si>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</si>
  <si>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</si>
  <si>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</si>
  <si>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</si>
  <si>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</si>
  <si>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</si>
  <si>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</si>
  <si>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</si>
  <si>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</si>
  <si>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</si>
  <si>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</si>
  <si>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</si>
  <si>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</si>
  <si>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</si>
  <si>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</si>
  <si>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</si>
  <si>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</si>
  <si>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</si>
  <si>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</si>
  <si>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</si>
  <si>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</si>
  <si>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</si>
  <si>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</si>
  <si>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</si>
  <si>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</si>
  <si>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</si>
  <si>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</si>
  <si>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</si>
  <si>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</si>
  <si>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</si>
  <si>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</si>
  <si>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</si>
  <si>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</si>
  <si>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</si>
  <si>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</si>
  <si>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</si>
  <si>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</si>
  <si>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</si>
  <si>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</si>
  <si>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</si>
  <si>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</si>
  <si>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</si>
  <si>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</si>
  <si>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</si>
  <si>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</si>
  <si>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</si>
  <si>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</si>
  <si>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</si>
  <si>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</si>
  <si>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</si>
  <si>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</si>
  <si>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</si>
  <si>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</si>
  <si>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</si>
  <si>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</si>
  <si>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</si>
  <si>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</si>
  <si>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</si>
  <si>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</si>
  <si>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</si>
  <si>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</si>
  <si>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</si>
  <si>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</si>
  <si>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</si>
  <si>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</si>
  <si>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</si>
  <si>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</si>
  <si>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</si>
  <si>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</si>
  <si>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</si>
  <si>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</si>
  <si>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</si>
  <si>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</si>
  <si>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</si>
  <si>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</si>
  <si>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</si>
  <si>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</si>
  <si>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</si>
  <si>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</si>
  <si>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</si>
  <si>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</si>
  <si>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</si>
  <si>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</si>
  <si>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</si>
  <si>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</si>
  <si>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</si>
  <si>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</si>
  <si>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</si>
  <si>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</si>
  <si>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</si>
  <si>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</si>
  <si>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</si>
  <si>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</si>
  <si>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</si>
  <si>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</si>
  <si>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</si>
  <si>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</si>
  <si>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</si>
  <si>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</si>
  <si>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</si>
  <si>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</si>
  <si>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</si>
  <si>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</si>
  <si>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</si>
  <si>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</si>
  <si>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</si>
  <si>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</si>
  <si>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</si>
  <si>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</si>
  <si>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</si>
  <si>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</si>
  <si>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</si>
  <si>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</si>
  <si>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</si>
  <si>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</si>
  <si>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</si>
  <si>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</si>
  <si>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</si>
  <si>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</si>
  <si>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</si>
  <si>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</si>
  <si>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</si>
  <si>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</si>
  <si>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</si>
  <si>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</si>
  <si>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</si>
  <si>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</si>
  <si>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</si>
  <si>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</si>
  <si>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</si>
  <si>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</si>
  <si>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</si>
  <si>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</si>
  <si>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</si>
  <si>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</si>
  <si>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</si>
  <si>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</si>
  <si>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</si>
  <si>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</si>
  <si>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</si>
  <si>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</si>
  <si>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</si>
  <si>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</si>
  <si>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</si>
  <si>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</si>
  <si>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</si>
  <si>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</si>
  <si>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</si>
  <si>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</si>
  <si>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</si>
  <si>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</si>
  <si>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</si>
  <si>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</si>
  <si>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</si>
  <si>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</si>
  <si>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</si>
  <si>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</si>
  <si>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</si>
  <si>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</si>
  <si>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</si>
  <si>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</si>
  <si>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</si>
  <si>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</si>
  <si>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</si>
  <si>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</si>
  <si>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</si>
  <si>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</si>
  <si>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</si>
  <si>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</si>
  <si>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</si>
  <si>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</si>
  <si>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</si>
  <si>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</si>
  <si>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</si>
  <si>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</si>
  <si>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</si>
  <si>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</si>
  <si>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</si>
  <si>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</si>
  <si>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</si>
  <si>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</si>
  <si>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</si>
  <si>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</si>
  <si>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</si>
  <si>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</si>
  <si>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</si>
  <si>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</si>
  <si>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</si>
  <si>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</si>
  <si>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</si>
  <si>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</si>
  <si>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</si>
  <si>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</si>
  <si>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</si>
  <si>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</si>
  <si>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</si>
  <si>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</si>
  <si>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</si>
  <si>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</si>
  <si>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</si>
  <si>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</si>
  <si>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</si>
  <si>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</si>
  <si>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</si>
  <si>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</si>
  <si>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</si>
  <si>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</si>
  <si>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</si>
  <si>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</si>
  <si>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</si>
  <si>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</si>
  <si>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</si>
  <si>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</si>
  <si>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</si>
  <si>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</si>
  <si>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</si>
  <si>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</si>
  <si>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</si>
  <si>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</si>
  <si>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</si>
  <si>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</si>
  <si>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</si>
  <si>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</si>
  <si>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</si>
  <si>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</si>
  <si>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</si>
  <si>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</si>
  <si>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</si>
  <si>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</si>
  <si>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</si>
  <si>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</si>
  <si>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</si>
  <si>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</si>
  <si>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</si>
  <si>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</si>
  <si>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</si>
  <si>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</si>
  <si>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</si>
  <si>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</si>
  <si>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</si>
  <si>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</si>
  <si>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</si>
  <si>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</si>
  <si>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</si>
  <si>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</si>
  <si>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</si>
  <si>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</si>
  <si>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</si>
  <si>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</si>
  <si>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</si>
  <si>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</si>
  <si>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</si>
  <si>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</si>
  <si>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</si>
  <si>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</si>
  <si>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</si>
  <si>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</si>
  <si>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</si>
  <si>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</si>
  <si>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</si>
  <si>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</si>
  <si>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</si>
  <si>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</si>
  <si>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</si>
  <si>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</si>
  <si>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</si>
  <si>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</si>
  <si>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</si>
  <si>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</si>
  <si>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</si>
  <si>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</si>
  <si>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</si>
  <si>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</si>
  <si>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</si>
  <si>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</si>
  <si>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</si>
  <si>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</si>
  <si>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</si>
  <si>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</si>
  <si>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</si>
  <si>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</si>
  <si>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</si>
  <si>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</si>
  <si>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</si>
  <si>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</si>
  <si>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</si>
  <si>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</si>
  <si>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</si>
  <si>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</si>
  <si>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</si>
  <si>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</si>
  <si>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</si>
  <si>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</si>
  <si>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</si>
  <si>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</si>
  <si>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</si>
  <si>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</si>
  <si>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</si>
  <si>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</si>
  <si>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</si>
  <si>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</si>
  <si>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</si>
  <si>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</si>
  <si>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</si>
  <si>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</si>
  <si>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</si>
  <si>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</si>
  <si>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</si>
  <si>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</si>
  <si>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</si>
  <si>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</si>
  <si>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</si>
  <si>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</si>
  <si>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</si>
  <si>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</si>
  <si>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</si>
  <si>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</si>
  <si>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</si>
  <si>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</si>
  <si>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</si>
  <si>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</si>
  <si>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</si>
  <si>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</si>
  <si>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</si>
  <si>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</si>
  <si>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</si>
  <si>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</si>
  <si>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</si>
  <si>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</si>
  <si>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</si>
  <si>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</si>
  <si>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</si>
  <si>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</si>
  <si>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</si>
  <si>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</si>
  <si>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</si>
  <si>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</si>
  <si>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</si>
  <si>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</si>
  <si>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</si>
  <si>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</si>
  <si>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</si>
  <si>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</si>
  <si>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</si>
  <si>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</si>
  <si>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</si>
  <si>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</si>
  <si>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</si>
  <si>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</si>
  <si>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</si>
  <si>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</si>
  <si>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</si>
  <si>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</si>
  <si>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</si>
  <si>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</si>
  <si>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</si>
  <si>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</si>
  <si>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</si>
  <si>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</si>
  <si>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</si>
  <si>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</si>
  <si>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</si>
  <si>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</si>
  <si>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</si>
  <si>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</si>
  <si>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</si>
  <si>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</si>
  <si>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</si>
  <si>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</si>
  <si>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</si>
  <si>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</si>
  <si>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</si>
  <si>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</si>
  <si>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</si>
  <si>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</si>
  <si>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</si>
  <si>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</si>
  <si>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</si>
  <si>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</si>
  <si>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</si>
  <si>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</si>
  <si>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</si>
  <si>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</si>
  <si>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</si>
  <si>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</si>
  <si>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</si>
  <si>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</si>
  <si>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</si>
  <si>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</si>
  <si>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</si>
  <si>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</si>
  <si>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</si>
  <si>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</si>
  <si>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</si>
  <si>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</si>
  <si>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</si>
  <si>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</si>
  <si>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</si>
  <si>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</si>
  <si>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</si>
  <si>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</si>
  <si>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</si>
  <si>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</si>
  <si>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</si>
  <si>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</si>
  <si>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</si>
  <si>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</si>
  <si>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</si>
  <si>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</si>
  <si>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</si>
  <si>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</si>
  <si>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</si>
  <si>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</si>
  <si>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</si>
  <si>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</si>
  <si>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</si>
  <si>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</si>
  <si>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</si>
  <si>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</si>
  <si>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</si>
  <si>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</si>
  <si>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</si>
  <si>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</si>
  <si>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</si>
  <si>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</si>
  <si>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</si>
  <si>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</si>
  <si>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</si>
  <si>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</si>
  <si>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</si>
  <si>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</si>
  <si>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</si>
  <si>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</si>
  <si>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</si>
  <si>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</si>
  <si>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</si>
  <si>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</si>
  <si>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</si>
  <si>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</si>
  <si>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</si>
  <si>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</si>
  <si>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</si>
  <si>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</si>
  <si>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</si>
  <si>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</si>
  <si>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</si>
  <si>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</si>
  <si>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</si>
  <si>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</si>
  <si>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</si>
  <si>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</si>
  <si>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</si>
  <si>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</si>
  <si>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</si>
  <si>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</si>
  <si>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</si>
  <si>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</si>
  <si>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</si>
  <si>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</si>
  <si>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</si>
  <si>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</si>
  <si>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</si>
  <si>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</si>
  <si>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</si>
  <si>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</si>
  <si>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</si>
  <si>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</si>
  <si>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</si>
  <si>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</si>
  <si>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</si>
  <si>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</si>
  <si>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</si>
  <si>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</si>
  <si>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</si>
  <si>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</si>
  <si>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</si>
  <si>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</si>
  <si>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</si>
  <si>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</si>
  <si>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</si>
  <si>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</si>
  <si>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</si>
  <si>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</si>
  <si>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</si>
  <si>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</si>
  <si>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</si>
  <si>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</si>
  <si>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</si>
  <si>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</si>
  <si>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</si>
  <si>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</si>
  <si>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</si>
  <si>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</si>
  <si>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</si>
  <si>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</si>
  <si>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</si>
  <si>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</si>
  <si>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</si>
  <si>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</si>
  <si>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</si>
  <si>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</si>
  <si>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</si>
  <si>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</si>
  <si>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</si>
  <si>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</si>
  <si>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</si>
  <si>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</si>
  <si>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</si>
  <si>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</si>
  <si>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</si>
  <si>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</si>
  <si>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</si>
  <si>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</si>
  <si>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</si>
  <si>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</si>
  <si>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</si>
  <si>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</si>
  <si>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</si>
  <si>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</si>
  <si>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</si>
  <si>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</si>
  <si>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</si>
  <si>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</si>
  <si>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</si>
  <si>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</si>
  <si>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</si>
  <si>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</si>
  <si>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</si>
  <si>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</si>
  <si>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</si>
  <si>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</si>
  <si>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</si>
  <si>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</si>
  <si>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</si>
  <si>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</si>
  <si>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</si>
  <si>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</si>
  <si>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</si>
  <si>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</si>
  <si>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</si>
  <si>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</si>
  <si>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</si>
  <si>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</si>
  <si>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</si>
  <si>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</si>
  <si>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</si>
  <si>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</si>
  <si>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</si>
  <si>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</si>
  <si>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</si>
  <si>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</si>
  <si>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</si>
  <si>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</si>
  <si>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</si>
  <si>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</si>
  <si>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</si>
  <si>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</si>
  <si>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</si>
  <si>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</si>
  <si>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</si>
  <si>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</si>
  <si>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</si>
  <si>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</si>
  <si>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</si>
  <si>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</si>
  <si>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</si>
  <si>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</si>
  <si>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</si>
  <si>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</si>
  <si>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</si>
  <si>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</si>
  <si>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</si>
  <si>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</si>
  <si>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</si>
  <si>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</si>
  <si>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</si>
  <si>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</si>
  <si>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</si>
  <si>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</si>
  <si>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</si>
  <si>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</si>
  <si>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</si>
  <si>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</si>
  <si>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</si>
  <si>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</si>
  <si>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</si>
  <si>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</si>
  <si>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</si>
  <si>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</si>
  <si>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</si>
  <si>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</si>
  <si>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</si>
  <si>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</si>
  <si>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</si>
  <si>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</si>
  <si>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</si>
  <si>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</si>
  <si>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</si>
  <si>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</si>
  <si>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</si>
  <si>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</si>
  <si>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</si>
  <si>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</si>
  <si>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</si>
  <si>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</si>
  <si>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</si>
  <si>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</si>
  <si>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</si>
  <si>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</si>
  <si>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</si>
  <si>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</si>
  <si>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</si>
  <si>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</si>
  <si>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</si>
  <si>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</si>
  <si>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</si>
  <si>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</si>
  <si>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</si>
  <si>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</si>
  <si>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</si>
  <si>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</si>
  <si>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</si>
  <si>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</si>
  <si>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</si>
  <si>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</si>
  <si>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</si>
  <si>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</si>
  <si>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</si>
  <si>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</si>
  <si>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</si>
  <si>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</si>
  <si>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</si>
  <si>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</si>
  <si>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</si>
  <si>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</si>
  <si>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</si>
  <si>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</si>
  <si>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</si>
  <si>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</si>
  <si>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</si>
  <si>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</si>
  <si>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</si>
  <si>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</si>
  <si>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</si>
  <si>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</si>
  <si>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</si>
  <si>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</si>
  <si>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</si>
  <si>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</si>
  <si>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</si>
  <si>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</si>
  <si>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</si>
  <si>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</si>
  <si>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</si>
  <si>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</si>
  <si>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</si>
  <si>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</si>
  <si>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</si>
  <si>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</si>
  <si>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</si>
  <si>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</si>
  <si>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</si>
  <si>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</si>
  <si>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</si>
  <si>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</si>
  <si>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</si>
  <si>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</si>
  <si>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</si>
  <si>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</si>
  <si>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</si>
  <si>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</si>
  <si>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</si>
  <si>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</si>
  <si>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</si>
  <si>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</si>
  <si>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</si>
  <si>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</si>
  <si>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</si>
  <si>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</si>
  <si>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</si>
  <si>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</si>
  <si>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</si>
  <si>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</si>
  <si>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</si>
  <si>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</si>
  <si>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</si>
  <si>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</si>
  <si>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</si>
  <si>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</si>
  <si>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</si>
  <si>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</si>
  <si>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</si>
  <si>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</si>
  <si>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</si>
  <si>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</si>
  <si>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</si>
  <si>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</si>
  <si>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</si>
  <si>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</si>
  <si>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</si>
  <si>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</si>
  <si>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</si>
  <si>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</si>
  <si>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</si>
  <si>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</si>
  <si>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</si>
  <si>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</si>
  <si>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</si>
  <si>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</si>
  <si>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</si>
  <si>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</si>
  <si>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</si>
  <si>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</si>
  <si>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</si>
  <si>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</si>
  <si>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</si>
  <si>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</si>
  <si>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</si>
  <si>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</si>
  <si>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</si>
  <si>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</si>
  <si>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</si>
  <si>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</si>
  <si>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</si>
  <si>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</si>
  <si>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</si>
  <si>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</si>
  <si>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</si>
  <si>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</si>
  <si>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</si>
  <si>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</si>
  <si>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</si>
  <si>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</si>
  <si>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</si>
  <si>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</si>
  <si>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</si>
  <si>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</si>
  <si>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</si>
  <si>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</si>
  <si>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</si>
  <si>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</si>
  <si>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</si>
  <si>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</si>
  <si>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</si>
  <si>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</si>
  <si>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</si>
  <si>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</si>
  <si>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</si>
  <si>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</si>
  <si>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</si>
  <si>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</si>
  <si>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</si>
  <si>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</si>
  <si>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</si>
  <si>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</si>
  <si>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</si>
  <si>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</si>
  <si>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</si>
  <si>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</si>
  <si>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</si>
  <si>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</si>
  <si>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</si>
  <si>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</si>
  <si>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</si>
  <si>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</si>
  <si>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</si>
  <si>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</si>
  <si>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</si>
  <si>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</si>
  <si>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</si>
  <si>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</si>
  <si>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</si>
  <si>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</si>
  <si>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</si>
  <si>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</si>
  <si>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</si>
  <si>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</si>
  <si>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</si>
  <si>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</si>
  <si>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</si>
  <si>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</si>
  <si>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</si>
  <si>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</si>
  <si>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</si>
  <si>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</si>
  <si>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</si>
  <si>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</si>
  <si>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</si>
  <si>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</si>
  <si>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</si>
  <si>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</si>
  <si>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</si>
  <si>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</si>
  <si>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</si>
  <si>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</si>
  <si>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</si>
  <si>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</si>
  <si>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</si>
  <si>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</si>
  <si>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</si>
  <si>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</si>
  <si>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</si>
  <si>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</si>
  <si>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</si>
  <si>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</si>
  <si>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</si>
  <si>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</si>
  <si>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</si>
  <si>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</si>
  <si>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</si>
  <si>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</si>
  <si>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</si>
  <si>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</si>
  <si>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</si>
  <si>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</si>
  <si>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</si>
  <si>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</si>
  <si>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</si>
  <si>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</si>
  <si>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</si>
  <si>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</si>
  <si>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</si>
  <si>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</si>
  <si>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</si>
  <si>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</si>
  <si>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</si>
  <si>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</si>
  <si>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</si>
  <si>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</si>
  <si>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</si>
  <si>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</si>
  <si>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</si>
  <si>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</si>
  <si>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</si>
  <si>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</si>
  <si>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</si>
  <si>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</si>
  <si>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</si>
  <si>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</si>
  <si>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</si>
  <si>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</si>
  <si>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</si>
  <si>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</si>
  <si>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</si>
  <si>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</si>
  <si>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</si>
  <si>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</si>
  <si>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</si>
  <si>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</si>
  <si>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</si>
  <si>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</si>
  <si>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</si>
  <si>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</si>
  <si>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</si>
  <si>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</si>
  <si>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</si>
  <si>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</si>
  <si>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</si>
  <si>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</si>
  <si>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</si>
  <si>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</si>
  <si>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</si>
  <si>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</si>
  <si>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</si>
  <si>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</si>
  <si>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</si>
  <si>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</si>
  <si>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</si>
  <si>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</si>
  <si>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</si>
  <si>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</si>
  <si>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</si>
  <si>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</si>
  <si>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</si>
  <si>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</si>
  <si>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</si>
  <si>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</si>
  <si>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</si>
  <si>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</si>
  <si>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</si>
  <si>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</si>
  <si>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</si>
  <si>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</si>
  <si>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</si>
  <si>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</si>
  <si>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</si>
  <si>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</si>
  <si>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</si>
  <si>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</si>
  <si>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</si>
  <si>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</si>
  <si>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</si>
  <si>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</si>
  <si>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</si>
  <si>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</si>
  <si>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</si>
  <si>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</si>
  <si>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</si>
  <si>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</si>
  <si>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</si>
  <si>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</si>
  <si>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</si>
  <si>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</si>
  <si>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</si>
  <si>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</si>
  <si>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</si>
  <si>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</si>
  <si>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</si>
  <si>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</si>
  <si>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</si>
  <si>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</si>
  <si>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</si>
  <si>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</si>
  <si>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</si>
  <si>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</si>
  <si>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</si>
  <si>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</si>
  <si>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</si>
  <si>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</si>
  <si>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</si>
  <si>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</si>
  <si>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</si>
  <si>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</si>
  <si>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</si>
  <si>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</si>
  <si>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</si>
  <si>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</si>
  <si>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</si>
  <si>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</si>
  <si>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</si>
  <si>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</si>
  <si>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</si>
  <si>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</si>
  <si>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</si>
  <si>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</si>
  <si>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</si>
  <si>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</si>
  <si>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</si>
  <si>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</si>
  <si>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</si>
  <si>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</si>
  <si>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</si>
  <si>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</si>
  <si>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</si>
  <si>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</si>
  <si>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</si>
  <si>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</si>
  <si>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</si>
  <si>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</si>
  <si>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</si>
  <si>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</si>
  <si>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</si>
  <si>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</si>
  <si>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</si>
  <si>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</si>
  <si>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</si>
  <si>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</si>
  <si>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</si>
  <si>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</si>
  <si>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</si>
  <si>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</si>
  <si>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</si>
  <si>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</si>
  <si>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</si>
  <si>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</si>
  <si>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</si>
  <si>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</si>
  <si>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</si>
  <si>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</si>
  <si>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</si>
  <si>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</si>
  <si>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</si>
  <si>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</si>
  <si>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</si>
  <si>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</si>
  <si>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</si>
  <si>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</si>
  <si>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</si>
  <si>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</si>
  <si>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</si>
  <si>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</si>
  <si>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</si>
  <si>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</si>
  <si>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</si>
  <si>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</si>
  <si>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</si>
  <si>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</si>
  <si>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</si>
  <si>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</si>
  <si>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</si>
  <si>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</si>
  <si>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</si>
  <si>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</si>
  <si>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</si>
  <si>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</si>
  <si>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</si>
  <si>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</si>
  <si>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</si>
  <si>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</si>
  <si>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</si>
  <si>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</si>
  <si>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</si>
  <si>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</si>
  <si>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</si>
  <si>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</si>
  <si>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</si>
  <si>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</si>
  <si>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</si>
  <si>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</si>
  <si>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</si>
  <si>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</si>
  <si>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</si>
  <si>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</si>
  <si>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</si>
  <si>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</si>
  <si>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</si>
  <si>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</si>
  <si>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</si>
  <si>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</si>
  <si>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</si>
  <si>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</si>
  <si>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</si>
  <si>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</si>
  <si>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</si>
  <si>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</si>
  <si>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</si>
  <si>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</si>
  <si>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</si>
  <si>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</si>
  <si>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</si>
  <si>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</si>
  <si>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</si>
  <si>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</si>
  <si>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</si>
  <si>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</si>
  <si>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</si>
  <si>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</si>
  <si>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</si>
  <si>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</si>
  <si>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</si>
  <si>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</si>
  <si>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</si>
  <si>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</si>
  <si>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</si>
  <si>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</si>
  <si>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</si>
  <si>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</si>
  <si>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</si>
  <si>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</si>
  <si>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</si>
  <si>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</si>
  <si>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</si>
  <si>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</si>
  <si>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</si>
  <si>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</si>
  <si>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</si>
  <si>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</si>
  <si>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</si>
  <si>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</si>
  <si>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</si>
  <si>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</si>
  <si>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</si>
  <si>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</si>
  <si>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</si>
  <si>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</si>
  <si>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</si>
  <si>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</si>
  <si>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</si>
  <si>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</si>
  <si>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</si>
  <si>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</si>
  <si>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</si>
  <si>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</si>
  <si>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</si>
  <si>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</si>
  <si>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</si>
  <si>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</si>
  <si>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</si>
  <si>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</si>
  <si>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</si>
  <si>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</si>
  <si>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</si>
  <si>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</si>
  <si>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</si>
  <si>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</si>
  <si>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</si>
  <si>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</si>
  <si>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</si>
  <si>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</si>
  <si>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</si>
  <si>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</si>
  <si>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</si>
  <si>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</si>
  <si>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</si>
  <si>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</si>
  <si>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</si>
  <si>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</si>
  <si>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</si>
  <si>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</si>
  <si>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</si>
  <si>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</si>
  <si>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</si>
  <si>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</si>
  <si>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</si>
  <si>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</si>
  <si>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</si>
  <si>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</si>
  <si>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</si>
  <si>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</si>
  <si>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</si>
  <si>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</si>
  <si>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</si>
  <si>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</si>
  <si>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</si>
  <si>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</si>
  <si>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</si>
  <si>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</si>
  <si>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</si>
  <si>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</si>
  <si>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</si>
  <si>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</si>
  <si>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</si>
  <si>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</si>
  <si>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</si>
  <si>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</si>
  <si>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</si>
  <si>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</si>
  <si>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</si>
  <si>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</si>
  <si>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</si>
  <si>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</si>
  <si>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</si>
  <si>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</si>
  <si>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</si>
  <si>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</si>
  <si>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</si>
  <si>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</si>
  <si>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</si>
  <si>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</si>
  <si>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</si>
  <si>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</si>
  <si>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</si>
  <si>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</si>
  <si>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</si>
  <si>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</si>
  <si>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</si>
  <si>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</si>
  <si>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</si>
  <si>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</si>
  <si>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</si>
  <si>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</si>
  <si>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</si>
  <si>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</si>
  <si>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</si>
  <si>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</si>
  <si>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</si>
  <si>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</si>
  <si>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</si>
  <si>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</si>
  <si>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</si>
  <si>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</si>
  <si>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</si>
  <si>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</si>
  <si>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</si>
  <si>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</si>
  <si>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</si>
  <si>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</si>
  <si>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</si>
  <si>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</si>
  <si>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</si>
  <si>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</si>
  <si>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</si>
  <si>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</si>
  <si>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</si>
  <si>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</si>
  <si>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</si>
  <si>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</si>
  <si>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</si>
  <si>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</si>
  <si>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</si>
  <si>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</si>
  <si>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</si>
  <si>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</si>
  <si>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</si>
  <si>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</si>
  <si>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</si>
  <si>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</si>
  <si>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</si>
  <si>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</si>
  <si>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</si>
  <si>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</si>
  <si>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</si>
  <si>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</si>
  <si>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</si>
  <si>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</si>
  <si>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</si>
  <si>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</si>
  <si>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</si>
  <si>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</si>
  <si>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</si>
  <si>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</si>
  <si>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</si>
  <si>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</si>
  <si>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</si>
  <si>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</si>
  <si>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</si>
  <si>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</si>
  <si>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</si>
  <si>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</si>
  <si>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</si>
  <si>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</si>
  <si>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</si>
  <si>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</si>
  <si>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</si>
  <si>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</si>
  <si>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</si>
  <si>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</si>
  <si>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</si>
  <si>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</si>
  <si>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</si>
  <si>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</si>
  <si>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</si>
  <si>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</si>
  <si>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</si>
  <si>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</si>
  <si>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</si>
  <si>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</si>
  <si>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</si>
  <si>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</si>
  <si>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</si>
  <si>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</si>
  <si>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</si>
  <si>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</si>
  <si>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</si>
  <si>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</si>
  <si>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</si>
  <si>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</si>
  <si>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</si>
  <si>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</si>
  <si>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</si>
  <si>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</si>
  <si>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</si>
  <si>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</si>
  <si>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</si>
  <si>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</si>
  <si>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</si>
  <si>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</si>
  <si>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</si>
  <si>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</si>
  <si>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</si>
  <si>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</si>
  <si>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</si>
  <si>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</si>
  <si>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</si>
  <si>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</si>
  <si>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</si>
  <si>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</si>
  <si>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</si>
  <si>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</si>
  <si>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</si>
  <si>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</si>
  <si>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</si>
  <si>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</si>
  <si>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</si>
  <si>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</si>
  <si>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</si>
  <si>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</si>
  <si>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</si>
  <si>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</si>
  <si>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</si>
  <si>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</si>
  <si>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</si>
  <si>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</si>
  <si>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</si>
  <si>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</si>
  <si>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</si>
  <si>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</si>
  <si>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</si>
  <si>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</si>
  <si>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</si>
  <si>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</si>
  <si>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</si>
  <si>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</si>
  <si>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</si>
  <si>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</si>
  <si>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</si>
  <si>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</si>
  <si>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</si>
  <si>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</si>
  <si>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</si>
  <si>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</si>
  <si>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</si>
  <si>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</si>
  <si>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</si>
  <si>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</si>
  <si>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</si>
  <si>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</si>
  <si>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</si>
  <si>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</si>
  <si>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</si>
  <si>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</si>
  <si>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</si>
  <si>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</si>
  <si>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</si>
  <si>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</si>
  <si>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</si>
  <si>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</si>
  <si>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</si>
  <si>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</si>
  <si>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</si>
  <si>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</si>
  <si>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</si>
  <si>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</si>
  <si>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</si>
  <si>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</si>
  <si>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</si>
  <si>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</si>
  <si>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</si>
  <si>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</si>
  <si>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</si>
  <si>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</si>
  <si>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</si>
  <si>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</si>
  <si>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</si>
  <si>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</si>
  <si>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</si>
  <si>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</si>
  <si>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</si>
  <si>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</si>
  <si>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</si>
  <si>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</si>
  <si>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</si>
  <si>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</si>
  <si>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</si>
  <si>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</si>
  <si>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</si>
  <si>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</si>
  <si>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</si>
  <si>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</si>
  <si>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</si>
  <si>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</si>
  <si>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</si>
  <si>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</si>
  <si>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</si>
  <si>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</si>
  <si>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</si>
  <si>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</si>
  <si>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</si>
  <si>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</si>
  <si>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</si>
  <si>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</si>
  <si>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</si>
  <si>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</si>
  <si>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</si>
  <si>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</si>
  <si>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</si>
  <si>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</si>
  <si>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</si>
  <si>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</si>
  <si>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</si>
  <si>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</si>
  <si>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</si>
  <si>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</si>
  <si>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</si>
  <si>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</si>
  <si>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</si>
  <si>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</si>
  <si>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</si>
  <si>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</si>
  <si>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</si>
  <si>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</si>
  <si>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</si>
  <si>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</si>
  <si>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</si>
  <si>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</si>
  <si>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</si>
  <si>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</si>
  <si>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</si>
  <si>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</si>
  <si>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</si>
  <si>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</si>
  <si>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</si>
  <si>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</si>
  <si>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</si>
  <si>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</si>
  <si>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</si>
  <si>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</si>
  <si>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</si>
  <si>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</si>
  <si>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</si>
  <si>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</si>
  <si>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</si>
  <si>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</si>
  <si>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</si>
  <si>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</si>
  <si>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</si>
  <si>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</si>
  <si>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</si>
  <si>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</si>
  <si>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</si>
  <si>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</si>
  <si>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</si>
  <si>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</si>
  <si>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</si>
  <si>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</si>
  <si>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</si>
  <si>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</si>
  <si>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</si>
  <si>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</si>
  <si>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</si>
  <si>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</si>
  <si>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</si>
  <si>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</si>
  <si>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</si>
  <si>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</si>
  <si>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</si>
  <si>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</si>
  <si>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</si>
  <si>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</si>
  <si>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</si>
  <si>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</si>
  <si>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</si>
  <si>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</si>
  <si>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</si>
  <si>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</si>
  <si>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</si>
  <si>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</si>
  <si>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</si>
  <si>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</si>
  <si>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</si>
  <si>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</si>
  <si>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</si>
  <si>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</si>
  <si>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</si>
  <si>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</si>
  <si>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</si>
  <si>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</si>
  <si>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</si>
  <si>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</si>
  <si>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</si>
  <si>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</si>
  <si>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</si>
  <si>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</si>
  <si>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</si>
  <si>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</si>
  <si>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</si>
  <si>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</si>
  <si>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</si>
  <si>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</si>
  <si>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</si>
  <si>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</si>
  <si>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</si>
  <si>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</si>
  <si>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</si>
  <si>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</si>
  <si>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</si>
  <si>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</si>
  <si>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</si>
  <si>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</si>
  <si>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</si>
  <si>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</si>
  <si>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</si>
  <si>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</si>
  <si>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</si>
  <si>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</si>
  <si>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</si>
  <si>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</si>
  <si>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</si>
  <si>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</si>
  <si>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</si>
  <si>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</si>
  <si>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</si>
  <si>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</si>
  <si>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</si>
  <si>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</si>
  <si>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</si>
  <si>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</si>
  <si>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</si>
  <si>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</si>
  <si>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</si>
  <si>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</si>
  <si>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</si>
  <si>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</si>
  <si>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</si>
  <si>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</si>
  <si>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</si>
  <si>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</si>
  <si>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</si>
  <si>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</si>
  <si>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</si>
  <si>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</si>
  <si>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</si>
  <si>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</si>
  <si>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</si>
  <si>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</si>
  <si>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</si>
  <si>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</si>
  <si>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</si>
  <si>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</si>
  <si>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</si>
  <si>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</si>
  <si>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</si>
  <si>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</si>
  <si>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</si>
  <si>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</si>
  <si>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</si>
  <si>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</si>
  <si>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</si>
  <si>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</si>
  <si>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</si>
  <si>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</si>
  <si>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</si>
  <si>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</si>
  <si>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</si>
  <si>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</si>
  <si>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</si>
  <si>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</si>
  <si>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</si>
  <si>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</si>
  <si>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</si>
  <si>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</si>
  <si>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</si>
  <si>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</si>
  <si>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</si>
  <si>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</si>
  <si>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</si>
  <si>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</si>
  <si>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</si>
  <si>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</si>
  <si>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</si>
  <si>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</si>
  <si>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</si>
  <si>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</si>
  <si>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</si>
  <si>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</si>
  <si>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</si>
  <si>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</si>
  <si>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</si>
  <si>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</si>
  <si>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</si>
  <si>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</si>
  <si>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</si>
  <si>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</si>
  <si>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</si>
  <si>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</si>
  <si>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</si>
  <si>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</si>
  <si>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</si>
  <si>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</si>
  <si>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</si>
  <si>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</si>
  <si>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</si>
  <si>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</si>
  <si>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</si>
  <si>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</si>
  <si>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</si>
  <si>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</si>
  <si>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</si>
  <si>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</si>
  <si>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</si>
  <si>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</si>
  <si>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</si>
  <si>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</si>
  <si>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</si>
  <si>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</si>
  <si>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</si>
  <si>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</si>
  <si>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</si>
  <si>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</si>
  <si>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</si>
  <si>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</si>
  <si>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</si>
  <si>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</si>
  <si>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</si>
  <si>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</si>
  <si>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</si>
  <si>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</si>
  <si>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</si>
  <si>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</si>
  <si>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</si>
  <si>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</si>
  <si>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</si>
  <si>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</si>
  <si>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</si>
  <si>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</si>
  <si>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</si>
  <si>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</si>
  <si>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</si>
  <si>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</si>
  <si>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</si>
  <si>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</si>
  <si>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</si>
  <si>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</si>
  <si>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</si>
  <si>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</si>
  <si>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</si>
  <si>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</si>
  <si>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</si>
  <si>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</si>
  <si>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</si>
  <si>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</si>
  <si>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</si>
  <si>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</si>
  <si>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</si>
  <si>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</si>
  <si>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</si>
  <si>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</si>
  <si>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</si>
  <si>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</si>
  <si>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</si>
  <si>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</si>
  <si>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</si>
  <si>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</si>
  <si>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</si>
  <si>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</si>
  <si>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</si>
  <si>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</si>
  <si>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</si>
  <si>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</si>
  <si>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</si>
  <si>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</si>
  <si>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</si>
  <si>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</si>
  <si>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</si>
  <si>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</si>
  <si>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</si>
  <si>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</si>
  <si>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</si>
  <si>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</si>
  <si>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</si>
  <si>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</si>
  <si>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</si>
  <si>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</si>
  <si>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</si>
  <si>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</si>
  <si>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</si>
  <si>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</si>
  <si>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</si>
  <si>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</si>
  <si>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</si>
  <si>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</si>
  <si>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</si>
  <si>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</si>
  <si>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</si>
  <si>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</si>
  <si>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</si>
  <si>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</si>
  <si>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</si>
  <si>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</si>
  <si>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</si>
  <si>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</si>
  <si>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</si>
  <si>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</si>
  <si>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</si>
  <si>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</si>
  <si>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</si>
  <si>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</si>
  <si>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</si>
  <si>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</si>
  <si>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</si>
  <si>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</si>
  <si>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</si>
  <si>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</si>
  <si>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</si>
  <si>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</si>
  <si>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</si>
  <si>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</si>
  <si>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</si>
  <si>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</si>
  <si>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</si>
  <si>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</si>
  <si>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</si>
  <si>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</si>
  <si>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</si>
  <si>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</si>
  <si>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</si>
  <si>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</si>
  <si>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</si>
  <si>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</si>
  <si>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</si>
  <si>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</si>
  <si>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</si>
  <si>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</si>
  <si>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</si>
  <si>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</si>
  <si>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</si>
  <si>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</si>
  <si>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</si>
  <si>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</si>
  <si>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</si>
  <si>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</si>
  <si>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</si>
  <si>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</si>
  <si>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</si>
  <si>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</si>
  <si>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</si>
  <si>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</si>
  <si>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</si>
  <si>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</si>
  <si>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</si>
  <si>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</si>
  <si>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</si>
  <si>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</si>
  <si>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</si>
  <si>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</si>
  <si>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</si>
  <si>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</si>
  <si>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</si>
  <si>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</si>
  <si>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</si>
  <si>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</si>
  <si>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</si>
  <si>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</si>
  <si>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</si>
  <si>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</si>
  <si>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</si>
  <si>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</si>
  <si>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</si>
  <si>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</si>
  <si>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</si>
  <si>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</si>
  <si>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</si>
  <si>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</si>
  <si>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</si>
  <si>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</si>
  <si>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</si>
  <si>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</si>
  <si>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</si>
  <si>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</si>
  <si>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</si>
  <si>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</si>
  <si>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</si>
  <si>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</si>
  <si>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</si>
  <si>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</si>
  <si>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</si>
  <si>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</si>
  <si>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</si>
  <si>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</si>
  <si>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</si>
  <si>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</si>
  <si>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</si>
  <si>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</si>
  <si>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</si>
  <si>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</si>
  <si>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</si>
  <si>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</si>
  <si>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</si>
  <si>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</si>
  <si>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</si>
  <si>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</si>
  <si>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</si>
  <si>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</si>
  <si>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</si>
  <si>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</si>
  <si>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</si>
  <si>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</si>
  <si>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</si>
  <si>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</si>
  <si>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</si>
  <si>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</si>
  <si>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</si>
  <si>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</si>
  <si>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</si>
  <si>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</si>
  <si>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</si>
  <si>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</si>
  <si>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</si>
  <si>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</si>
  <si>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</si>
  <si>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</si>
  <si>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</si>
  <si>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</si>
  <si>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</si>
  <si>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</si>
  <si>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</si>
  <si>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</si>
  <si>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</si>
  <si>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</si>
  <si>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</si>
  <si>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</si>
  <si>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</si>
  <si>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</si>
  <si>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</si>
  <si>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</si>
  <si>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</si>
  <si>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</si>
  <si>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</si>
  <si>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</si>
  <si>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</si>
  <si>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</si>
  <si>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</si>
  <si>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</si>
  <si>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</si>
  <si>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</si>
  <si>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</si>
  <si>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</si>
  <si>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</si>
  <si>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</si>
  <si>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</si>
  <si>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</si>
  <si>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</si>
  <si>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</si>
  <si>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</si>
  <si>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</si>
  <si>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</si>
  <si>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</si>
  <si>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</si>
  <si>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</si>
  <si>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</si>
  <si>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</si>
  <si>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</si>
  <si>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</si>
  <si>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</si>
  <si>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</si>
  <si>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</si>
  <si>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</si>
  <si>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</si>
  <si>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</si>
  <si>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</si>
  <si>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</si>
  <si>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</si>
  <si>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</si>
  <si>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</si>
  <si>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</si>
  <si>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</si>
  <si>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</si>
  <si>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</si>
  <si>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</si>
  <si>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</si>
  <si>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</si>
  <si>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</si>
  <si>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</si>
  <si>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</si>
  <si>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</si>
  <si>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</si>
  <si>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</si>
  <si>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</si>
  <si>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</si>
  <si>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</si>
  <si>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</si>
  <si>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</si>
  <si>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</si>
  <si>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</si>
  <si>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</si>
  <si>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</si>
  <si>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</si>
  <si>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</si>
  <si>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</si>
  <si>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</si>
  <si>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</si>
  <si>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</si>
  <si>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</si>
  <si>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</si>
  <si>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</si>
  <si>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</si>
  <si>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</si>
  <si>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</si>
  <si>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</si>
  <si>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</si>
  <si>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</si>
  <si>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</si>
  <si>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</si>
  <si>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</si>
  <si>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</si>
  <si>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</si>
  <si>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</si>
  <si>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</si>
  <si>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</si>
  <si>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</si>
  <si>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</si>
  <si>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</si>
  <si>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</si>
  <si>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</si>
  <si>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</si>
  <si>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</si>
  <si>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</si>
  <si>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</si>
  <si>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</si>
  <si>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</si>
  <si>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</si>
  <si>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</si>
  <si>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</si>
  <si>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</si>
  <si>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</si>
  <si>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</si>
  <si>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</si>
  <si>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</si>
  <si>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</si>
  <si>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</si>
  <si>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</si>
  <si>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</si>
  <si>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</si>
  <si>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</si>
  <si>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</si>
  <si>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</si>
  <si>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</si>
  <si>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</si>
  <si>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</si>
  <si>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</si>
  <si>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</si>
  <si>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</si>
  <si>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</si>
  <si>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</si>
  <si>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</si>
  <si>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</si>
  <si>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</si>
  <si>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</si>
  <si>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</si>
  <si>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</si>
  <si>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</si>
  <si>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</si>
  <si>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</si>
  <si>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</si>
  <si>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</si>
  <si>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</si>
  <si>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</si>
  <si>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</si>
  <si>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</si>
  <si>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</si>
  <si>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</si>
  <si>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</si>
  <si>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</si>
  <si>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</si>
  <si>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</si>
  <si>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</si>
  <si>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</si>
  <si>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</si>
  <si>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</si>
  <si>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</si>
  <si>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</si>
  <si>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</si>
  <si>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</si>
  <si>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</si>
  <si>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</si>
  <si>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</si>
  <si>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</si>
  <si>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</si>
  <si>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</si>
  <si>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</si>
  <si>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</si>
  <si>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</si>
  <si>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</si>
  <si>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</si>
  <si>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</si>
  <si>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</si>
  <si>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</si>
  <si>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</si>
  <si>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</si>
  <si>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</si>
  <si>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</si>
  <si>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</si>
  <si>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</si>
  <si>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</si>
  <si>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</si>
  <si>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</si>
  <si>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</si>
  <si>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</si>
  <si>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</si>
  <si>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</si>
  <si>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</si>
  <si>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</si>
  <si>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</si>
  <si>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</si>
  <si>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</si>
  <si>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</si>
  <si>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</si>
  <si>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</si>
  <si>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</si>
  <si>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</si>
  <si>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</si>
  <si>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</si>
  <si>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</si>
  <si>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</si>
  <si>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</si>
  <si>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</si>
  <si>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</si>
  <si>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</si>
  <si>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</si>
  <si>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</si>
  <si>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</si>
  <si>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</si>
  <si>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</si>
  <si>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</si>
  <si>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</si>
  <si>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</si>
  <si>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</si>
  <si>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</si>
  <si>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</si>
  <si>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</si>
  <si>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</si>
  <si>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</si>
  <si>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</si>
  <si>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</si>
  <si>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</si>
  <si>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</si>
  <si>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</si>
  <si>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</si>
  <si>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</si>
  <si>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</si>
  <si>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</si>
  <si>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</si>
  <si>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</si>
  <si>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</si>
  <si>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</si>
  <si>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</si>
  <si>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</si>
  <si>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</si>
  <si>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</si>
  <si>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</si>
  <si>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</si>
  <si>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</si>
  <si>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</si>
  <si>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</si>
  <si>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</si>
  <si>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</si>
  <si>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</si>
  <si>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</si>
  <si>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</si>
  <si>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</si>
  <si>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</si>
  <si>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</si>
  <si>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</si>
  <si>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</si>
  <si>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</si>
  <si>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</si>
  <si>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</si>
  <si>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</si>
  <si>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</si>
  <si>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</si>
  <si>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</si>
  <si>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</si>
  <si>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</si>
  <si>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</si>
  <si>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</si>
  <si>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</si>
  <si>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</si>
  <si>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</si>
  <si>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</si>
  <si>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</si>
  <si>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</si>
  <si>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</si>
  <si>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</si>
  <si>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</si>
  <si>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</si>
  <si>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</si>
  <si>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</si>
  <si>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</si>
  <si>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</si>
  <si>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</si>
  <si>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</si>
  <si>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</si>
  <si>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</si>
  <si>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</si>
  <si>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</si>
  <si>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</si>
  <si>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</si>
  <si>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</si>
  <si>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</si>
  <si>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</si>
  <si>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</si>
  <si>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</si>
  <si>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</si>
  <si>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</si>
  <si>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</si>
  <si>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</si>
  <si>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</si>
  <si>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</si>
  <si>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</si>
  <si>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</si>
  <si>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</si>
  <si>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</si>
  <si>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</si>
  <si>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</si>
  <si>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</si>
  <si>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</si>
  <si>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</si>
  <si>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</si>
  <si>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</si>
  <si>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</si>
  <si>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</si>
  <si>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</si>
  <si>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</si>
  <si>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</si>
  <si>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</si>
  <si>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</si>
  <si>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</si>
  <si>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</si>
  <si>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</si>
  <si>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</si>
  <si>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</si>
  <si>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</si>
  <si>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</si>
  <si>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</si>
  <si>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</si>
  <si>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</si>
  <si>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</si>
  <si>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</si>
  <si>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</si>
  <si>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</si>
  <si>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</si>
  <si>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</si>
  <si>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</si>
  <si>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</si>
  <si>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</si>
  <si>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</si>
  <si>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</si>
  <si>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</si>
  <si>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</si>
  <si>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</si>
  <si>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</si>
  <si>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</si>
  <si>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</si>
  <si>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</si>
  <si>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</si>
  <si>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</si>
  <si>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</si>
  <si>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</si>
  <si>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</si>
  <si>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</si>
  <si>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</si>
  <si>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</si>
  <si>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</si>
  <si>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</si>
  <si>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</si>
  <si>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</si>
  <si>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</si>
  <si>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</si>
  <si>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</si>
  <si>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</si>
  <si>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</si>
  <si>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</si>
  <si>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</si>
  <si>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</si>
  <si>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</si>
  <si>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</si>
  <si>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</si>
  <si>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</si>
  <si>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</si>
  <si>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</si>
  <si>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</si>
  <si>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</si>
  <si>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</si>
  <si>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</si>
  <si>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</si>
  <si>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</si>
  <si>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</si>
  <si>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</si>
  <si>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</si>
  <si>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</si>
  <si>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</si>
  <si>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</si>
  <si>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</si>
  <si>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</si>
  <si>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</si>
  <si>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</si>
  <si>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</si>
  <si>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</si>
  <si>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</si>
  <si>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</si>
  <si>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</si>
  <si>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</si>
  <si>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</si>
  <si>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</si>
  <si>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</si>
  <si>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</si>
  <si>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</si>
  <si>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</si>
  <si>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</si>
  <si>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</si>
  <si>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</si>
  <si>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</si>
  <si>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</si>
  <si>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</si>
  <si>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</si>
  <si>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</si>
  <si>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</si>
  <si>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</si>
  <si>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</si>
  <si>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</si>
  <si>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</si>
  <si>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</si>
  <si>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</si>
  <si>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</si>
  <si>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</si>
  <si>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</si>
  <si>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</si>
  <si>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</si>
  <si>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</si>
  <si>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</si>
  <si>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</si>
  <si>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</si>
  <si>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</si>
  <si>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</si>
  <si>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</si>
  <si>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</si>
  <si>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</si>
  <si>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</si>
  <si>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</si>
  <si>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</si>
  <si>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</si>
  <si>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</si>
  <si>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</si>
  <si>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</si>
  <si>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</si>
  <si>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</si>
  <si>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</si>
  <si>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</si>
  <si>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</si>
  <si>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</si>
  <si>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</si>
  <si>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</si>
  <si>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</si>
  <si>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</si>
  <si>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</si>
  <si>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</si>
  <si>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</si>
  <si>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</si>
  <si>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</si>
  <si>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</si>
  <si>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</si>
  <si>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</si>
  <si>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</si>
  <si>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</si>
  <si>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</si>
  <si>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</si>
  <si>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</si>
  <si>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</si>
  <si>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</si>
  <si>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</si>
  <si>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</si>
  <si>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</si>
  <si>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</si>
  <si>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</si>
  <si>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</si>
  <si>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</si>
  <si>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</si>
  <si>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</si>
  <si>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</si>
  <si>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</si>
  <si>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</si>
  <si>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</si>
  <si>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</si>
  <si>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</si>
  <si>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</si>
  <si>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</si>
  <si>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</si>
  <si>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</si>
  <si>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</si>
  <si>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</si>
  <si>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</si>
  <si>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</si>
  <si>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</si>
  <si>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</si>
  <si>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</si>
  <si>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</si>
  <si>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</si>
  <si>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</si>
  <si>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</si>
  <si>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</si>
  <si>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</si>
  <si>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</si>
  <si>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</si>
  <si>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</si>
  <si>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</si>
  <si>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</si>
  <si>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</si>
  <si>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</si>
  <si>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</si>
  <si>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</si>
  <si>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</si>
  <si>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</si>
  <si>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</si>
  <si>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</si>
  <si>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</si>
  <si>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</si>
  <si>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</si>
  <si>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</si>
  <si>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</si>
  <si>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</si>
  <si>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</si>
  <si>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</si>
  <si>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</si>
  <si>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</si>
  <si>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</si>
  <si>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</si>
  <si>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</si>
  <si>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</si>
  <si>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</si>
  <si>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</si>
  <si>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</si>
  <si>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</si>
  <si>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</si>
  <si>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</si>
  <si>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</si>
  <si>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</si>
  <si>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</si>
  <si>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</si>
  <si>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</si>
  <si>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</si>
  <si>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</si>
  <si>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</si>
  <si>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</si>
  <si>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</si>
  <si>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</si>
  <si>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</si>
  <si>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</si>
  <si>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</si>
  <si>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</si>
  <si>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</si>
  <si>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</si>
  <si>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</si>
  <si>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</si>
  <si>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</si>
  <si>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</si>
  <si>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</si>
  <si>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</si>
  <si>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</si>
  <si>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</si>
  <si>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</si>
  <si>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</si>
  <si>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</si>
  <si>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</si>
  <si>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</si>
  <si>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</si>
  <si>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</si>
  <si>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</si>
  <si>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</si>
  <si>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</si>
  <si>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</si>
  <si>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</si>
  <si>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</si>
  <si>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</si>
  <si>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</si>
  <si>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</si>
  <si>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</si>
  <si>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</si>
  <si>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</si>
  <si>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</si>
  <si>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</si>
  <si>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</si>
  <si>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</si>
  <si>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</si>
  <si>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</si>
  <si>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</si>
  <si>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</si>
  <si>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</si>
  <si>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</si>
  <si>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</si>
  <si>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</si>
  <si>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</si>
  <si>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</si>
  <si>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</si>
  <si>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</si>
  <si>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</si>
  <si>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</si>
  <si>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</si>
  <si>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</si>
  <si>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</si>
  <si>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</si>
  <si>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</si>
  <si>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</si>
  <si>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</si>
  <si>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</si>
  <si>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</si>
  <si>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</si>
  <si>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</si>
  <si>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</si>
  <si>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</si>
  <si>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</si>
  <si>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</si>
  <si>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</si>
  <si>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</si>
  <si>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</si>
  <si>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</si>
  <si>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</si>
  <si>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</si>
  <si>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</si>
  <si>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</si>
  <si>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</si>
  <si>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</si>
  <si>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</si>
  <si>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</si>
  <si>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</si>
  <si>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</si>
  <si>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</si>
  <si>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</si>
  <si>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</si>
  <si>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</si>
  <si>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</si>
  <si>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</si>
  <si>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</si>
  <si>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</si>
  <si>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</si>
  <si>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</si>
  <si>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</si>
  <si>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</si>
  <si>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</si>
  <si>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</si>
  <si>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</si>
  <si>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</si>
  <si>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</si>
  <si>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</si>
  <si>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</si>
  <si>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</si>
  <si>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</si>
  <si>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</si>
  <si>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</si>
  <si>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</si>
  <si>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</si>
  <si>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</si>
  <si>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</si>
  <si>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</si>
  <si>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</si>
  <si>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</si>
  <si>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</si>
  <si>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</si>
  <si>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</si>
  <si>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</si>
  <si>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</si>
  <si>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</si>
  <si>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</si>
  <si>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</si>
  <si>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</si>
  <si>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</si>
  <si>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</si>
  <si>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</si>
  <si>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</si>
  <si>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</si>
  <si>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</si>
  <si>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</si>
  <si>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</si>
  <si>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</si>
  <si>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</si>
  <si>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</si>
  <si>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</si>
  <si>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</si>
  <si>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</si>
  <si>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</si>
  <si>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</si>
  <si>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</si>
  <si>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</si>
  <si>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</si>
  <si>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</si>
  <si>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</si>
  <si>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</si>
  <si>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</si>
  <si>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</si>
  <si>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</si>
  <si>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</si>
  <si>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</si>
  <si>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</si>
  <si>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</si>
  <si>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</si>
  <si>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</si>
  <si>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</si>
  <si>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</si>
  <si>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</si>
  <si>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</si>
  <si>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</si>
  <si>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</si>
  <si>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</si>
  <si>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</si>
  <si>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</si>
  <si>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</si>
  <si>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</si>
  <si>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</si>
  <si>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</si>
  <si>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</si>
  <si>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</si>
  <si>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</si>
  <si>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</si>
  <si>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</si>
  <si>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</si>
  <si>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</si>
  <si>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</si>
  <si>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</si>
  <si>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</si>
  <si>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</si>
  <si>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</si>
  <si>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</si>
  <si>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</si>
  <si>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</si>
  <si>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</si>
  <si>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</si>
  <si>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</si>
  <si>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</si>
  <si>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</si>
  <si>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</si>
  <si>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</si>
  <si>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</si>
  <si>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</si>
  <si>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</si>
  <si>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</si>
  <si>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</si>
  <si>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</si>
  <si>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</si>
  <si>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</si>
  <si>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</si>
  <si>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</si>
  <si>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</si>
  <si>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</si>
  <si>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</si>
  <si>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</si>
  <si>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</si>
  <si>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</si>
  <si>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</si>
  <si>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</si>
  <si>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</si>
  <si>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</si>
  <si>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</si>
  <si>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</si>
  <si>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</si>
  <si>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</si>
  <si>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</si>
  <si>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</si>
  <si>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</si>
  <si>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</si>
  <si>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</si>
  <si>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</si>
  <si>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</si>
  <si>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</si>
  <si>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</si>
  <si>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</si>
  <si>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</si>
  <si>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</si>
  <si>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</si>
  <si>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</si>
  <si>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</si>
  <si>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</si>
  <si>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</si>
  <si>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</si>
  <si>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</si>
  <si>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</si>
  <si>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</si>
  <si>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</si>
  <si>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</si>
  <si>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</si>
  <si>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</si>
  <si>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</si>
  <si>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</si>
  <si>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</si>
  <si>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</si>
  <si>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</si>
  <si>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</si>
  <si>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</si>
  <si>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</si>
  <si>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</si>
  <si>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</si>
  <si>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</si>
  <si>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</si>
  <si>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</si>
  <si>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</si>
  <si>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</si>
  <si>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</si>
  <si>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</si>
  <si>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</si>
  <si>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</si>
  <si>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</si>
  <si>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</si>
  <si>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</si>
  <si>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</si>
  <si>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</si>
  <si>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</si>
  <si>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</si>
  <si>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</si>
  <si>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</si>
  <si>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</si>
  <si>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</si>
  <si>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</si>
  <si>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</si>
  <si>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</si>
  <si>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</si>
  <si>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</si>
  <si>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</si>
  <si>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</si>
  <si>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</si>
  <si>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</si>
  <si>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</si>
  <si>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</si>
  <si>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</si>
  <si>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</si>
  <si>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</si>
  <si>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</si>
  <si>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</si>
  <si>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</si>
  <si>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</si>
  <si>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</si>
  <si>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</si>
  <si>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</si>
  <si>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</si>
  <si>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</si>
  <si>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</si>
  <si>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</si>
  <si>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</si>
  <si>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</si>
  <si>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</si>
  <si>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</si>
  <si>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</si>
  <si>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</si>
  <si>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</si>
  <si>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</si>
  <si>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</si>
  <si>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</si>
  <si>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</si>
  <si>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</si>
  <si>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</si>
  <si>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</si>
  <si>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</si>
  <si>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</si>
  <si>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</si>
  <si>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</si>
  <si>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</si>
  <si>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</si>
  <si>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</si>
  <si>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</si>
  <si>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</si>
  <si>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</si>
  <si>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</si>
  <si>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</si>
  <si>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</si>
  <si>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</si>
  <si>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</si>
  <si>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</si>
  <si>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</si>
  <si>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</si>
  <si>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</si>
  <si>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</si>
  <si>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</si>
  <si>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</si>
  <si>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</si>
  <si>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</si>
  <si>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</si>
  <si>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</si>
  <si>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</si>
  <si>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</si>
  <si>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</si>
  <si>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</si>
  <si>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</si>
  <si>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</si>
  <si>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</si>
  <si>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</si>
  <si>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</si>
  <si>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</si>
  <si>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</si>
  <si>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</si>
  <si>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</si>
  <si>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</si>
  <si>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</si>
  <si>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</si>
  <si>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</si>
  <si>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</si>
  <si>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</si>
  <si>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</si>
  <si>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</si>
  <si>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</si>
  <si>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</si>
  <si>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</si>
  <si>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</si>
  <si>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</si>
  <si>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</si>
  <si>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</si>
  <si>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</si>
  <si>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</si>
  <si>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</si>
  <si>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</si>
  <si>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</si>
  <si>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</si>
  <si>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</si>
  <si>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</si>
  <si>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</si>
  <si>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</si>
  <si>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</si>
  <si>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</si>
  <si>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</si>
  <si>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</si>
  <si>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</si>
  <si>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</si>
  <si>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</si>
  <si>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</si>
  <si>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</si>
  <si>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</si>
  <si>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</si>
  <si>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</si>
  <si>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</si>
  <si>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</si>
  <si>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</si>
  <si>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</si>
  <si>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</si>
  <si>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</si>
  <si>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</si>
  <si>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</si>
  <si>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</si>
  <si>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</si>
  <si>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</si>
  <si>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</si>
  <si>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</si>
  <si>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</si>
  <si>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</si>
  <si>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</si>
  <si>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</si>
  <si>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</si>
  <si>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</si>
  <si>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</si>
  <si>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</si>
  <si>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</si>
  <si>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</si>
  <si>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</si>
  <si>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</si>
  <si>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</si>
  <si>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</si>
  <si>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</si>
  <si>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</si>
  <si>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</si>
  <si>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</si>
  <si>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</si>
  <si>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</si>
  <si>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</si>
  <si>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</si>
  <si>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</si>
  <si>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</si>
  <si>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</si>
  <si>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</si>
  <si>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</si>
  <si>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</si>
  <si>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</si>
  <si>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</si>
  <si>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</si>
  <si>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</si>
  <si>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</si>
  <si>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</si>
  <si>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</si>
  <si>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</si>
  <si>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</si>
  <si>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</si>
  <si>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</si>
  <si>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</si>
  <si>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</si>
  <si>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</si>
  <si>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</si>
  <si>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</si>
  <si>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</si>
  <si>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</si>
  <si>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</si>
  <si>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</si>
  <si>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</si>
  <si>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</si>
  <si>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</si>
  <si>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</si>
  <si>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</si>
  <si>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</si>
  <si>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</si>
  <si>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</si>
  <si>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</si>
  <si>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</si>
  <si>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</si>
  <si>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</si>
  <si>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</si>
  <si>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</si>
  <si>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</si>
  <si>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</si>
  <si>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</si>
  <si>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</si>
  <si>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</si>
  <si>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</si>
  <si>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</si>
  <si>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</si>
  <si>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</si>
  <si>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</si>
  <si>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</si>
  <si>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</si>
  <si>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</si>
  <si>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</si>
  <si>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</si>
  <si>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</si>
  <si>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</si>
  <si>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</si>
  <si>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</si>
  <si>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</si>
  <si>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</si>
  <si>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</si>
  <si>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</si>
  <si>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</si>
  <si>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</si>
  <si>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</si>
  <si>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</si>
  <si>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</si>
  <si>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</si>
  <si>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</si>
  <si>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</si>
  <si>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</si>
  <si>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</si>
  <si>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</si>
  <si>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</si>
  <si>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</si>
  <si>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</si>
  <si>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</si>
  <si>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</si>
  <si>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</si>
  <si>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</si>
  <si>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</si>
  <si>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</si>
  <si>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</si>
  <si>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</si>
  <si>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</si>
  <si>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</si>
  <si>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</si>
  <si>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</si>
  <si>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</si>
  <si>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</si>
  <si>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</si>
  <si>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</si>
  <si>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</si>
  <si>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</si>
  <si>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</si>
  <si>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</si>
  <si>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</si>
  <si>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</si>
  <si>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</si>
  <si>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</si>
  <si>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</si>
  <si>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</si>
  <si>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</si>
  <si>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</si>
  <si>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</si>
  <si>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</si>
  <si>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</si>
  <si>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</si>
  <si>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</si>
  <si>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</si>
  <si>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</si>
  <si>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</si>
  <si>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</si>
  <si>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</si>
  <si>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</si>
  <si>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</si>
  <si>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</si>
  <si>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</si>
  <si>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</si>
  <si>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</si>
  <si>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</si>
  <si>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</si>
  <si>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</si>
  <si>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</si>
  <si>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</si>
  <si>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</si>
  <si>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</si>
  <si>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</si>
  <si>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</si>
  <si>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</si>
  <si>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</si>
  <si>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</si>
  <si>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</si>
  <si>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</si>
  <si>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</si>
  <si>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</si>
  <si>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</si>
  <si>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</si>
  <si>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</si>
  <si>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</si>
  <si>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</si>
  <si>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</si>
  <si>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</si>
  <si>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</si>
  <si>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</si>
  <si>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</si>
  <si>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</si>
  <si>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</si>
  <si>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</si>
  <si>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</si>
  <si>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</si>
  <si>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</si>
  <si>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</si>
  <si>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</si>
  <si>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</si>
  <si>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</si>
  <si>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</si>
  <si>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</si>
  <si>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</si>
  <si>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</si>
  <si>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</si>
  <si>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</si>
  <si>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</si>
  <si>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</si>
  <si>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</si>
  <si>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</si>
  <si>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</si>
  <si>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</si>
  <si>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</si>
  <si>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</si>
  <si>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</si>
  <si>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</si>
  <si>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</si>
  <si>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</si>
  <si>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</si>
  <si>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</si>
  <si>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</si>
  <si>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</si>
  <si>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</si>
  <si>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</si>
  <si>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</si>
  <si>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</si>
  <si>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</si>
  <si>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</si>
  <si>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</si>
  <si>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</si>
  <si>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</si>
  <si>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</si>
  <si>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</si>
  <si>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</si>
  <si>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</si>
  <si>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</si>
  <si>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</si>
  <si>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</si>
  <si>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</si>
  <si>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</si>
  <si>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</si>
  <si>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</si>
  <si>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</si>
  <si>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</si>
  <si>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</si>
  <si>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</si>
  <si>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</si>
  <si>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</si>
  <si>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</si>
  <si>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</si>
  <si>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</si>
  <si>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</si>
  <si>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</si>
  <si>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</si>
  <si>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</si>
  <si>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</si>
  <si>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</si>
  <si>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</si>
  <si>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</si>
  <si>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</si>
  <si>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</si>
  <si>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</si>
  <si>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</si>
  <si>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</si>
  <si>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</si>
  <si>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</si>
  <si>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</si>
  <si>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</si>
  <si>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</si>
  <si>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</si>
  <si>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</si>
  <si>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</si>
  <si>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</si>
  <si>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</si>
  <si>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</si>
  <si>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</si>
  <si>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</si>
  <si>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</si>
  <si>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</si>
  <si>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</si>
  <si>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</si>
  <si>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</si>
  <si>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</si>
  <si>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</si>
  <si>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</si>
  <si>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</si>
  <si>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</si>
  <si>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</si>
  <si>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</si>
  <si>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</si>
  <si>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</si>
  <si>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</si>
  <si>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</si>
  <si>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</si>
  <si>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</si>
  <si>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</si>
  <si>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</si>
  <si>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</si>
  <si>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</si>
  <si>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</si>
  <si>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</si>
  <si>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</si>
  <si>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</si>
  <si>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</si>
  <si>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</si>
  <si>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</si>
  <si>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</si>
  <si>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</si>
  <si>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</si>
  <si>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</si>
  <si>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</si>
  <si>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</si>
  <si>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</si>
  <si>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</si>
  <si>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</si>
  <si>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</si>
  <si>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</si>
  <si>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</si>
  <si>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</si>
  <si>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</si>
  <si>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</si>
  <si>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</si>
  <si>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</si>
  <si>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</si>
  <si>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</si>
  <si>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</si>
  <si>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</si>
  <si>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</si>
  <si>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</si>
  <si>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</si>
  <si>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</si>
  <si>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</si>
  <si>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</si>
  <si>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</si>
  <si>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</si>
  <si>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</si>
  <si>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</si>
  <si>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</si>
  <si>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</si>
  <si>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</si>
  <si>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</si>
  <si>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</si>
  <si>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</si>
  <si>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</si>
  <si>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</si>
  <si>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</si>
  <si>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</si>
  <si>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</si>
  <si>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</si>
  <si>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</si>
  <si>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</si>
  <si>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</si>
  <si>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</si>
  <si>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</si>
  <si>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</si>
  <si>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</si>
  <si>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</si>
  <si>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</si>
  <si>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</si>
  <si>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</si>
  <si>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</si>
  <si>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</si>
  <si>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</si>
  <si>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</si>
  <si>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</si>
  <si>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</si>
  <si>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</si>
  <si>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</si>
  <si>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</si>
  <si>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</si>
  <si>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</si>
  <si>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</si>
  <si>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</si>
  <si>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</si>
  <si>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</si>
  <si>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</si>
  <si>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</si>
  <si>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</si>
  <si>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</si>
  <si>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</si>
  <si>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</si>
  <si>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</si>
  <si>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</si>
  <si>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</si>
  <si>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</si>
  <si>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</si>
  <si>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</si>
  <si>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</si>
  <si>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</si>
  <si>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</si>
  <si>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</si>
  <si>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</si>
  <si>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</si>
  <si>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</si>
  <si>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</si>
  <si>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</si>
  <si>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</si>
  <si>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</si>
  <si>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</si>
  <si>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</si>
  <si>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</si>
  <si>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</si>
  <si>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</si>
  <si>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</si>
  <si>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</si>
  <si>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</si>
  <si>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</si>
  <si>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</si>
  <si>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</si>
  <si>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</si>
  <si>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</si>
  <si>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</si>
  <si>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</si>
  <si>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</si>
  <si>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</si>
  <si>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</si>
  <si>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</si>
  <si>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</si>
  <si>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</si>
  <si>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</si>
  <si>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</si>
  <si>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</si>
  <si>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</si>
  <si>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</si>
  <si>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</si>
  <si>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</si>
  <si>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</si>
  <si>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</si>
  <si>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</si>
  <si>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</si>
  <si>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</si>
  <si>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</si>
  <si>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</si>
  <si>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</si>
  <si>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</si>
  <si>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</si>
  <si>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</si>
  <si>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</si>
  <si>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</si>
  <si>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</si>
  <si>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</si>
  <si>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</si>
  <si>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</si>
  <si>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</si>
  <si>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</si>
  <si>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</si>
  <si>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</si>
  <si>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</si>
  <si>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</si>
  <si>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</si>
  <si>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</si>
  <si>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</si>
  <si>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</si>
  <si>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</si>
  <si>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</si>
  <si>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</si>
  <si>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</si>
  <si>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</si>
  <si>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</si>
  <si>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</si>
  <si>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</si>
  <si>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</si>
  <si>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</si>
  <si>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</si>
  <si>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</si>
  <si>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</si>
  <si>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</si>
  <si>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</si>
  <si>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</si>
  <si>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</si>
  <si>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</si>
  <si>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</si>
  <si>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</si>
  <si>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</si>
  <si>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</si>
  <si>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</si>
  <si>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</si>
  <si>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</si>
  <si>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</si>
  <si>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</si>
  <si>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</si>
  <si>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</si>
  <si>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</si>
  <si>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</si>
  <si>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</si>
  <si>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</si>
  <si>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</si>
  <si>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</si>
  <si>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</si>
  <si>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</si>
  <si>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</si>
  <si>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</si>
  <si>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</si>
  <si>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</si>
  <si>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</si>
  <si>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</si>
  <si>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</si>
  <si>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</si>
  <si>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</si>
  <si>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</si>
  <si>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</si>
  <si>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</si>
  <si>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</si>
  <si>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</si>
  <si>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</si>
  <si>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</si>
  <si>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</si>
  <si>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</si>
  <si>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</si>
  <si>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</si>
  <si>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</si>
  <si>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</si>
  <si>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</si>
  <si>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</si>
  <si>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</si>
  <si>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</si>
  <si>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</si>
  <si>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</si>
  <si>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</si>
  <si>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</si>
  <si>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</si>
  <si>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</si>
  <si>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</si>
  <si>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</si>
  <si>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</si>
  <si>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</si>
  <si>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</si>
  <si>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</si>
  <si>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</si>
  <si>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</si>
  <si>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</si>
  <si>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</si>
  <si>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</si>
  <si>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</si>
  <si>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</si>
  <si>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</si>
  <si>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</si>
  <si>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</si>
  <si>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</si>
  <si>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</si>
  <si>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</si>
  <si>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</si>
  <si>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</si>
  <si>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</si>
  <si>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</si>
  <si>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</si>
  <si>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</si>
  <si>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</si>
  <si>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</si>
  <si>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</si>
  <si>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</si>
  <si>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</si>
  <si>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</si>
  <si>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</si>
  <si>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</si>
  <si>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</si>
  <si>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</si>
  <si>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</si>
  <si>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</si>
  <si>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</si>
  <si>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</si>
  <si>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</si>
  <si>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</si>
  <si>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</si>
  <si>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</si>
  <si>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</si>
  <si>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</si>
  <si>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</si>
  <si>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</si>
  <si>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</si>
  <si>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</si>
  <si>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</si>
  <si>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</si>
  <si>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</si>
  <si>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</si>
  <si>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</si>
  <si>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</si>
  <si>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</si>
  <si>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</si>
  <si>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</si>
  <si>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</si>
  <si>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</si>
  <si>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</si>
  <si>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</si>
  <si>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</si>
  <si>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</si>
  <si>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</si>
  <si>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</si>
  <si>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</si>
  <si>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</si>
  <si>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</si>
  <si>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</si>
  <si>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</si>
  <si>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</si>
  <si>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</si>
  <si>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</si>
  <si>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</si>
  <si>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</si>
  <si>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</si>
  <si>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</si>
  <si>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</si>
  <si>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</si>
  <si>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</si>
  <si>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</si>
  <si>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</si>
  <si>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</si>
  <si>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</si>
  <si>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</si>
  <si>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</si>
  <si>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</si>
  <si>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</si>
  <si>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</si>
  <si>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</si>
  <si>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</si>
  <si>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</si>
  <si>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</si>
  <si>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</si>
  <si>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</si>
  <si>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</si>
  <si>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</si>
  <si>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</si>
  <si>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</si>
  <si>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</si>
  <si>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</si>
  <si>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</si>
  <si>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</si>
  <si>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</si>
  <si>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</si>
  <si>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</si>
  <si>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</si>
  <si>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</si>
  <si>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</si>
  <si>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</si>
  <si>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</si>
  <si>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</si>
  <si>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</si>
  <si>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</si>
  <si>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</si>
  <si>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</si>
  <si>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</si>
  <si>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</si>
  <si>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</si>
  <si>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</si>
  <si>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</si>
  <si>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</si>
  <si>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</si>
  <si>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</si>
  <si>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</si>
  <si>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</si>
  <si>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</si>
  <si>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</si>
  <si>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</si>
  <si>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</si>
  <si>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</si>
  <si>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</si>
  <si>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</si>
  <si>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</si>
  <si>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</si>
  <si>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</si>
  <si>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</si>
  <si>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</si>
  <si>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</si>
  <si>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</si>
  <si>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</si>
  <si>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</si>
  <si>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</si>
  <si>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</si>
  <si>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</si>
  <si>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</si>
  <si>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</si>
  <si>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</si>
  <si>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</si>
  <si>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</si>
  <si>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</si>
  <si>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</si>
  <si>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</si>
  <si>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</si>
  <si>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</si>
  <si>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</si>
  <si>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</si>
  <si>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</si>
  <si>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</si>
  <si>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</si>
  <si>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</si>
  <si>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</si>
  <si>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</si>
  <si>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</si>
  <si>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</si>
  <si>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</si>
  <si>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</si>
  <si>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</si>
  <si>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</si>
  <si>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</si>
  <si>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</si>
  <si>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</si>
  <si>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</si>
  <si>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</si>
  <si>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</si>
  <si>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</si>
  <si>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</si>
  <si>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</si>
  <si>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</si>
  <si>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</si>
  <si>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</si>
  <si>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</si>
  <si>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</si>
  <si>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</si>
  <si>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</si>
  <si>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</si>
  <si>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</si>
  <si>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</si>
  <si>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</si>
  <si>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</si>
  <si>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</si>
  <si>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</si>
  <si>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</si>
  <si>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</si>
  <si>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</si>
  <si>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</si>
  <si>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</si>
  <si>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</si>
  <si>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</si>
  <si>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</si>
  <si>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</si>
  <si>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</si>
  <si>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</si>
  <si>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</si>
  <si>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</si>
  <si>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</si>
  <si>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</si>
  <si>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</si>
  <si>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</si>
  <si>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</si>
  <si>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</si>
  <si>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</si>
  <si>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</si>
  <si>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</si>
  <si>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</si>
  <si>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</si>
  <si>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</si>
  <si>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</si>
  <si>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</si>
  <si>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</si>
  <si>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</si>
  <si>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</si>
  <si>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</si>
  <si>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</si>
  <si>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</si>
  <si>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</si>
  <si>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</si>
  <si>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</si>
  <si>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</si>
  <si>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</si>
  <si>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</si>
  <si>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</si>
  <si>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</si>
  <si>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</si>
  <si>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</si>
  <si>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</si>
  <si>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</si>
  <si>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</si>
  <si>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</si>
  <si>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</si>
  <si>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</si>
  <si>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</si>
  <si>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</si>
  <si>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</si>
  <si>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</si>
  <si>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</si>
  <si>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</si>
  <si>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</si>
  <si>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</si>
  <si>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</si>
  <si>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</si>
  <si>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</si>
  <si>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</si>
  <si>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</si>
  <si>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</si>
  <si>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</si>
  <si>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</si>
  <si>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</si>
  <si>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</si>
  <si>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</si>
  <si>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</si>
  <si>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</si>
  <si>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</si>
  <si>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</si>
  <si>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</si>
  <si>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</si>
  <si>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</si>
  <si>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</si>
  <si>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</si>
  <si>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</si>
  <si>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</si>
  <si>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</si>
  <si>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</si>
  <si>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</si>
  <si>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</si>
  <si>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</si>
  <si>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</si>
  <si>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</si>
  <si>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</si>
  <si>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</si>
  <si>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</si>
  <si>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</si>
  <si>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</si>
  <si>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</si>
  <si>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</si>
  <si>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</si>
  <si>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</si>
  <si>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</si>
  <si>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</si>
  <si>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</si>
  <si>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</si>
  <si>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</si>
  <si>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</si>
  <si>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</si>
  <si>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</si>
  <si>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</si>
  <si>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</si>
  <si>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</si>
  <si>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</si>
  <si>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</si>
  <si>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</si>
  <si>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</si>
  <si>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</si>
  <si>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</si>
  <si>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</si>
  <si>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</si>
  <si>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</si>
  <si>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</si>
  <si>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</si>
  <si>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</si>
  <si>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</si>
  <si>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</si>
  <si>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</si>
  <si>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</si>
  <si>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</si>
  <si>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</si>
  <si>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</si>
  <si>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</si>
  <si>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</si>
  <si>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</si>
  <si>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</si>
  <si>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</si>
  <si>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</si>
  <si>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</si>
  <si>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</si>
  <si>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</si>
  <si>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</si>
  <si>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</si>
  <si>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</si>
  <si>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</si>
  <si>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</si>
  <si>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</si>
  <si>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</si>
  <si>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</si>
  <si>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</si>
  <si>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</si>
  <si>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</si>
  <si>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</si>
  <si>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</si>
  <si>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</si>
  <si>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</si>
  <si>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</si>
  <si>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</si>
  <si>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</si>
  <si>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</si>
  <si>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</si>
  <si>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</si>
  <si>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</si>
  <si>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</si>
  <si>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</si>
  <si>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</si>
  <si>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</si>
  <si>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</si>
  <si>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</si>
  <si>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</si>
  <si>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</si>
  <si>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</si>
  <si>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</si>
  <si>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</si>
  <si>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</si>
  <si>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</si>
  <si>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</si>
  <si>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</si>
  <si>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</si>
  <si>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</si>
  <si>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</si>
  <si>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</si>
  <si>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</si>
  <si>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</si>
  <si>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</si>
  <si>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</si>
  <si>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</si>
  <si>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</si>
  <si>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</si>
  <si>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</si>
  <si>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</si>
  <si>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</si>
  <si>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</si>
  <si>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</si>
  <si>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</si>
  <si>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</si>
  <si>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</si>
  <si>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</si>
  <si>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</si>
  <si>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</si>
  <si>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</si>
  <si>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</si>
  <si>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</si>
  <si>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</si>
  <si>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</si>
  <si>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</si>
  <si>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</si>
  <si>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</si>
  <si>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</si>
  <si>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</si>
  <si>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</si>
  <si>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</si>
  <si>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</si>
  <si>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</si>
  <si>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</si>
  <si>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</si>
  <si>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</si>
  <si>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</si>
  <si>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</si>
  <si>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</si>
  <si>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</si>
  <si>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</si>
  <si>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</si>
  <si>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</si>
  <si>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</si>
  <si>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</si>
  <si>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</si>
  <si>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</si>
  <si>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</si>
  <si>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</si>
  <si>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</si>
  <si>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</si>
  <si>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</si>
  <si>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</si>
  <si>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</si>
  <si>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</si>
  <si>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</si>
  <si>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</si>
  <si>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</si>
  <si>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</si>
  <si>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</si>
  <si>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</si>
  <si>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</si>
  <si>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</si>
  <si>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</si>
  <si>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</si>
  <si>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</si>
  <si>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</si>
  <si>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</si>
  <si>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</si>
  <si>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</si>
  <si>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</si>
  <si>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</si>
  <si>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</si>
  <si>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</si>
  <si>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</si>
  <si>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</si>
  <si>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</si>
  <si>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</si>
  <si>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</si>
  <si>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</si>
  <si>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</si>
  <si>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</si>
  <si>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</si>
  <si>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</si>
  <si>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</si>
  <si>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</si>
  <si>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</si>
  <si>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</si>
  <si>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</si>
  <si>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</si>
  <si>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</si>
  <si>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</si>
  <si>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</si>
  <si>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</si>
  <si>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</si>
  <si>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</si>
  <si>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</si>
  <si>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</si>
  <si>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</si>
  <si>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</si>
  <si>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</si>
  <si>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</si>
  <si>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</si>
  <si>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</si>
  <si>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</si>
  <si>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</si>
  <si>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</si>
  <si>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</si>
  <si>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</si>
  <si>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</si>
  <si>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</si>
  <si>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</si>
  <si>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</si>
  <si>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</si>
  <si>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</si>
  <si>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</si>
  <si>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</si>
  <si>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</si>
  <si>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</si>
  <si>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</si>
  <si>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</si>
  <si>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</si>
  <si>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</si>
  <si>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</si>
  <si>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</si>
  <si>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</si>
  <si>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</si>
  <si>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</si>
  <si>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</si>
  <si>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</si>
  <si>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</si>
  <si>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</si>
  <si>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</si>
  <si>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</si>
  <si>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</si>
  <si>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</si>
  <si>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</si>
  <si>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</si>
  <si>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</si>
  <si>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</si>
  <si>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</si>
  <si>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</si>
  <si>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</si>
  <si>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</si>
  <si>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</si>
  <si>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</si>
  <si>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</si>
  <si>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</si>
  <si>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</si>
  <si>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</si>
  <si>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</si>
  <si>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</si>
  <si>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</si>
  <si>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</si>
  <si>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</si>
  <si>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</si>
  <si>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</si>
  <si>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</si>
  <si>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</si>
  <si>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</si>
  <si>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</si>
  <si>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</si>
  <si>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</si>
  <si>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</si>
  <si>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</si>
  <si>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</si>
  <si>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</si>
  <si>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</si>
  <si>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</si>
  <si>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</si>
  <si>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</si>
  <si>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</si>
  <si>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</si>
  <si>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</si>
  <si>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</si>
  <si>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</si>
  <si>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</si>
  <si>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</si>
  <si>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</si>
  <si>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</si>
  <si>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</si>
  <si>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</si>
  <si>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</si>
  <si>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</si>
  <si>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</si>
  <si>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</si>
  <si>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</si>
  <si>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</si>
  <si>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</si>
  <si>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</si>
  <si>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</si>
  <si>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</si>
  <si>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</si>
  <si>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</si>
  <si>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</si>
  <si>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</si>
  <si>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</si>
  <si>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</si>
  <si>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</si>
  <si>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</si>
  <si>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</si>
  <si>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</si>
  <si>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</si>
  <si>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</si>
  <si>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</si>
  <si>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</si>
  <si>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</si>
  <si>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</si>
  <si>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</si>
  <si>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</si>
  <si>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</si>
  <si>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</si>
  <si>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</si>
  <si>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</si>
  <si>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</si>
  <si>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</si>
  <si>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</si>
  <si>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</si>
  <si>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</si>
  <si>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</si>
  <si>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</si>
  <si>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</si>
  <si>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</si>
  <si>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</si>
  <si>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</si>
  <si>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</si>
  <si>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</si>
  <si>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</si>
  <si>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</si>
  <si>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</si>
  <si>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</si>
  <si>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</si>
  <si>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</si>
  <si>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</si>
  <si>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</si>
  <si>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</si>
  <si>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</si>
  <si>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</si>
  <si>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</si>
  <si>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</si>
  <si>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</si>
  <si>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</si>
  <si>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</si>
  <si>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</si>
  <si>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</si>
  <si>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</si>
  <si>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</si>
  <si>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</si>
  <si>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</si>
  <si>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</si>
  <si>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</si>
  <si>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</si>
  <si>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</si>
  <si>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</si>
  <si>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</si>
  <si>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</si>
  <si>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</si>
  <si>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</si>
  <si>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</si>
  <si>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</si>
  <si>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</si>
  <si>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</si>
  <si>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</si>
  <si>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</si>
  <si>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</si>
  <si>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</si>
  <si>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</si>
  <si>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</si>
  <si>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</si>
  <si>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</si>
  <si>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</si>
  <si>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</si>
  <si>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</si>
  <si>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</si>
  <si>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</si>
  <si>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</si>
  <si>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</si>
  <si>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</si>
  <si>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</si>
  <si>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</si>
  <si>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</si>
  <si>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</si>
  <si>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</si>
  <si>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</si>
  <si>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</si>
  <si>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</si>
  <si>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</si>
  <si>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</si>
  <si>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</si>
  <si>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</si>
  <si>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</si>
  <si>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</si>
  <si>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</si>
  <si>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</si>
  <si>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</si>
  <si>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</si>
  <si>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</si>
  <si>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</si>
  <si>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</si>
  <si>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</si>
  <si>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</si>
  <si>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</si>
  <si>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</si>
  <si>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</si>
  <si>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</si>
  <si>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</si>
  <si>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</si>
  <si>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</si>
  <si>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</si>
  <si>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</si>
  <si>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</si>
  <si>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</si>
  <si>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</si>
  <si>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</si>
  <si>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</si>
  <si>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</si>
  <si>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</si>
  <si>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</si>
  <si>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</si>
  <si>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</si>
  <si>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</si>
  <si>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</si>
  <si>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</si>
  <si>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</si>
  <si>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</si>
  <si>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</si>
  <si>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</si>
  <si>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</si>
  <si>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</si>
  <si>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</si>
  <si>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</si>
  <si>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</si>
  <si>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</si>
  <si>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</si>
  <si>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</si>
  <si>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</si>
  <si>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</si>
  <si>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</si>
  <si>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</si>
  <si>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</si>
  <si>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</si>
  <si>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</si>
  <si>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</si>
  <si>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</si>
  <si>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</si>
  <si>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</si>
  <si>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</si>
  <si>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</si>
  <si>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</si>
  <si>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</si>
  <si>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</si>
  <si>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</si>
  <si>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</si>
  <si>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</si>
  <si>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</si>
  <si>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</si>
  <si>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</si>
  <si>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</si>
  <si>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</si>
  <si>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</si>
  <si>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</si>
  <si>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</si>
  <si>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</si>
  <si>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</si>
  <si>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</si>
  <si>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</si>
  <si>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</si>
  <si>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</si>
  <si>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</si>
  <si>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</si>
  <si>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</si>
  <si>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</si>
  <si>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</si>
  <si>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</si>
  <si>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</si>
  <si>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</si>
  <si>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</si>
  <si>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</si>
  <si>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</si>
  <si>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</si>
  <si>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</si>
  <si>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</si>
  <si>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</si>
  <si>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</si>
  <si>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</si>
  <si>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</si>
  <si>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</si>
  <si>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</si>
  <si>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</si>
  <si>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</si>
  <si>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</si>
  <si>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</si>
  <si>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</si>
  <si>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</si>
  <si>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</si>
  <si>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</si>
  <si>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</si>
  <si>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</si>
  <si>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</si>
  <si>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</si>
  <si>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</si>
  <si>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</si>
  <si>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</si>
  <si>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</si>
  <si>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</si>
  <si>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</si>
  <si>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</si>
  <si>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</si>
  <si>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</si>
  <si>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</si>
  <si>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</si>
  <si>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</si>
  <si>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</si>
  <si>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</si>
  <si>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</si>
  <si>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</si>
  <si>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</si>
  <si>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</si>
  <si>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</si>
  <si>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</si>
  <si>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</si>
  <si>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</si>
  <si>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</si>
  <si>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</si>
  <si>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</si>
  <si>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</si>
  <si>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</si>
  <si>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</si>
  <si>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</si>
  <si>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</si>
  <si>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</si>
  <si>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</si>
  <si>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</si>
  <si>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</si>
  <si>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</si>
  <si>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</si>
  <si>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</si>
  <si>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</si>
  <si>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</si>
  <si>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</si>
  <si>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</si>
  <si>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</si>
  <si>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</si>
  <si>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</si>
  <si>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</si>
  <si>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</si>
  <si>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</si>
  <si>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</si>
  <si>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</si>
  <si>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</si>
  <si>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</si>
  <si>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</si>
  <si>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</si>
  <si>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</si>
  <si>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</si>
  <si>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</si>
  <si>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</si>
  <si>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</si>
  <si>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</si>
  <si>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</si>
  <si>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</si>
  <si>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</si>
  <si>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</si>
  <si>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</si>
  <si>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</si>
  <si>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</si>
  <si>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</si>
  <si>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</si>
  <si>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</si>
  <si>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</si>
  <si>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</si>
  <si>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</si>
  <si>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</si>
  <si>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</si>
  <si>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</si>
  <si>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</si>
  <si>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</si>
  <si>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</si>
  <si>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</si>
  <si>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</si>
  <si>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</si>
  <si>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</si>
  <si>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</si>
  <si>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</si>
  <si>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</si>
  <si>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</si>
  <si>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</si>
  <si>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</si>
  <si>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</si>
  <si>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</si>
  <si>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</si>
  <si>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</si>
  <si>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</si>
  <si>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</si>
  <si>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</si>
  <si>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</si>
  <si>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</si>
  <si>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</si>
  <si>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</si>
  <si>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</si>
  <si>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</si>
  <si>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</si>
  <si>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</si>
  <si>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</si>
  <si>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</si>
  <si>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</si>
  <si>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</si>
  <si>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</si>
  <si>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</si>
  <si>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</si>
  <si>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</si>
  <si>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</si>
  <si>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</si>
  <si>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</si>
  <si>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</si>
  <si>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</si>
  <si>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</si>
  <si>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</si>
  <si>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</si>
  <si>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</si>
  <si>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</si>
  <si>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</si>
  <si>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</si>
  <si>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</si>
  <si>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</si>
  <si>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</si>
  <si>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</si>
  <si>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</si>
  <si>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</si>
  <si>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</si>
  <si>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</si>
  <si>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</si>
  <si>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</si>
  <si>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</si>
  <si>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</si>
  <si>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</si>
  <si>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</si>
  <si>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</si>
  <si>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</si>
  <si>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</si>
  <si>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</si>
  <si>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</si>
  <si>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</si>
  <si>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</si>
  <si>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</si>
  <si>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</si>
  <si>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</si>
  <si>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</si>
  <si>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</si>
  <si>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</si>
  <si>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</si>
  <si>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</si>
  <si>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</si>
  <si>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</si>
  <si>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</si>
  <si>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</si>
  <si>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</si>
  <si>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</si>
  <si>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</si>
  <si>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</si>
  <si>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</si>
  <si>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</si>
  <si>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</si>
  <si>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</si>
  <si>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</si>
  <si>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</si>
  <si>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</si>
  <si>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</si>
  <si>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</si>
  <si>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</si>
  <si>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</si>
  <si>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</si>
  <si>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</si>
  <si>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</si>
  <si>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</si>
  <si>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</si>
  <si>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</si>
  <si>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</si>
  <si>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</si>
  <si>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</si>
  <si>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</si>
  <si>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</si>
  <si>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</si>
  <si>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</si>
  <si>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</si>
  <si>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</si>
  <si>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</si>
  <si>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</si>
  <si>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</si>
  <si>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</si>
  <si>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</si>
  <si>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</si>
  <si>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</si>
  <si>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</si>
  <si>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</si>
  <si>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</si>
  <si>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</si>
  <si>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</si>
  <si>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</si>
  <si>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</si>
  <si>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</si>
  <si>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</si>
  <si>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</si>
  <si>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</si>
  <si>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</si>
  <si>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</si>
  <si>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</si>
  <si>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</si>
  <si>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</si>
  <si>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</si>
  <si>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</si>
  <si>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</si>
  <si>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</si>
  <si>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</si>
  <si>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</si>
  <si>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</si>
  <si>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</si>
  <si>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</si>
  <si>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</si>
  <si>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</si>
  <si>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</si>
  <si>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</si>
  <si>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</si>
  <si>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</si>
  <si>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</si>
  <si>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</si>
  <si>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</si>
  <si>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</si>
  <si>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</si>
  <si>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</si>
  <si>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</si>
  <si>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</si>
  <si>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</si>
  <si>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</si>
  <si>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</si>
  <si>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</si>
  <si>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</si>
  <si>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</si>
  <si>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</si>
  <si>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</si>
  <si>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</si>
  <si>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</si>
  <si>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</si>
  <si>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</si>
  <si>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</si>
  <si>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</si>
  <si>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</si>
  <si>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</si>
  <si>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</si>
  <si>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</si>
  <si>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</si>
  <si>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</si>
  <si>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</si>
  <si>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</si>
  <si>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</si>
  <si>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</si>
  <si>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</si>
  <si>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</si>
  <si>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</si>
  <si>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</si>
  <si>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</si>
  <si>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</si>
  <si>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</si>
  <si>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</si>
  <si>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</si>
  <si>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</si>
  <si>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</si>
  <si>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</si>
  <si>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</si>
  <si>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</si>
  <si>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</si>
  <si>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</si>
  <si>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</si>
  <si>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</si>
  <si>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</si>
  <si>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</si>
  <si>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</si>
  <si>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</si>
  <si>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</si>
  <si>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</si>
  <si>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</si>
  <si>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</si>
  <si>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</si>
  <si>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</si>
  <si>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</si>
  <si>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</si>
  <si>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</si>
  <si>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</si>
  <si>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</si>
  <si>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</si>
  <si>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</si>
  <si>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</si>
  <si>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</si>
  <si>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</si>
  <si>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</si>
  <si>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</si>
  <si>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</si>
  <si>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</si>
  <si>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</si>
  <si>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</si>
  <si>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</si>
  <si>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</si>
  <si>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</si>
  <si>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</si>
  <si>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</si>
  <si>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</si>
  <si>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</si>
  <si>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</si>
  <si>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</si>
  <si>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</si>
  <si>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</si>
  <si>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</si>
  <si>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</si>
  <si>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</si>
  <si>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</si>
  <si>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</si>
  <si>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</si>
  <si>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</si>
  <si>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</si>
  <si>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</si>
  <si>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</si>
  <si>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</si>
  <si>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</si>
  <si>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</si>
  <si>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</si>
  <si>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</si>
  <si>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</si>
  <si>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</si>
  <si>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</si>
  <si>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</si>
  <si>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</si>
  <si>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</si>
  <si>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</si>
  <si>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</si>
  <si>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</si>
  <si>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</si>
  <si>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</si>
  <si>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</si>
  <si>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</si>
  <si>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</si>
  <si>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</si>
  <si>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</si>
  <si>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</si>
  <si>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</si>
  <si>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</si>
  <si>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</si>
  <si>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</si>
  <si>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</si>
  <si>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</si>
  <si>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</si>
  <si>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</si>
  <si>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</si>
  <si>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</si>
  <si>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</si>
  <si>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</si>
  <si>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</si>
  <si>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</si>
  <si>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</si>
  <si>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</si>
  <si>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</si>
  <si>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</si>
  <si>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</si>
  <si>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</si>
  <si>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</si>
  <si>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</si>
  <si>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</si>
  <si>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</si>
  <si>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</si>
  <si>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</si>
  <si>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</si>
  <si>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</si>
  <si>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</si>
  <si>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</si>
  <si>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</si>
  <si>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</si>
  <si>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</si>
  <si>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</si>
  <si>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</si>
  <si>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</si>
  <si>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</si>
  <si>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</si>
  <si>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</si>
  <si>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</si>
  <si>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</si>
  <si>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</si>
  <si>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</si>
  <si>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</si>
  <si>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</si>
  <si>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</si>
  <si>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</si>
  <si>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</si>
  <si>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</si>
  <si>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</si>
  <si>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</si>
  <si>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</si>
  <si>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</si>
  <si>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</si>
  <si>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</si>
  <si>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</si>
  <si>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</si>
  <si>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</si>
  <si>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</si>
  <si>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</si>
  <si>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</si>
  <si>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</si>
  <si>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</si>
  <si>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</si>
  <si>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</si>
  <si>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</si>
  <si>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</si>
  <si>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</si>
  <si>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</si>
  <si>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</si>
  <si>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</si>
  <si>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</si>
  <si>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</si>
  <si>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</si>
  <si>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</si>
  <si>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</si>
  <si>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</si>
  <si>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</si>
  <si>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</si>
  <si>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</si>
  <si>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</si>
  <si>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</si>
  <si>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</si>
  <si>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</si>
  <si>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</si>
  <si>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</si>
  <si>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</si>
  <si>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</si>
  <si>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</si>
  <si>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</si>
  <si>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</si>
  <si>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</si>
  <si>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</si>
  <si>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</si>
  <si>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</si>
  <si>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</si>
  <si>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</si>
  <si>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</si>
  <si>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</si>
  <si>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</si>
  <si>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</si>
  <si>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</si>
  <si>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</si>
  <si>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</si>
  <si>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</si>
  <si>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</si>
  <si>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</si>
  <si>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</si>
  <si>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</si>
  <si>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</si>
  <si>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</si>
  <si>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</si>
  <si>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</si>
  <si>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</si>
  <si>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</si>
  <si>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</si>
  <si>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</si>
  <si>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</si>
  <si>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</si>
  <si>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</si>
  <si>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</si>
  <si>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</si>
  <si>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</si>
  <si>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</si>
  <si>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</si>
  <si>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</si>
  <si>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</si>
  <si>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</si>
  <si>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</si>
  <si>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</si>
  <si>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</si>
  <si>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</si>
  <si>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</si>
  <si>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</si>
  <si>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</si>
  <si>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</si>
  <si>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</si>
  <si>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</si>
  <si>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</si>
  <si>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</si>
  <si>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</si>
  <si>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</si>
  <si>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</si>
  <si>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</si>
  <si>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</si>
  <si>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</si>
  <si>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</si>
  <si>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</si>
  <si>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</si>
  <si>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</si>
  <si>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</si>
  <si>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</si>
  <si>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</si>
  <si>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</si>
  <si>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</si>
  <si>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</si>
  <si>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</si>
  <si>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</si>
  <si>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</si>
  <si>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</si>
  <si>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</si>
  <si>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</si>
  <si>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</si>
  <si>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</si>
  <si>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</si>
  <si>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</si>
  <si>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</si>
  <si>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</si>
  <si>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</si>
  <si>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</si>
  <si>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</si>
  <si>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</si>
  <si>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</si>
  <si>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</si>
  <si>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</si>
  <si>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</si>
  <si>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</si>
  <si>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</si>
  <si>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</si>
  <si>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</si>
  <si>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</si>
  <si>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</si>
  <si>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</si>
  <si>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</si>
  <si>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</si>
  <si>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</si>
  <si>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</si>
  <si>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</si>
  <si>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</si>
  <si>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</si>
  <si>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</si>
  <si>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</si>
  <si>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</si>
  <si>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</si>
  <si>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</si>
  <si>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</si>
  <si>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</si>
  <si>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</si>
  <si>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</si>
  <si>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</si>
  <si>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</si>
  <si>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</si>
  <si>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</si>
  <si>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</si>
  <si>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</si>
  <si>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</si>
  <si>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</si>
  <si>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</si>
  <si>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</si>
  <si>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</si>
  <si>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</si>
  <si>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</si>
  <si>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</si>
  <si>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</si>
  <si>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</si>
  <si>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</si>
  <si>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</si>
  <si>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</si>
  <si>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</si>
  <si>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</si>
  <si>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</si>
  <si>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</si>
  <si>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</si>
  <si>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</si>
  <si>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</si>
  <si>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</si>
  <si>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</si>
  <si>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</si>
  <si>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</si>
  <si>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</si>
  <si>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</si>
  <si>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</si>
  <si>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</si>
  <si>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</si>
  <si>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</si>
  <si>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</si>
  <si>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</si>
  <si>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</si>
  <si>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</si>
  <si>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</si>
  <si>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</si>
  <si>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</si>
  <si>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</si>
  <si>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</si>
  <si>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</si>
  <si>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</si>
  <si>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</si>
  <si>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</si>
  <si>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</si>
  <si>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</si>
  <si>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</si>
  <si>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</si>
  <si>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</si>
  <si>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</si>
  <si>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</si>
  <si>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</si>
  <si>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</si>
  <si>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</si>
  <si>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</si>
  <si>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</si>
  <si>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</si>
  <si>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</si>
  <si>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</si>
  <si>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</si>
  <si>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</si>
  <si>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</si>
  <si>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</si>
  <si>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</si>
  <si>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</si>
  <si>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</si>
  <si>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</si>
  <si>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</si>
  <si>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</si>
  <si>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</si>
  <si>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</si>
  <si>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</si>
  <si>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</si>
  <si>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</si>
  <si>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</si>
  <si>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</si>
  <si>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</si>
  <si>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</si>
  <si>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</si>
  <si>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</si>
  <si>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</si>
  <si>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</si>
  <si>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</si>
  <si>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</si>
  <si>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</si>
  <si>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</si>
  <si>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</si>
  <si>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</si>
  <si>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</si>
  <si>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</si>
  <si>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</si>
  <si>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</si>
  <si>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</si>
  <si>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</si>
  <si>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</si>
  <si>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</si>
  <si>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</si>
  <si>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</si>
  <si>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</si>
  <si>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</si>
  <si>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</si>
  <si>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</si>
  <si>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</si>
  <si>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</si>
  <si>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</si>
  <si>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</si>
  <si>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</si>
  <si>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</si>
  <si>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</si>
  <si>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</si>
  <si>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</si>
  <si>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</si>
  <si>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</si>
  <si>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</si>
  <si>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</si>
  <si>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</si>
  <si>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</si>
  <si>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</si>
  <si>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</si>
  <si>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</si>
  <si>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</si>
  <si>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</si>
  <si>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</si>
  <si>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</si>
  <si>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</si>
  <si>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</si>
  <si>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</si>
  <si>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</si>
  <si>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</si>
  <si>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</si>
  <si>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</si>
  <si>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</si>
  <si>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</si>
  <si>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</si>
  <si>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</si>
  <si>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</si>
  <si>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</si>
  <si>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</si>
  <si>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</si>
  <si>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</si>
  <si>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</si>
  <si>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</si>
  <si>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</si>
  <si>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</si>
  <si>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</si>
  <si>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</si>
  <si>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</si>
  <si>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</si>
  <si>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</si>
  <si>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</si>
  <si>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</si>
  <si>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</si>
  <si>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</si>
  <si>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</si>
  <si>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</si>
  <si>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</si>
  <si>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</si>
  <si>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</si>
  <si>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</si>
  <si>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</si>
  <si>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</si>
  <si>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</si>
  <si>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</si>
  <si>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</si>
  <si>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</si>
  <si>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</si>
  <si>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</si>
  <si>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</si>
  <si>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</si>
  <si>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</si>
  <si>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</si>
  <si>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</si>
  <si>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</si>
  <si>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</si>
  <si>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</si>
  <si>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</si>
  <si>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</si>
  <si>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</si>
  <si>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</si>
  <si>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</si>
  <si>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</si>
  <si>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</si>
  <si>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</si>
  <si>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</si>
  <si>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</si>
  <si>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</si>
  <si>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</si>
  <si>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</si>
  <si>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</si>
  <si>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</si>
  <si>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</si>
  <si>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</si>
  <si>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</si>
  <si>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</si>
  <si>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</si>
  <si>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</si>
  <si>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</si>
  <si>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</si>
  <si>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</si>
  <si>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</si>
  <si>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</si>
  <si>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</si>
  <si>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</si>
  <si>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</si>
  <si>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</si>
  <si>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</si>
  <si>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</si>
  <si>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</si>
  <si>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</si>
  <si>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</si>
  <si>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</si>
  <si>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</si>
  <si>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</si>
  <si>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</si>
  <si>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</si>
  <si>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</si>
  <si>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</si>
  <si>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</si>
  <si>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</si>
  <si>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</si>
  <si>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</si>
  <si>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</si>
  <si>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</si>
  <si>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</si>
  <si>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</si>
  <si>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</si>
  <si>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</si>
  <si>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</si>
  <si>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</si>
  <si>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</si>
  <si>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</si>
  <si>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</si>
  <si>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</si>
  <si>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</si>
  <si>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</si>
  <si>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</si>
  <si>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</si>
  <si>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</si>
  <si>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</si>
  <si>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</si>
  <si>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</si>
  <si>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</si>
  <si>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</si>
  <si>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</si>
  <si>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</si>
  <si>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</si>
  <si>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</si>
  <si>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</si>
  <si>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</si>
  <si>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</si>
  <si>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</si>
  <si>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</si>
  <si>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</si>
  <si>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</si>
  <si>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</si>
  <si>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</si>
  <si>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</si>
  <si>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</si>
  <si>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</si>
  <si>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</si>
  <si>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</si>
  <si>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</si>
  <si>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</si>
  <si>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</si>
  <si>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</si>
  <si>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</si>
  <si>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</si>
  <si>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</si>
  <si>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</si>
  <si>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</si>
  <si>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</si>
  <si>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</si>
  <si>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</si>
  <si>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</si>
  <si>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</si>
  <si>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</si>
  <si>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</si>
  <si>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</si>
  <si>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</si>
  <si>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</si>
  <si>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</si>
  <si>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</si>
  <si>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</si>
  <si>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</si>
  <si>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</si>
  <si>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</si>
  <si>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</si>
  <si>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</si>
  <si>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</si>
  <si>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</si>
  <si>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</si>
  <si>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</si>
  <si>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</si>
  <si>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</si>
  <si>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</si>
  <si>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</si>
  <si>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</si>
  <si>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</si>
  <si>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</si>
  <si>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</si>
  <si>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</si>
  <si>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</si>
  <si>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</si>
  <si>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</si>
  <si>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</si>
  <si>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</si>
  <si>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</si>
  <si>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</si>
  <si>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</si>
  <si>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</si>
  <si>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</si>
  <si>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</si>
  <si>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</si>
  <si>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</si>
  <si>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</si>
  <si>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</si>
  <si>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</si>
  <si>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</si>
  <si>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</si>
  <si>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</si>
  <si>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</si>
  <si>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</si>
  <si>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</si>
  <si>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</si>
  <si>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</si>
  <si>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</si>
  <si>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</si>
  <si>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</si>
  <si>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</si>
  <si>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</si>
  <si>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</si>
  <si>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</si>
  <si>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</si>
  <si>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</si>
  <si>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</si>
  <si>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</si>
  <si>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</si>
  <si>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</si>
  <si>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</si>
  <si>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</si>
  <si>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</si>
  <si>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</si>
  <si>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</si>
  <si>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</si>
  <si>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</si>
  <si>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</si>
  <si>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</si>
  <si>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</si>
  <si>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</si>
  <si>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</si>
  <si>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</si>
  <si>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</si>
  <si>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</si>
  <si>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</si>
  <si>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</si>
  <si>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</si>
  <si>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</si>
  <si>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</si>
  <si>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</si>
  <si>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</si>
  <si>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</si>
  <si>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</si>
  <si>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</si>
  <si>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</si>
  <si>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</si>
  <si>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</si>
  <si>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</si>
  <si>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</si>
  <si>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</si>
  <si>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</si>
  <si>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</si>
  <si>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</si>
  <si>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</si>
  <si>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</si>
  <si>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</si>
  <si>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</si>
  <si>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</si>
  <si>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</si>
  <si>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</si>
  <si>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</si>
  <si>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</si>
  <si>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</si>
  <si>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</si>
  <si>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</si>
  <si>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</si>
  <si>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</si>
  <si>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</si>
  <si>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</si>
  <si>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</si>
  <si>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</si>
  <si>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</si>
  <si>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</si>
  <si>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</si>
  <si>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</si>
  <si>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</si>
  <si>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</si>
  <si>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</si>
  <si>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</si>
  <si>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</si>
  <si>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</si>
  <si>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</si>
  <si>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</si>
  <si>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</si>
  <si>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</si>
  <si>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</si>
  <si>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</si>
  <si>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</si>
  <si>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</si>
  <si>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</si>
  <si>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</si>
  <si>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</si>
  <si>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</si>
  <si>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</si>
  <si>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</si>
  <si>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</si>
  <si>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</si>
  <si>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</si>
  <si>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</si>
  <si>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</si>
  <si>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</si>
  <si>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</si>
  <si>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</si>
  <si>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</si>
  <si>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</si>
  <si>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</si>
  <si>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</si>
  <si>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</si>
  <si>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</si>
  <si>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</si>
  <si>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</si>
  <si>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</si>
  <si>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</si>
  <si>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</si>
  <si>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</si>
  <si>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</si>
  <si>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</si>
  <si>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</si>
  <si>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</si>
  <si>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</si>
  <si>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</si>
  <si>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</si>
  <si>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</si>
  <si>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</si>
  <si>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</si>
  <si>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</si>
  <si>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</si>
  <si>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</si>
  <si>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</si>
  <si>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</si>
  <si>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</si>
  <si>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</si>
  <si>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</si>
  <si>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</si>
  <si>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</si>
  <si>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</si>
  <si>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</si>
  <si>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</si>
  <si>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</si>
  <si>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</si>
  <si>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</si>
  <si>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</si>
  <si>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</si>
  <si>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</si>
  <si>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</si>
  <si>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</si>
  <si>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</si>
  <si>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</si>
  <si>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</si>
  <si>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</si>
  <si>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</si>
  <si>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</si>
  <si>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</si>
  <si>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</si>
  <si>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</si>
  <si>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</si>
  <si>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</si>
  <si>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</si>
  <si>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</si>
  <si>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</si>
  <si>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</si>
  <si>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</si>
  <si>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</si>
  <si>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</si>
  <si>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</si>
  <si>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</si>
  <si>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</si>
  <si>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</si>
  <si>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</si>
  <si>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</si>
  <si>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</si>
  <si>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</si>
  <si>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</si>
  <si>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</si>
  <si>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</si>
  <si>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</si>
  <si>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</si>
  <si>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</si>
  <si>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</si>
  <si>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</si>
  <si>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</si>
  <si>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</si>
  <si>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</si>
  <si>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</si>
  <si>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</si>
  <si>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</si>
  <si>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</si>
  <si>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</si>
  <si>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</si>
  <si>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</si>
  <si>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</si>
  <si>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</si>
  <si>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</si>
  <si>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</si>
  <si>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</si>
  <si>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</si>
  <si>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</si>
  <si>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</si>
  <si>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</si>
  <si>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</si>
  <si>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</si>
  <si>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</si>
  <si>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</si>
  <si>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</si>
  <si>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</si>
  <si>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</si>
  <si>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</si>
  <si>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</si>
  <si>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</si>
  <si>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</si>
  <si>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</si>
  <si>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</si>
  <si>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</si>
  <si>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</si>
  <si>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</si>
  <si>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</si>
  <si>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</si>
  <si>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</si>
  <si>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</si>
  <si>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</si>
  <si>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</si>
  <si>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</si>
  <si>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</si>
  <si>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</si>
  <si>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</si>
  <si>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</si>
  <si>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</si>
  <si>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</si>
  <si>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</si>
  <si>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</si>
  <si>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</si>
  <si>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</si>
  <si>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</si>
  <si>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</si>
  <si>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</si>
  <si>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</si>
  <si>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</si>
  <si>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</si>
  <si>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</si>
  <si>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</si>
  <si>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</si>
  <si>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</si>
  <si>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</si>
  <si>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</si>
  <si>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</si>
  <si>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</si>
  <si>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</si>
  <si>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</si>
  <si>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</si>
  <si>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</si>
  <si>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</si>
  <si>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</si>
  <si>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</si>
  <si>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</si>
  <si>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</si>
  <si>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</si>
  <si>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</si>
  <si>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</si>
  <si>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</si>
  <si>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</si>
  <si>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</si>
  <si>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</si>
  <si>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</si>
  <si>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</si>
  <si>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</si>
  <si>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</si>
  <si>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</si>
  <si>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</si>
  <si>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</si>
  <si>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</si>
  <si>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</si>
  <si>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</si>
  <si>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</si>
  <si>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</si>
  <si>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</si>
  <si>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</si>
  <si>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</si>
  <si>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</si>
  <si>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</si>
  <si>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</si>
  <si>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</si>
  <si>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</si>
  <si>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</si>
  <si>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</si>
  <si>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</si>
  <si>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</si>
  <si>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</si>
  <si>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</si>
  <si>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</si>
  <si>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</si>
  <si>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</si>
  <si>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</si>
  <si>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</si>
  <si>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</si>
  <si>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</si>
  <si>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</si>
  <si>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</si>
  <si>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</si>
  <si>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</si>
  <si>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</si>
  <si>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</si>
  <si>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</si>
  <si>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</si>
  <si>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</si>
  <si>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</si>
  <si>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</si>
  <si>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</si>
  <si>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</si>
  <si>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</si>
  <si>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</si>
  <si>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</si>
  <si>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</si>
  <si>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</si>
  <si>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</si>
  <si>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</si>
  <si>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</si>
  <si>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</si>
  <si>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</si>
  <si>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</si>
  <si>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</si>
  <si>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</si>
  <si>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</si>
  <si>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</si>
  <si>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</si>
  <si>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</si>
  <si>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</si>
  <si>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</si>
  <si>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</si>
  <si>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</si>
  <si>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</si>
  <si>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</si>
  <si>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</si>
  <si>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</si>
  <si>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</si>
  <si>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</si>
  <si>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</si>
  <si>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</si>
  <si>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</si>
  <si>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</si>
  <si>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</si>
  <si>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</si>
  <si>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</si>
  <si>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</si>
  <si>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</si>
  <si>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</si>
  <si>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</si>
  <si>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</si>
  <si>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</si>
  <si>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</si>
  <si>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</si>
  <si>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</si>
  <si>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</si>
  <si>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</si>
  <si>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</si>
  <si>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</si>
  <si>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</si>
  <si>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</si>
  <si>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</si>
  <si>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</si>
  <si>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</si>
  <si>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</si>
  <si>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</si>
  <si>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</si>
  <si>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</si>
  <si>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</si>
  <si>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</si>
  <si>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</si>
  <si>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</si>
  <si>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</si>
  <si>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</si>
  <si>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</si>
  <si>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</si>
  <si>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</si>
  <si>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</si>
  <si>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</si>
  <si>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</si>
  <si>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</si>
  <si>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</si>
  <si>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</si>
  <si>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</si>
  <si>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</si>
  <si>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</si>
  <si>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</si>
  <si>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</si>
  <si>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</si>
  <si>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</si>
  <si>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</si>
  <si>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</si>
  <si>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</si>
  <si>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</si>
  <si>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</si>
  <si>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</si>
  <si>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</si>
  <si>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</si>
  <si>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</si>
  <si>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</si>
  <si>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</si>
  <si>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</si>
  <si>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</si>
  <si>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</si>
  <si>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</si>
  <si>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</si>
  <si>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</si>
  <si>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</si>
  <si>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</si>
  <si>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</si>
  <si>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</si>
  <si>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</si>
  <si>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</si>
  <si>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</si>
  <si>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</si>
  <si>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</si>
  <si>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</si>
  <si>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</si>
  <si>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</si>
  <si>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</si>
  <si>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</si>
  <si>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</si>
  <si>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</si>
  <si>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</si>
  <si>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</si>
  <si>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</si>
  <si>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</si>
  <si>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</si>
  <si>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</si>
  <si>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</si>
  <si>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</si>
  <si>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</si>
  <si>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</si>
  <si>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</si>
  <si>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</si>
  <si>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</si>
  <si>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</si>
  <si>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</si>
  <si>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</si>
  <si>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</si>
  <si>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</si>
  <si>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</si>
  <si>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</si>
  <si>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</si>
  <si>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</si>
  <si>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</si>
  <si>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</si>
  <si>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</si>
  <si>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</si>
  <si>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</si>
  <si>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</si>
  <si>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</si>
  <si>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</si>
  <si>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</si>
  <si>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</si>
  <si>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</si>
  <si>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</si>
  <si>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</si>
  <si>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</si>
  <si>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</si>
  <si>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</si>
  <si>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</si>
  <si>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</si>
  <si>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</si>
  <si>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</si>
  <si>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</si>
  <si>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</si>
  <si>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</si>
  <si>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</si>
  <si>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</si>
  <si>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</si>
  <si>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</si>
  <si>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</si>
  <si>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</si>
  <si>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</si>
  <si>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</si>
  <si>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</si>
  <si>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</si>
  <si>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</si>
  <si>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</si>
  <si>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</si>
  <si>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</si>
  <si>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</si>
  <si>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</si>
  <si>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</si>
  <si>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</si>
  <si>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</si>
  <si>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</si>
  <si>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</si>
  <si>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</si>
  <si>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</si>
  <si>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</si>
  <si>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</si>
  <si>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</si>
  <si>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</si>
  <si>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</si>
  <si>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</si>
  <si>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</si>
  <si>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</si>
  <si>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</si>
  <si>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</si>
  <si>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</si>
  <si>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</si>
  <si>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</si>
  <si>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</si>
  <si>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</si>
  <si>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</si>
  <si>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</si>
  <si>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</si>
  <si>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</si>
  <si>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</si>
  <si>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</si>
  <si>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</si>
  <si>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</si>
  <si>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</si>
  <si>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</si>
  <si>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</si>
  <si>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</si>
  <si>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</si>
  <si>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</si>
  <si>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</si>
  <si>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</si>
  <si>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</si>
  <si>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</si>
  <si>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</si>
  <si>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</si>
  <si>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</si>
  <si>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</si>
  <si>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</si>
  <si>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</si>
  <si>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</si>
  <si>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</si>
  <si>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</si>
  <si>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</si>
  <si>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</si>
  <si>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</si>
  <si>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</si>
  <si>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</si>
  <si>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</si>
  <si>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</si>
  <si>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</si>
  <si>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</si>
  <si>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</si>
  <si>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</si>
  <si>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</si>
  <si>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</si>
  <si>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</si>
  <si>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</si>
  <si>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</si>
  <si>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</si>
  <si>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</si>
  <si>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</si>
  <si>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</si>
  <si>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</si>
  <si>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</si>
  <si>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</si>
  <si>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</si>
  <si>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</si>
  <si>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</si>
  <si>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</si>
  <si>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</si>
  <si>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</si>
  <si>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</si>
  <si>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</si>
  <si>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</si>
  <si>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</si>
  <si>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</si>
  <si>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</si>
  <si>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</si>
  <si>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</si>
  <si>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</si>
  <si>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</si>
  <si>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</si>
  <si>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</si>
  <si>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</si>
  <si>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</si>
  <si>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</si>
  <si>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</si>
  <si>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</si>
  <si>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</si>
  <si>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</si>
  <si>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</si>
  <si>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</si>
  <si>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</si>
  <si>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</si>
  <si>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</si>
  <si>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</si>
  <si>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</si>
  <si>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</si>
  <si>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</si>
  <si>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</si>
  <si>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</si>
  <si>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</si>
  <si>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</si>
  <si>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</si>
  <si>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</si>
  <si>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</si>
  <si>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</si>
  <si>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</si>
  <si>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</si>
  <si>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</si>
  <si>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</si>
  <si>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</si>
  <si>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</si>
  <si>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</si>
  <si>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</si>
  <si>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</si>
  <si>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</si>
  <si>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</si>
  <si>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</si>
  <si>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</si>
  <si>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</si>
  <si>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</si>
  <si>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</si>
  <si>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</si>
  <si>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</si>
  <si>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</si>
  <si>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</si>
  <si>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</si>
  <si>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</si>
  <si>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</si>
  <si>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</si>
  <si>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</si>
  <si>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</si>
  <si>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</si>
  <si>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</si>
  <si>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</si>
  <si>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</si>
  <si>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</si>
  <si>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</si>
  <si>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</si>
  <si>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</si>
  <si>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</si>
  <si>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</si>
  <si>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</si>
  <si>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</si>
  <si>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</si>
  <si>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</si>
  <si>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</si>
  <si>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</si>
  <si>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</si>
  <si>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</si>
  <si>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</si>
  <si>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</si>
  <si>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</si>
  <si>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</si>
  <si>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</si>
  <si>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</si>
  <si>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</si>
  <si>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</si>
  <si>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</si>
  <si>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</si>
  <si>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</si>
  <si>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</si>
  <si>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</si>
  <si>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</si>
  <si>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</si>
  <si>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</si>
  <si>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</si>
  <si>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</si>
  <si>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</si>
  <si>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</si>
  <si>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</si>
  <si>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</si>
  <si>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</si>
  <si>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</si>
  <si>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</si>
  <si>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</si>
  <si>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</si>
  <si>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</si>
  <si>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</si>
  <si>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</si>
  <si>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</si>
  <si>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</si>
  <si>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</si>
  <si>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</si>
  <si>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</si>
  <si>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</si>
  <si>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</si>
  <si>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</si>
  <si>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</si>
  <si>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</si>
  <si>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</si>
  <si>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</si>
  <si>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</si>
  <si>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</si>
  <si>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</si>
  <si>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</si>
  <si>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</si>
  <si>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</si>
  <si>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</si>
  <si>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</si>
  <si>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</si>
  <si>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</si>
  <si>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</si>
  <si>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</si>
  <si>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</si>
  <si>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</si>
  <si>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</si>
  <si>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</si>
  <si>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</si>
  <si>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</si>
  <si>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</si>
  <si>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</si>
  <si>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</si>
  <si>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</si>
  <si>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</si>
  <si>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</si>
  <si>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</si>
  <si>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</si>
  <si>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</si>
  <si>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</si>
  <si>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</si>
  <si>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</si>
  <si>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</si>
  <si>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</si>
  <si>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</si>
  <si>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</si>
  <si>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</si>
  <si>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</si>
  <si>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</si>
  <si>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</si>
  <si>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</si>
  <si>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</si>
  <si>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</si>
  <si>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</si>
  <si>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</si>
  <si>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</si>
  <si>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</si>
  <si>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</si>
  <si>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</si>
  <si>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</si>
  <si>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</si>
  <si>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</si>
  <si>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</si>
  <si>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</si>
  <si>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</si>
  <si>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</si>
  <si>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</si>
  <si>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</si>
  <si>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</si>
  <si>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</si>
  <si>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</si>
  <si>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</si>
  <si>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</si>
  <si>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</si>
  <si>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</si>
  <si>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</si>
  <si>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</si>
  <si>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</si>
  <si>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</si>
  <si>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</si>
  <si>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</si>
  <si>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</si>
  <si>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</si>
  <si>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</si>
  <si>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</si>
  <si>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</si>
  <si>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</si>
  <si>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</si>
  <si>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</si>
  <si>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</si>
  <si>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</si>
  <si>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</si>
  <si>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</si>
  <si>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</si>
  <si>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</si>
  <si>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</si>
  <si>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</si>
  <si>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</si>
  <si>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</si>
  <si>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</si>
  <si>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</si>
  <si>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</si>
  <si>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</si>
  <si>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</si>
  <si>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</si>
  <si>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</si>
  <si>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</si>
  <si>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</si>
  <si>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</si>
  <si>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</si>
  <si>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</si>
  <si>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</si>
  <si>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</si>
  <si>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</si>
  <si>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</si>
  <si>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</si>
  <si>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</si>
  <si>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</si>
  <si>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</si>
  <si>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</si>
  <si>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</si>
  <si>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</si>
  <si>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</si>
  <si>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</si>
  <si>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</si>
  <si>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</si>
  <si>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</si>
  <si>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</si>
  <si>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</si>
  <si>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</si>
  <si>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</si>
  <si>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</si>
  <si>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</si>
  <si>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</si>
  <si>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</si>
  <si>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</si>
  <si>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</si>
  <si>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</si>
  <si>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</si>
  <si>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</si>
  <si>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</si>
  <si>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</si>
  <si>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</si>
  <si>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</si>
  <si>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</si>
  <si>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</si>
  <si>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</si>
  <si>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</si>
  <si>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</si>
  <si>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</si>
  <si>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</si>
  <si>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</si>
  <si>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</si>
  <si>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</si>
  <si>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</si>
  <si>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</si>
  <si>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</si>
  <si>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</si>
  <si>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</si>
  <si>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</si>
  <si>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</si>
  <si>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</si>
  <si>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</si>
  <si>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</si>
  <si>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</si>
  <si>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</si>
  <si>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</si>
  <si>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</si>
  <si>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</si>
  <si>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</si>
  <si>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</si>
  <si>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</si>
  <si>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</si>
  <si>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</si>
  <si>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</si>
  <si>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</si>
  <si>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</si>
  <si>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</si>
  <si>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</si>
  <si>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</si>
  <si>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</si>
  <si>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</si>
  <si>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</si>
  <si>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</si>
  <si>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</si>
  <si>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</si>
  <si>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</si>
  <si>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</si>
  <si>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</si>
  <si>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</si>
  <si>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</si>
  <si>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</si>
  <si>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</si>
  <si>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</si>
  <si>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</si>
  <si>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</si>
  <si>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</si>
  <si>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</si>
  <si>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</si>
  <si>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</si>
  <si>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</si>
  <si>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</si>
  <si>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</si>
  <si>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</si>
  <si>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</si>
  <si>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</si>
  <si>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</si>
  <si>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</si>
  <si>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</si>
  <si>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</si>
  <si>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</si>
  <si>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</si>
  <si>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</si>
  <si>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</si>
  <si>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</si>
  <si>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</si>
  <si>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</si>
  <si>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</si>
  <si>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</si>
  <si>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</si>
  <si>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</si>
  <si>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</si>
  <si>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</si>
  <si>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</si>
  <si>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</si>
  <si>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</si>
  <si>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</si>
  <si>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</si>
  <si>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</si>
  <si>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</si>
  <si>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</si>
  <si>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</si>
  <si>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</si>
  <si>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</si>
  <si>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</si>
  <si>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</si>
  <si>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</si>
  <si>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</si>
  <si>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</si>
  <si>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</si>
  <si>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</si>
  <si>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</si>
  <si>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</si>
  <si>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</si>
  <si>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</si>
  <si>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</si>
  <si>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</si>
  <si>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</si>
  <si>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</si>
  <si>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</si>
  <si>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</si>
  <si>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</si>
  <si>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</si>
  <si>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</si>
  <si>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</si>
  <si>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</si>
  <si>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</si>
  <si>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</si>
  <si>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</si>
  <si>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</si>
  <si>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</si>
  <si>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</si>
  <si>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</si>
  <si>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</si>
  <si>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</si>
  <si>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</si>
  <si>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</si>
  <si>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</si>
  <si>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</si>
  <si>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</si>
  <si>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</si>
  <si>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</si>
  <si>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</si>
  <si>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</si>
  <si>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</si>
  <si>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</si>
  <si>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</si>
  <si>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</si>
  <si>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</si>
  <si>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</si>
  <si>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</si>
  <si>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</si>
  <si>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</si>
  <si>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</si>
  <si>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</si>
  <si>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</si>
  <si>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</si>
  <si>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</si>
  <si>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</si>
  <si>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</si>
  <si>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</si>
  <si>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</si>
  <si>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</si>
  <si>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</si>
  <si>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</si>
  <si>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</si>
  <si>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</si>
  <si>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</si>
  <si>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</si>
  <si>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</si>
  <si>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</si>
  <si>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</si>
  <si>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</si>
  <si>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</si>
  <si>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</si>
  <si>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</si>
  <si>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</si>
  <si>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</si>
  <si>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</si>
  <si>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</si>
  <si>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</si>
  <si>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</si>
  <si>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</si>
  <si>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</si>
  <si>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</si>
  <si>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</si>
  <si>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</si>
  <si>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</si>
  <si>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</si>
  <si>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</si>
  <si>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</si>
  <si>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</si>
  <si>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</si>
  <si>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</si>
  <si>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</si>
  <si>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</si>
  <si>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</si>
  <si>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</si>
  <si>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</si>
  <si>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</si>
  <si>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</si>
  <si>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</si>
  <si>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</si>
  <si>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</si>
  <si>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</si>
  <si>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</si>
  <si>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</si>
  <si>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</si>
  <si>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</si>
  <si>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</si>
  <si>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</si>
  <si>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</si>
  <si>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</si>
  <si>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</si>
  <si>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</si>
  <si>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</si>
  <si>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</si>
  <si>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</si>
  <si>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</si>
  <si>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</si>
  <si>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</si>
  <si>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</si>
  <si>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</si>
  <si>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</si>
  <si>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</si>
  <si>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</si>
  <si>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</si>
  <si>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</si>
  <si>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</si>
  <si>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</si>
  <si>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</si>
  <si>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</si>
  <si>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</si>
  <si>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</si>
  <si>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</si>
  <si>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</si>
  <si>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</si>
  <si>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</si>
  <si>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</si>
  <si>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</si>
  <si>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</si>
  <si>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</si>
  <si>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</si>
  <si>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</si>
  <si>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</si>
  <si>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</si>
  <si>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</si>
  <si>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</si>
  <si>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</si>
  <si>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</si>
  <si>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</si>
  <si>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</si>
  <si>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</si>
  <si>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</si>
  <si>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</si>
  <si>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</si>
  <si>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</si>
  <si>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</si>
  <si>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</si>
  <si>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</si>
  <si>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</si>
  <si>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</si>
  <si>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</si>
  <si>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</si>
  <si>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</si>
  <si>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</si>
  <si>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</si>
  <si>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</si>
  <si>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</si>
  <si>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</si>
  <si>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</si>
  <si>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</si>
  <si>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</si>
  <si>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</si>
  <si>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</si>
  <si>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</si>
  <si>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</si>
  <si>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</si>
  <si>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</si>
  <si>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</si>
  <si>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</si>
  <si>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</si>
  <si>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</si>
  <si>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</si>
  <si>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</si>
  <si>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</si>
  <si>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</si>
  <si>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</si>
  <si>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</si>
  <si>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</si>
  <si>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</si>
  <si>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</si>
  <si>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</si>
  <si>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</si>
  <si>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</si>
  <si>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</si>
  <si>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</si>
  <si>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</si>
  <si>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</si>
  <si>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</si>
  <si>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</si>
  <si>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</si>
  <si>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</si>
  <si>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</si>
  <si>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</si>
  <si>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</si>
  <si>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</si>
  <si>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</si>
  <si>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</si>
  <si>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</si>
  <si>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</si>
  <si>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</si>
  <si>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</si>
  <si>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</si>
  <si>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</si>
  <si>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</si>
  <si>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</si>
  <si>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</si>
  <si>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</si>
  <si>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</si>
  <si>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</si>
  <si>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</si>
  <si>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</si>
  <si>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</si>
  <si>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</si>
  <si>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</si>
  <si>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</si>
  <si>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</si>
  <si>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</si>
  <si>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</si>
  <si>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</si>
  <si>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</si>
  <si>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</si>
  <si>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</si>
  <si>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</si>
  <si>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</si>
  <si>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</si>
  <si>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</si>
  <si>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</si>
  <si>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</si>
  <si>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</si>
  <si>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</si>
  <si>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</si>
  <si>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</si>
  <si>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</si>
  <si>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</si>
  <si>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</si>
  <si>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</si>
  <si>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</si>
  <si>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</si>
  <si>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</si>
  <si>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</si>
  <si>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</si>
  <si>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</si>
  <si>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</si>
  <si>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</si>
  <si>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</si>
  <si>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</si>
  <si>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</si>
  <si>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</si>
  <si>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</si>
  <si>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</si>
  <si>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</si>
  <si>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</si>
  <si>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</si>
  <si>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</si>
  <si>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</si>
  <si>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</si>
  <si>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</si>
  <si>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</si>
  <si>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</si>
  <si>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</si>
  <si>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</si>
  <si>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</si>
  <si>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</si>
  <si>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</si>
  <si>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</si>
  <si>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</si>
  <si>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</si>
  <si>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</si>
  <si>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</si>
  <si>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</si>
  <si>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</si>
  <si>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</si>
  <si>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</si>
  <si>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</si>
  <si>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</si>
  <si>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</si>
  <si>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</si>
  <si>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</si>
  <si>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</si>
  <si>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</si>
  <si>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</si>
  <si>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</si>
  <si>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</si>
  <si>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</si>
  <si>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</si>
  <si>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</si>
  <si>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</si>
  <si>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</si>
  <si>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</si>
  <si>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</si>
  <si>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</si>
  <si>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</si>
  <si>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</si>
  <si>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</si>
  <si>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</si>
  <si>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</si>
  <si>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</si>
  <si>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</si>
  <si>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</si>
  <si>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</si>
  <si>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</si>
  <si>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</si>
  <si>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</si>
  <si>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</si>
  <si>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</si>
  <si>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</si>
  <si>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</si>
  <si>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</si>
  <si>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</si>
  <si>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</si>
  <si>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</si>
  <si>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</si>
  <si>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</si>
  <si>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</si>
  <si>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</si>
  <si>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</si>
  <si>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</si>
  <si>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</si>
  <si>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</si>
  <si>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</si>
  <si>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</si>
  <si>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</si>
  <si>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</si>
  <si>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</si>
  <si>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</si>
  <si>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</si>
  <si>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</si>
  <si>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</si>
  <si>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</si>
  <si>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</si>
  <si>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</si>
  <si>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</si>
  <si>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</si>
  <si>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</si>
  <si>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</si>
  <si>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</si>
  <si>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</si>
  <si>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</si>
  <si>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</si>
  <si>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</si>
  <si>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</si>
  <si>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</si>
  <si>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</si>
  <si>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</si>
  <si>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</si>
  <si>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</si>
  <si>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</si>
  <si>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</si>
  <si>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</si>
  <si>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</si>
  <si>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</si>
  <si>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</si>
  <si>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</si>
  <si>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</si>
  <si>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</si>
  <si>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</si>
  <si>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</si>
  <si>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</si>
  <si>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</si>
  <si>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</si>
  <si>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</si>
  <si>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</si>
  <si>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</si>
  <si>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</si>
  <si>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</si>
  <si>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</si>
  <si>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</si>
  <si>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</si>
  <si>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</si>
  <si>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</si>
  <si>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</si>
  <si>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</si>
  <si>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</si>
  <si>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</si>
  <si>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</si>
  <si>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</si>
  <si>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</si>
  <si>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</si>
  <si>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</si>
  <si>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</si>
  <si>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</si>
  <si>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</si>
  <si>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</si>
  <si>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</si>
  <si>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</si>
  <si>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</si>
  <si>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</si>
  <si>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</si>
  <si>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</si>
  <si>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</si>
  <si>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</si>
  <si>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</si>
  <si>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</si>
  <si>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</si>
  <si>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</si>
  <si>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</si>
  <si>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</si>
  <si>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</si>
  <si>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</si>
  <si>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</si>
  <si>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</si>
  <si>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</si>
  <si>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</si>
  <si>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</si>
  <si>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</si>
  <si>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</si>
  <si>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</si>
  <si>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</si>
  <si>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</si>
  <si>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</si>
  <si>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</si>
  <si>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</si>
  <si>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</si>
  <si>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</si>
  <si>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</si>
  <si>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</si>
  <si>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</si>
  <si>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</si>
  <si>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</si>
  <si>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</si>
  <si>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</si>
  <si>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</si>
  <si>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</si>
  <si>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</si>
  <si>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</si>
  <si>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</si>
  <si>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</si>
  <si>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</si>
  <si>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</si>
  <si>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</si>
  <si>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</si>
  <si>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</si>
  <si>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</si>
  <si>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</si>
  <si>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</si>
  <si>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</si>
  <si>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</si>
  <si>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</si>
  <si>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</si>
  <si>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</si>
  <si>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</si>
  <si>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</si>
  <si>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</si>
  <si>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</si>
  <si>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</si>
  <si>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</si>
  <si>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</si>
  <si>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</si>
  <si>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</si>
  <si>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</si>
  <si>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</si>
  <si>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</si>
  <si>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</si>
  <si>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</si>
  <si>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</si>
  <si>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</si>
  <si>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</si>
  <si>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</si>
  <si>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</si>
  <si>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</si>
  <si>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</si>
  <si>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</si>
  <si>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</si>
  <si>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</si>
  <si>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</si>
  <si>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</si>
  <si>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</si>
  <si>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</si>
  <si>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</si>
  <si>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</si>
  <si>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</si>
  <si>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</si>
  <si>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</si>
  <si>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</si>
  <si>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</si>
  <si>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</si>
  <si>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</si>
  <si>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</si>
  <si>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</si>
  <si>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</si>
  <si>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</si>
  <si>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</si>
  <si>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</si>
  <si>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</si>
  <si>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</si>
  <si>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</si>
  <si>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</si>
  <si>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</si>
  <si>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</si>
  <si>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</si>
  <si>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</si>
  <si>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</si>
  <si>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</si>
  <si>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</si>
  <si>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</si>
  <si>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</si>
  <si>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</si>
  <si>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</si>
  <si>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</si>
  <si>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</si>
  <si>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</si>
  <si>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</si>
  <si>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</si>
  <si>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</si>
  <si>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</si>
  <si>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</si>
  <si>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</si>
  <si>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</si>
  <si>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</si>
  <si>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</si>
  <si>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</si>
  <si>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</si>
  <si>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</si>
  <si>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</si>
  <si>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</si>
  <si>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</si>
  <si>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</si>
  <si>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</si>
  <si>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</si>
  <si>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</si>
  <si>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</si>
  <si>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</si>
  <si>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</si>
  <si>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</si>
  <si>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</si>
  <si>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</si>
  <si>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</si>
  <si>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</si>
  <si>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</si>
  <si>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</si>
  <si>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</si>
  <si>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</si>
  <si>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</si>
  <si>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</si>
  <si>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</si>
  <si>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</si>
  <si>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</si>
  <si>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</si>
  <si>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</si>
  <si>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</si>
  <si>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</si>
  <si>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</si>
  <si>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</si>
  <si>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</si>
  <si>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</si>
  <si>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</si>
  <si>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</si>
  <si>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</si>
  <si>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</si>
  <si>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</si>
  <si>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</si>
  <si>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</si>
  <si>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</si>
  <si>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</si>
  <si>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</si>
  <si>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</si>
  <si>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</si>
  <si>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</si>
  <si>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</si>
  <si>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</si>
  <si>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</si>
  <si>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</si>
  <si>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</si>
  <si>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</si>
  <si>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</si>
  <si>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</si>
  <si>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</si>
  <si>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</si>
  <si>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</si>
  <si>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</si>
  <si>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</si>
  <si>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</si>
  <si>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</si>
  <si>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</si>
  <si>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</si>
  <si>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</si>
  <si>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</si>
  <si>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</si>
  <si>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</si>
  <si>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</si>
  <si>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</si>
  <si>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</si>
  <si>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</si>
  <si>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</si>
  <si>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</si>
  <si>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</si>
  <si>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</si>
  <si>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</si>
  <si>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</si>
  <si>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</si>
  <si>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</si>
  <si>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</si>
  <si>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</si>
  <si>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</si>
  <si>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</si>
  <si>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</si>
  <si>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</si>
  <si>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</si>
  <si>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</si>
  <si>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</si>
  <si>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</si>
  <si>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</si>
  <si>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</si>
  <si>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</si>
  <si>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</si>
  <si>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</si>
  <si>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</si>
  <si>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</si>
  <si>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</si>
  <si>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</si>
  <si>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</si>
  <si>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</si>
  <si>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</si>
  <si>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</si>
  <si>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</si>
  <si>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</si>
  <si>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</si>
  <si>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</si>
  <si>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</si>
  <si>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</si>
  <si>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</si>
  <si>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</si>
  <si>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</si>
  <si>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</si>
  <si>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</si>
  <si>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</si>
  <si>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</si>
  <si>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</si>
  <si>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</si>
  <si>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</si>
  <si>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</si>
  <si>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</si>
  <si>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</si>
  <si>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</si>
  <si>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</si>
  <si>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</si>
  <si>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</si>
  <si>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</si>
  <si>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</si>
  <si>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</si>
  <si>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</si>
  <si>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</si>
  <si>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</si>
  <si>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</si>
  <si>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</si>
  <si>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</si>
  <si>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</si>
  <si>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</si>
  <si>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</si>
  <si>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</si>
  <si>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</si>
  <si>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</si>
  <si>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</si>
  <si>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</si>
  <si>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</si>
  <si>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</si>
  <si>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</si>
  <si>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</si>
  <si>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</si>
  <si>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</si>
  <si>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</si>
  <si>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</si>
  <si>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</si>
  <si>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</si>
  <si>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</si>
  <si>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</si>
  <si>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</si>
  <si>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</si>
  <si>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</si>
  <si>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</si>
  <si>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</si>
  <si>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</si>
  <si>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</si>
  <si>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</si>
  <si>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</si>
  <si>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</si>
  <si>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</si>
  <si>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</si>
  <si>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</si>
  <si>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</si>
  <si>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</si>
  <si>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</si>
  <si>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</si>
  <si>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</si>
  <si>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</si>
  <si>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</si>
  <si>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</si>
  <si>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</si>
  <si>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</si>
  <si>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</si>
  <si>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</si>
  <si>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</si>
  <si>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</si>
  <si>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</si>
  <si>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</si>
  <si>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</si>
  <si>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</si>
  <si>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</si>
  <si>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</si>
  <si>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</si>
  <si>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</si>
  <si>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</si>
  <si>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</si>
  <si>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</si>
  <si>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</si>
  <si>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</si>
  <si>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</si>
  <si>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</si>
  <si>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</si>
  <si>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</si>
  <si>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</si>
  <si>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</si>
  <si>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</si>
  <si>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</si>
  <si>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</si>
  <si>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</si>
  <si>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</si>
  <si>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</si>
  <si>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</si>
  <si>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</si>
  <si>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</si>
  <si>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</si>
  <si>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</si>
  <si>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</si>
  <si>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</si>
  <si>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</si>
  <si>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</si>
  <si>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</si>
  <si>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</si>
  <si>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</si>
  <si>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</si>
  <si>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</si>
  <si>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</si>
  <si>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</si>
  <si>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</si>
  <si>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</si>
  <si>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</si>
  <si>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</si>
  <si>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</si>
  <si>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</si>
  <si>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</si>
  <si>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</si>
  <si>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</si>
  <si>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</si>
  <si>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</si>
  <si>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</si>
  <si>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</si>
  <si>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</si>
  <si>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</si>
  <si>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</si>
  <si>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</si>
  <si>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</si>
  <si>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</si>
  <si>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</si>
  <si>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</si>
  <si>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</si>
  <si>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</si>
  <si>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</si>
  <si>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</si>
  <si>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</si>
  <si>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</si>
  <si>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</si>
  <si>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</si>
  <si>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</si>
  <si>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</si>
  <si>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</si>
  <si>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</si>
  <si>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</si>
  <si>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</si>
  <si>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</si>
  <si>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</si>
  <si>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</si>
  <si>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</si>
  <si>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</si>
  <si>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</si>
  <si>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</si>
  <si>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</si>
  <si>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</si>
  <si>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</si>
  <si>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</si>
  <si>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</si>
  <si>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</si>
  <si>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</si>
  <si>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</si>
  <si>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</si>
  <si>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</si>
  <si>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</si>
  <si>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</si>
  <si>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</si>
  <si>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</si>
  <si>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</si>
  <si>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</si>
  <si>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</si>
  <si>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</si>
  <si>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</si>
  <si>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</si>
  <si>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</si>
  <si>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</si>
  <si>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</si>
  <si>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</si>
  <si>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</si>
  <si>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</si>
  <si>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</si>
  <si>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</si>
  <si>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</si>
  <si>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</si>
  <si>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</si>
  <si>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</si>
  <si>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</si>
  <si>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</si>
  <si>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</si>
  <si>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</si>
  <si>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</si>
  <si>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</si>
  <si>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</si>
  <si>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</si>
  <si>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</si>
  <si>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</si>
  <si>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</si>
  <si>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</si>
  <si>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</si>
  <si>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</si>
  <si>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</si>
  <si>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</si>
  <si>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</si>
  <si>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</si>
  <si>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</si>
  <si>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</si>
  <si>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</si>
  <si>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</si>
  <si>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</si>
  <si>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</si>
  <si>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</si>
  <si>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</si>
  <si>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</si>
  <si>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</si>
  <si>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</si>
  <si>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</si>
  <si>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</si>
  <si>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</si>
  <si>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</si>
  <si>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</si>
  <si>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</si>
  <si>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</si>
  <si>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</si>
  <si>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</si>
  <si>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</si>
  <si>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</si>
  <si>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</si>
  <si>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</si>
  <si>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</si>
  <si>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</si>
  <si>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</si>
  <si>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</si>
  <si>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</si>
  <si>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</si>
  <si>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</si>
  <si>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</si>
  <si>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</si>
  <si>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</si>
  <si>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</si>
  <si>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</si>
  <si>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</si>
  <si>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</si>
  <si>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</si>
  <si>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</si>
  <si>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</si>
  <si>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</si>
  <si>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</si>
  <si>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</si>
  <si>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</si>
  <si>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</si>
  <si>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</si>
  <si>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</si>
  <si>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</si>
  <si>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</si>
  <si>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</si>
  <si>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</si>
  <si>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</si>
  <si>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</si>
  <si>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</si>
  <si>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</si>
  <si>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</si>
  <si>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</si>
  <si>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</si>
  <si>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</si>
  <si>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</si>
  <si>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</si>
  <si>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</si>
  <si>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</si>
  <si>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</si>
  <si>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</si>
  <si>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</si>
  <si>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</si>
  <si>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</si>
  <si>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</si>
  <si>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</si>
  <si>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</si>
  <si>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</si>
  <si>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</si>
  <si>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</si>
  <si>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</si>
  <si>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</si>
  <si>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</si>
  <si>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</si>
  <si>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</si>
  <si>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</si>
  <si>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</si>
  <si>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</si>
  <si>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</si>
  <si>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</si>
  <si>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</si>
  <si>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</si>
  <si>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</si>
  <si>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</si>
  <si>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</si>
  <si>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</si>
  <si>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</si>
  <si>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</si>
  <si>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</si>
  <si>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</si>
  <si>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</si>
  <si>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</si>
  <si>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</si>
  <si>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</si>
  <si>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</si>
  <si>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</si>
  <si>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</si>
  <si>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</si>
  <si>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</si>
  <si>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</si>
  <si>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</si>
  <si>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</si>
  <si>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</si>
  <si>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</si>
  <si>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</si>
  <si>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</si>
  <si>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</si>
  <si>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</si>
  <si>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</si>
  <si>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</si>
  <si>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</si>
  <si>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</si>
  <si>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</si>
  <si>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</si>
  <si>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</si>
  <si>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</si>
  <si>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</si>
  <si>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</si>
  <si>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</si>
  <si>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</si>
  <si>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</si>
  <si>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</si>
  <si>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</si>
  <si>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</si>
  <si>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</si>
  <si>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</si>
  <si>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</si>
  <si>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</si>
  <si>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</si>
  <si>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</si>
  <si>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</si>
  <si>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</si>
  <si>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</si>
  <si>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</si>
  <si>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</si>
  <si>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</si>
  <si>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</si>
  <si>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</si>
  <si>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</si>
  <si>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</si>
  <si>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</si>
  <si>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</si>
  <si>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</si>
  <si>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</si>
  <si>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</si>
  <si>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</si>
  <si>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</si>
  <si>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</si>
  <si>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</si>
  <si>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</si>
  <si>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</si>
  <si>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</si>
  <si>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</si>
  <si>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</si>
  <si>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</si>
  <si>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</si>
  <si>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</si>
  <si>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</si>
  <si>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</si>
  <si>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</si>
  <si>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</si>
  <si>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</si>
  <si>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</si>
  <si>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</si>
  <si>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</si>
  <si>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</si>
  <si>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</si>
  <si>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</si>
  <si>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</si>
  <si>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</si>
  <si>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</si>
  <si>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</si>
  <si>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</si>
  <si>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</si>
  <si>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</si>
  <si>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</si>
  <si>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</si>
  <si>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</si>
  <si>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</si>
  <si>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</si>
  <si>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</si>
  <si>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</si>
  <si>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</si>
  <si>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</si>
  <si>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</si>
  <si>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</si>
  <si>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</si>
  <si>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</si>
  <si>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</si>
  <si>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</si>
  <si>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</si>
  <si>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</si>
  <si>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</si>
  <si>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</si>
  <si>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</si>
  <si>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</si>
  <si>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</si>
  <si>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</si>
  <si>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</si>
  <si>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</si>
  <si>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</si>
  <si>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</si>
  <si>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</si>
  <si>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</si>
  <si>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</si>
  <si>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</si>
  <si>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</si>
  <si>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</si>
  <si>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</si>
  <si>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</si>
  <si>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</si>
  <si>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</si>
  <si>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</si>
  <si>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</si>
  <si>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</si>
  <si>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</si>
  <si>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</si>
  <si>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</si>
  <si>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</si>
  <si>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</si>
  <si>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</si>
  <si>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</si>
  <si>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</si>
  <si>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</si>
  <si>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</si>
  <si>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</si>
  <si>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</si>
  <si>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</si>
  <si>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</si>
  <si>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</si>
  <si>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</si>
  <si>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</si>
  <si>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</si>
  <si>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</si>
  <si>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</si>
  <si>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</si>
  <si>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</si>
  <si>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</si>
  <si>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</si>
  <si>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</si>
  <si>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</si>
  <si>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</si>
  <si>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</si>
  <si>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</si>
  <si>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</si>
  <si>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</si>
  <si>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</si>
  <si>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</si>
  <si>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</si>
  <si>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</si>
  <si>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</si>
  <si>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</si>
  <si>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</si>
  <si>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</si>
  <si>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</si>
  <si>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</si>
  <si>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</si>
  <si>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</si>
  <si>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</si>
  <si>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</si>
  <si>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</si>
  <si>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</si>
  <si>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</si>
  <si>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</si>
  <si>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</si>
  <si>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</si>
  <si>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</si>
  <si>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</si>
  <si>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</si>
  <si>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</si>
  <si>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</si>
  <si>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</si>
  <si>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</si>
  <si>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</si>
  <si>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</si>
  <si>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</si>
  <si>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</si>
  <si>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</si>
  <si>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</si>
  <si>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</si>
  <si>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</si>
  <si>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</si>
  <si>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</si>
  <si>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</si>
  <si>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</si>
  <si>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</si>
  <si>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</si>
  <si>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</si>
  <si>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</si>
  <si>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</si>
  <si>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</si>
  <si>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</si>
  <si>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</si>
  <si>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</si>
  <si>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</si>
  <si>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</si>
  <si>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</si>
  <si>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</si>
  <si>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</si>
  <si>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</si>
  <si>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</si>
  <si>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</si>
  <si>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</si>
  <si>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</si>
  <si>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</si>
  <si>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</si>
  <si>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</si>
  <si>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</si>
  <si>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</si>
  <si>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</si>
  <si>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</si>
  <si>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</si>
  <si>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</si>
  <si>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</si>
  <si>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</si>
  <si>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</si>
  <si>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</si>
  <si>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</si>
  <si>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</si>
  <si>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</si>
  <si>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</si>
  <si>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</si>
  <si>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</si>
  <si>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</si>
  <si>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</si>
  <si>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</si>
  <si>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</si>
  <si>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</si>
  <si>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</si>
  <si>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</si>
  <si>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</si>
  <si>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</si>
  <si>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</si>
  <si>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</si>
  <si>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</si>
  <si>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</si>
  <si>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</si>
  <si>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</si>
  <si>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</si>
  <si>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</si>
  <si>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</si>
  <si>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</si>
  <si>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</si>
  <si>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</si>
  <si>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</si>
  <si>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</si>
  <si>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</si>
  <si>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</si>
  <si>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</si>
  <si>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</si>
  <si>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</si>
  <si>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</si>
  <si>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</si>
  <si>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</si>
  <si>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</si>
  <si>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</si>
  <si>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</si>
  <si>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</si>
  <si>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</si>
  <si>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</si>
  <si>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</si>
  <si>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</si>
  <si>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</si>
  <si>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</si>
  <si>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</si>
  <si>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</si>
  <si>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</si>
  <si>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</si>
  <si>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</si>
  <si>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</si>
  <si>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</si>
  <si>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</si>
  <si>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</si>
  <si>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</si>
  <si>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</si>
  <si>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</si>
  <si>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</si>
  <si>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</si>
  <si>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</si>
  <si>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</si>
  <si>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</si>
  <si>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</si>
  <si>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</si>
  <si>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</si>
  <si>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</si>
  <si>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</si>
  <si>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</si>
  <si>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</si>
  <si>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</si>
  <si>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</si>
  <si>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</si>
  <si>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</si>
  <si>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</si>
  <si>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</si>
  <si>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</si>
  <si>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</si>
  <si>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</si>
  <si>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</si>
  <si>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</si>
  <si>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</si>
  <si>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</si>
  <si>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</si>
  <si>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</si>
  <si>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</si>
  <si>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</si>
  <si>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</si>
  <si>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</si>
  <si>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</si>
  <si>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</si>
  <si>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</si>
  <si>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</si>
  <si>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</si>
  <si>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</si>
  <si>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</si>
  <si>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</si>
  <si>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</si>
  <si>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</si>
  <si>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</si>
  <si>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</si>
  <si>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</si>
  <si>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</si>
  <si>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</si>
  <si>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</si>
  <si>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</si>
  <si>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</si>
  <si>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</si>
  <si>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</si>
  <si>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</si>
  <si>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</si>
  <si>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</si>
  <si>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</si>
  <si>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</si>
  <si>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</si>
  <si>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</si>
  <si>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</si>
  <si>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</si>
  <si>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</si>
  <si>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</si>
  <si>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</si>
  <si>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</si>
  <si>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</si>
  <si>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</si>
  <si>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</si>
  <si>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</si>
  <si>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</si>
  <si>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</si>
  <si>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</si>
  <si>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</si>
  <si>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</si>
  <si>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</si>
  <si>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</si>
  <si>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</si>
  <si>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</si>
  <si>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</si>
  <si>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</si>
  <si>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</si>
  <si>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</si>
  <si>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</si>
  <si>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</si>
  <si>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</si>
  <si>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</si>
  <si>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</si>
  <si>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</si>
  <si>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</si>
  <si>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</si>
  <si>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</si>
  <si>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</si>
  <si>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</si>
  <si>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</si>
  <si>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</si>
  <si>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</si>
  <si>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</si>
  <si>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</si>
  <si>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</si>
  <si>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</si>
  <si>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</si>
  <si>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</si>
  <si>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</si>
  <si>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</si>
  <si>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</si>
  <si>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</si>
  <si>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</si>
  <si>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</si>
  <si>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</si>
  <si>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</si>
  <si>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</si>
  <si>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</si>
  <si>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</si>
  <si>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</si>
  <si>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</si>
  <si>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</si>
  <si>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</si>
  <si>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</si>
  <si>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</si>
  <si>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</si>
  <si>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</si>
  <si>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</si>
  <si>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</si>
  <si>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</si>
  <si>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</si>
  <si>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</si>
  <si>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</si>
  <si>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</si>
  <si>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</si>
  <si>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</si>
  <si>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</si>
  <si>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</si>
  <si>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</si>
  <si>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</si>
  <si>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</si>
  <si>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</si>
  <si>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</si>
  <si>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</si>
  <si>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</si>
  <si>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</si>
  <si>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</si>
  <si>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</si>
  <si>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</si>
  <si>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</si>
  <si>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</si>
  <si>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</si>
  <si>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</si>
  <si>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</si>
  <si>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</si>
  <si>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</si>
  <si>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</si>
  <si>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</si>
  <si>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</si>
  <si>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</si>
  <si>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</si>
  <si>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</si>
  <si>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</si>
  <si>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</si>
  <si>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</si>
  <si>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</si>
  <si>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</si>
  <si>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</si>
  <si>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</si>
  <si>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</si>
  <si>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</si>
  <si>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</si>
  <si>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</si>
  <si>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</si>
  <si>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</si>
  <si>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</si>
  <si>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</si>
  <si>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</si>
  <si>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</si>
  <si>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</si>
  <si>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</si>
  <si>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</si>
  <si>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</si>
  <si>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</si>
  <si>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</si>
  <si>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</si>
  <si>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</si>
  <si>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</si>
  <si>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</si>
  <si>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</si>
  <si>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</si>
  <si>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</si>
  <si>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</si>
  <si>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</si>
  <si>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</si>
  <si>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</si>
  <si>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</si>
  <si>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</si>
  <si>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</si>
  <si>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</si>
  <si>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</si>
  <si>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</si>
  <si>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</si>
  <si>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</si>
  <si>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</si>
  <si>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</si>
  <si>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</si>
  <si>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</si>
  <si>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</si>
  <si>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</si>
  <si>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</si>
  <si>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</si>
  <si>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</si>
  <si>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</si>
  <si>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</si>
  <si>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</si>
  <si>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</si>
  <si>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</si>
  <si>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</si>
  <si>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</si>
  <si>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</si>
  <si>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</si>
  <si>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</si>
  <si>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</si>
  <si>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</si>
  <si>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</si>
  <si>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</si>
  <si>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</si>
  <si>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</si>
  <si>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</si>
  <si>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</si>
  <si>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</si>
  <si>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</si>
  <si>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</si>
  <si>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</si>
  <si>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</si>
  <si>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</si>
  <si>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</si>
  <si>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</si>
  <si>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</si>
  <si>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</si>
  <si>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</si>
  <si>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</si>
  <si>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</si>
  <si>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</si>
  <si>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</si>
  <si>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</si>
  <si>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</si>
  <si>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</si>
  <si>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</si>
  <si>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</si>
  <si>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</si>
  <si>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</si>
  <si>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</si>
  <si>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</si>
  <si>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</si>
  <si>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</si>
  <si>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</si>
  <si>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</si>
  <si>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</si>
  <si>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</si>
  <si>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</si>
  <si>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</si>
  <si>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</si>
  <si>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</si>
  <si>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</si>
  <si>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</si>
  <si>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</si>
  <si>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</si>
  <si>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</si>
  <si>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</si>
  <si>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</si>
  <si>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</si>
  <si>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</si>
  <si>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</si>
  <si>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</si>
  <si>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</si>
  <si>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</si>
  <si>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</si>
  <si>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</si>
  <si>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</si>
  <si>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</si>
  <si>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</si>
  <si>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</si>
  <si>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</si>
  <si>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</si>
  <si>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</si>
  <si>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</si>
  <si>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</si>
  <si>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</si>
  <si>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</si>
  <si>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</si>
  <si>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</si>
  <si>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</si>
  <si>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</si>
  <si>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</si>
  <si>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</si>
  <si>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</si>
  <si>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</si>
  <si>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</si>
  <si>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</si>
  <si>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</si>
  <si>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</si>
  <si>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</si>
  <si>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</si>
  <si>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</si>
  <si>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</si>
  <si>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</si>
  <si>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</si>
  <si>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</si>
  <si>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</si>
  <si>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</si>
  <si>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</si>
  <si>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</si>
  <si>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</si>
  <si>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</si>
  <si>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</si>
  <si>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</si>
  <si>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</si>
  <si>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</si>
  <si>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</si>
  <si>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</si>
  <si>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</si>
  <si>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</si>
  <si>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</si>
  <si>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</si>
  <si>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</si>
  <si>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</si>
  <si>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</si>
  <si>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</si>
  <si>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</si>
  <si>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</si>
  <si>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</si>
  <si>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</si>
  <si>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</si>
  <si>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</si>
  <si>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</si>
  <si>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</si>
  <si>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</si>
  <si>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</si>
  <si>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</si>
  <si>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</si>
  <si>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</si>
  <si>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</si>
  <si>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</si>
  <si>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</si>
  <si>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</si>
  <si>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</si>
  <si>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</si>
  <si>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</si>
  <si>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</si>
  <si>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</si>
  <si>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</si>
  <si>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</si>
  <si>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</si>
  <si>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</si>
  <si>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</si>
  <si>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</si>
  <si>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</si>
  <si>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</si>
  <si>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</si>
  <si>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</si>
  <si>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</si>
  <si>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</si>
  <si>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</si>
  <si>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</si>
  <si>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</si>
  <si>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</si>
  <si>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</si>
  <si>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</si>
  <si>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</si>
  <si>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</si>
  <si>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</si>
  <si>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</si>
  <si>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</si>
  <si>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</si>
  <si>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</si>
  <si>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</si>
  <si>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</si>
  <si>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</si>
  <si>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</si>
  <si>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</si>
  <si>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</si>
  <si>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</si>
  <si>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</si>
  <si>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</si>
  <si>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</si>
  <si>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</si>
  <si>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</si>
  <si>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</si>
  <si>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</si>
  <si>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</si>
  <si>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</si>
  <si>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</si>
  <si>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</si>
  <si>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</si>
  <si>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</si>
  <si>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</si>
  <si>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</si>
  <si>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</si>
  <si>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</si>
  <si>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</si>
  <si>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</si>
  <si>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</si>
  <si>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</si>
  <si>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</si>
  <si>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</si>
  <si>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</si>
  <si>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</si>
  <si>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</si>
  <si>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</si>
  <si>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</si>
  <si>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</si>
  <si>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</si>
  <si>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</si>
  <si>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</si>
  <si>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</si>
  <si>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</si>
  <si>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</si>
  <si>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</si>
  <si>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</si>
  <si>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</si>
  <si>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</si>
  <si>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</si>
  <si>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</si>
  <si>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</si>
  <si>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</si>
  <si>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</si>
  <si>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</si>
  <si>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</si>
  <si>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</si>
  <si>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</si>
  <si>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</si>
  <si>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</si>
  <si>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</si>
  <si>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</si>
  <si>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</si>
  <si>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</si>
  <si>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</si>
  <si>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</si>
  <si>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</si>
  <si>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</si>
  <si>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</si>
  <si>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</si>
  <si>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</si>
  <si>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</si>
  <si>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</si>
  <si>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</si>
  <si>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</si>
  <si>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</si>
  <si>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</si>
  <si>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</si>
  <si>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</si>
  <si>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</si>
  <si>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</si>
  <si>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</si>
  <si>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</si>
  <si>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</si>
  <si>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</si>
  <si>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</si>
  <si>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</si>
  <si>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</si>
  <si>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</si>
  <si>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</si>
  <si>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</si>
  <si>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</si>
  <si>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</si>
  <si>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</si>
  <si>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</si>
  <si>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</si>
  <si>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</si>
  <si>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</si>
  <si>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</si>
  <si>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</si>
  <si>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</si>
  <si>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</si>
  <si>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</si>
  <si>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</si>
  <si>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</si>
  <si>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</si>
  <si>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</si>
  <si>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</si>
  <si>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</si>
  <si>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</si>
  <si>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</si>
  <si>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</si>
  <si>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</si>
  <si>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</si>
  <si>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</si>
  <si>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</si>
  <si>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</si>
  <si>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</si>
  <si>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</si>
  <si>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</si>
  <si>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</si>
  <si>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</si>
  <si>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</si>
  <si>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</si>
  <si>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</si>
  <si>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</si>
  <si>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</si>
  <si>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</si>
  <si>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</si>
  <si>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</si>
  <si>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</si>
  <si>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</si>
  <si>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</si>
  <si>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</si>
  <si>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</si>
  <si>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</si>
  <si>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</si>
  <si>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</si>
  <si>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</si>
  <si>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</si>
  <si>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</si>
  <si>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</si>
  <si>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</si>
  <si>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</si>
  <si>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</si>
  <si>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</si>
  <si>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</si>
  <si>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</si>
  <si>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</si>
  <si>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</si>
  <si>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</si>
  <si>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</si>
  <si>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</si>
  <si>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</si>
  <si>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</si>
  <si>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</si>
  <si>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</si>
  <si>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</si>
  <si>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</si>
  <si>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</si>
  <si>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</si>
  <si>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</si>
  <si>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</si>
  <si>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</si>
  <si>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</si>
  <si>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</si>
  <si>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</si>
  <si>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</si>
  <si>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</si>
  <si>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</si>
  <si>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</si>
  <si>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</si>
  <si>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</si>
  <si>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</si>
  <si>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</si>
  <si>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</si>
  <si>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</si>
  <si>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</si>
  <si>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</si>
  <si>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</si>
  <si>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</si>
  <si>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</si>
  <si>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</si>
  <si>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</si>
  <si>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</si>
  <si>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</si>
  <si>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</si>
  <si>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</si>
  <si>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</si>
  <si>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</si>
  <si>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</si>
  <si>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</si>
  <si>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</si>
  <si>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</si>
  <si>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</si>
  <si>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</si>
  <si>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</si>
  <si>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</si>
  <si>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</si>
  <si>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</si>
  <si>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</si>
  <si>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</si>
  <si>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</si>
  <si>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</si>
  <si>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</si>
  <si>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</si>
  <si>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</si>
  <si>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</si>
  <si>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</si>
  <si>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</si>
  <si>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</si>
  <si>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</si>
  <si>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</si>
  <si>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</si>
  <si>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</si>
  <si>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</si>
  <si>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</si>
  <si>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</si>
  <si>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</si>
  <si>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</si>
  <si>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</si>
  <si>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</si>
  <si>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</si>
  <si>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</si>
  <si>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</si>
  <si>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</si>
  <si>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</si>
  <si>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</si>
  <si>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</si>
  <si>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</si>
  <si>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</si>
  <si>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</si>
  <si>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</si>
  <si>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</si>
  <si>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</si>
  <si>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</si>
  <si>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</si>
  <si>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</si>
  <si>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</si>
  <si>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</si>
  <si>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</si>
  <si>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</si>
  <si>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</si>
  <si>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</si>
  <si>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</si>
  <si>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</si>
  <si>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</si>
  <si>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</si>
  <si>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</si>
  <si>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</si>
  <si>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</si>
  <si>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</si>
  <si>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</si>
  <si>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</si>
  <si>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</si>
  <si>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</si>
  <si>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</si>
  <si>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</si>
  <si>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</si>
  <si>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</si>
  <si>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</si>
  <si>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</si>
  <si>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</si>
  <si>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</si>
  <si>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</si>
  <si>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</si>
  <si>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</si>
  <si>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</si>
  <si>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</si>
  <si>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</si>
  <si>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</si>
  <si>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</si>
  <si>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</si>
  <si>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</si>
  <si>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</si>
  <si>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</si>
  <si>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</si>
  <si>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</si>
  <si>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</si>
  <si>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</si>
  <si>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</si>
  <si>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</si>
  <si>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</si>
  <si>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</si>
  <si>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</si>
  <si>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</si>
  <si>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</si>
  <si>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</si>
  <si>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</si>
  <si>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</si>
  <si>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</si>
  <si>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</si>
  <si>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</si>
  <si>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</si>
  <si>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</si>
  <si>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</si>
  <si>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</si>
  <si>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</si>
  <si>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</si>
  <si>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</si>
  <si>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</si>
  <si>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</si>
  <si>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</si>
  <si>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</si>
  <si>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</si>
  <si>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</si>
  <si>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</si>
  <si>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</si>
  <si>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</si>
  <si>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</si>
  <si>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</si>
  <si>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</si>
  <si>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</si>
  <si>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</si>
  <si>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</si>
  <si>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</si>
  <si>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</si>
  <si>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</si>
  <si>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</si>
  <si>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</si>
  <si>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</si>
  <si>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</si>
  <si>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</si>
  <si>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</si>
  <si>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</si>
  <si>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</si>
  <si>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</si>
  <si>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</si>
  <si>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</si>
  <si>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</si>
  <si>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</si>
  <si>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</si>
  <si>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</si>
  <si>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</si>
  <si>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</si>
  <si>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</si>
  <si>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</si>
  <si>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</si>
  <si>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</si>
  <si>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</si>
  <si>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</si>
  <si>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</si>
  <si>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</si>
  <si>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</si>
  <si>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</si>
  <si>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</si>
  <si>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</si>
  <si>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</si>
  <si>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</si>
  <si>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</si>
  <si>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</si>
  <si>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</si>
  <si>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</si>
  <si>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</si>
  <si>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</si>
  <si>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</si>
  <si>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</si>
  <si>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</si>
  <si>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</si>
  <si>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</si>
  <si>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</si>
  <si>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</si>
  <si>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</si>
  <si>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</si>
  <si>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</si>
  <si>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</si>
  <si>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</si>
  <si>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</si>
  <si>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</si>
  <si>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</si>
  <si>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</si>
  <si>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</si>
  <si>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</si>
  <si>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</si>
  <si>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</si>
  <si>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</si>
  <si>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</si>
  <si>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</si>
  <si>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</si>
  <si>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</si>
  <si>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</si>
  <si>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</si>
  <si>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</si>
  <si>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</si>
  <si>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</si>
  <si>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</si>
  <si>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</si>
  <si>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</si>
  <si>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</si>
  <si>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</si>
  <si>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</si>
  <si>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</si>
  <si>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</si>
  <si>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</si>
  <si>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</si>
  <si>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</si>
  <si>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</si>
  <si>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</si>
  <si>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</si>
  <si>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</si>
  <si>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</si>
  <si>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</si>
  <si>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</si>
  <si>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</si>
  <si>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</si>
  <si>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</si>
  <si>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</si>
  <si>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</si>
  <si>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</si>
  <si>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</si>
  <si>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</si>
  <si>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</si>
  <si>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</si>
  <si>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</si>
  <si>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</si>
  <si>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</si>
  <si>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</si>
  <si>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</si>
  <si>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</si>
  <si>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</si>
  <si>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</si>
  <si>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</si>
  <si>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</si>
  <si>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</si>
  <si>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</si>
  <si>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</si>
  <si>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</si>
  <si>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</si>
  <si>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</si>
  <si>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</si>
  <si>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</si>
  <si>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</si>
  <si>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</si>
  <si>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</si>
  <si>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</si>
  <si>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</si>
  <si>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</si>
  <si>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</si>
  <si>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</si>
  <si>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</si>
  <si>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</si>
  <si>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</si>
  <si>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</si>
  <si>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</si>
  <si>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</si>
  <si>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</si>
  <si>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</si>
  <si>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</si>
  <si>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</si>
  <si>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</si>
  <si>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</si>
  <si>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</si>
  <si>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</si>
  <si>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</si>
  <si>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</si>
  <si>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</si>
  <si>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</si>
  <si>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</si>
  <si>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</si>
  <si>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</si>
  <si>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</si>
  <si>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</si>
  <si>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</si>
  <si>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</si>
  <si>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</si>
  <si>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</si>
  <si>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</si>
  <si>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</si>
  <si>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</si>
  <si>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</si>
  <si>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</si>
  <si>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</si>
  <si>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</si>
  <si>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</si>
  <si>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</si>
  <si>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</si>
  <si>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</si>
  <si>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</si>
  <si>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</si>
  <si>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</si>
  <si>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</si>
  <si>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</si>
  <si>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</si>
  <si>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</si>
  <si>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</si>
  <si>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</si>
  <si>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</si>
  <si>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</si>
  <si>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</si>
  <si>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</si>
  <si>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</si>
  <si>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</si>
  <si>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</si>
  <si>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</si>
  <si>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</si>
  <si>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</si>
  <si>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</si>
  <si>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</si>
  <si>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</si>
  <si>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</si>
  <si>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</si>
  <si>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</si>
  <si>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</si>
  <si>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</si>
  <si>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</si>
  <si>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</si>
  <si>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</si>
  <si>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</si>
  <si>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</si>
  <si>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</si>
  <si>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</si>
  <si>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</si>
  <si>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</si>
  <si>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</si>
  <si>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</si>
  <si>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</si>
  <si>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</si>
  <si>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</si>
  <si>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</si>
  <si>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</si>
  <si>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</si>
  <si>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</si>
  <si>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</si>
  <si>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</si>
  <si>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</si>
  <si>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</si>
  <si>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</si>
  <si>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</si>
  <si>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</si>
  <si>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</si>
  <si>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</si>
  <si>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</si>
  <si>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</si>
  <si>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</si>
  <si>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</si>
  <si>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</si>
  <si>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</si>
  <si>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</si>
  <si>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</si>
  <si>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</si>
  <si>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</si>
  <si>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</si>
  <si>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</si>
  <si>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</si>
  <si>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</si>
  <si>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</si>
  <si>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</si>
  <si>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</si>
  <si>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</si>
  <si>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</si>
  <si>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</si>
  <si>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</si>
  <si>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</si>
  <si>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</si>
  <si>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</si>
  <si>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</si>
  <si>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</si>
  <si>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</si>
  <si>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</si>
  <si>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</si>
  <si>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</si>
  <si>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</si>
  <si>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</si>
  <si>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</si>
  <si>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</si>
  <si>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</si>
  <si>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</si>
  <si>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</si>
  <si>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</si>
  <si>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</si>
  <si>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</si>
  <si>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</si>
  <si>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</si>
  <si>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</si>
  <si>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</si>
  <si>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</si>
  <si>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</si>
  <si>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</si>
  <si>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</si>
  <si>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</si>
  <si>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</si>
  <si>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</si>
  <si>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</si>
  <si>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</si>
  <si>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</si>
  <si>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</si>
  <si>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</si>
  <si>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</si>
  <si>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</si>
  <si>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</si>
  <si>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</si>
  <si>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</si>
  <si>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</si>
  <si>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</si>
  <si>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</si>
  <si>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</si>
  <si>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</si>
  <si>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</si>
  <si>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</si>
  <si>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</si>
  <si>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</si>
  <si>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</si>
  <si>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</si>
  <si>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</si>
  <si>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</si>
  <si>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</si>
  <si>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</si>
  <si>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</si>
  <si>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</si>
  <si>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</si>
  <si>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</si>
  <si>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</si>
  <si>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</si>
  <si>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</si>
  <si>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</si>
  <si>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</si>
  <si>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</si>
  <si>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</si>
  <si>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</si>
  <si>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</si>
  <si>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</si>
  <si>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</si>
  <si>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</si>
  <si>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</si>
  <si>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</si>
  <si>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</si>
  <si>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</si>
  <si>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</si>
  <si>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</si>
  <si>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</si>
  <si>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</si>
  <si>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</si>
  <si>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</si>
  <si>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</si>
  <si>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</si>
  <si>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</si>
  <si>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</si>
  <si>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</si>
  <si>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</si>
  <si>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</si>
  <si>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</si>
  <si>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</si>
  <si>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</si>
  <si>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</si>
  <si>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</si>
  <si>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</si>
  <si>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</si>
  <si>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</si>
  <si>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</si>
  <si>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</si>
  <si>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</si>
  <si>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</si>
  <si>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</si>
  <si>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</si>
  <si>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</si>
  <si>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</si>
  <si>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</si>
  <si>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</si>
  <si>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</si>
  <si>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</si>
  <si>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</si>
  <si>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</si>
  <si>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</si>
  <si>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</si>
  <si>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</si>
  <si>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</si>
  <si>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</si>
  <si>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</si>
  <si>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</si>
  <si>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</si>
  <si>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</si>
  <si>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</si>
  <si>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</si>
  <si>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</si>
  <si>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</si>
  <si>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</si>
  <si>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</si>
  <si>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</si>
  <si>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</si>
  <si>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</si>
  <si>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</si>
  <si>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</si>
  <si>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</si>
  <si>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</si>
  <si>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</si>
  <si>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</si>
  <si>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</si>
  <si>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</si>
  <si>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</si>
  <si>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</si>
  <si>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</si>
  <si>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</si>
  <si>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</si>
  <si>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</si>
  <si>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</si>
  <si>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</si>
  <si>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</si>
  <si>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</si>
  <si>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</si>
  <si>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</si>
  <si>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</si>
  <si>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</si>
  <si>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</si>
  <si>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</si>
  <si>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</si>
  <si>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</si>
  <si>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</si>
  <si>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</si>
  <si>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</si>
  <si>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</si>
  <si>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</si>
  <si>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</si>
  <si>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</si>
  <si>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</si>
  <si>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</si>
  <si>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</si>
  <si>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</si>
  <si>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</si>
  <si>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</si>
  <si>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</si>
  <si>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</si>
  <si>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</si>
  <si>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</si>
  <si>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</si>
  <si>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</si>
  <si>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</si>
  <si>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</si>
  <si>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</si>
  <si>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</si>
  <si>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</si>
  <si>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</si>
  <si>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</si>
  <si>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</si>
  <si>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</si>
  <si>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</si>
  <si>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</si>
  <si>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</si>
  <si>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</si>
  <si>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</si>
  <si>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</si>
  <si>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</si>
  <si>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</si>
  <si>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</si>
  <si>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</si>
  <si>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</si>
  <si>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</si>
  <si>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</si>
  <si>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</si>
  <si>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</si>
  <si>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</si>
  <si>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</si>
  <si>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</si>
  <si>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</si>
  <si>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</si>
  <si>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</si>
  <si>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</si>
  <si>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</si>
  <si>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</si>
  <si>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</si>
  <si>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</si>
  <si>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</si>
  <si>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</si>
  <si>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</si>
  <si>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</si>
  <si>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</si>
  <si>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</si>
  <si>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</si>
  <si>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</si>
  <si>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</si>
  <si>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</si>
  <si>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</si>
  <si>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</si>
  <si>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</si>
  <si>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</si>
  <si>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</si>
  <si>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</si>
  <si>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</si>
  <si>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</si>
  <si>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</si>
  <si>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</si>
  <si>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</si>
  <si>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</si>
  <si>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</si>
  <si>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</si>
  <si>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</si>
  <si>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</si>
  <si>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</si>
  <si>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</si>
  <si>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</si>
  <si>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</si>
  <si>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</si>
  <si>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</si>
  <si>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</si>
  <si>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</si>
  <si>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</si>
  <si>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</si>
  <si>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</si>
  <si>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</si>
  <si>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</si>
  <si>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</si>
  <si>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</si>
  <si>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</si>
  <si>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</si>
  <si>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</si>
  <si>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</si>
  <si>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</si>
  <si>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</si>
  <si>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</si>
  <si>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</si>
  <si>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</si>
  <si>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</si>
  <si>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</si>
  <si>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</si>
  <si>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</si>
  <si>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</si>
  <si>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</si>
  <si>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</si>
  <si>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</si>
  <si>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</si>
  <si>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</si>
  <si>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</si>
  <si>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</si>
  <si>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</si>
  <si>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</si>
  <si>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</si>
  <si>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</si>
  <si>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</si>
  <si>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</si>
  <si>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</si>
  <si>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</si>
  <si>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</si>
  <si>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</si>
  <si>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</si>
  <si>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</si>
  <si>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</si>
  <si>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</si>
  <si>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</si>
  <si>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</si>
  <si>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</si>
  <si>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</si>
  <si>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</si>
  <si>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</si>
  <si>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</si>
  <si>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</si>
  <si>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</si>
  <si>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</si>
  <si>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</si>
  <si>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</si>
  <si>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</si>
  <si>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</si>
  <si>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</si>
  <si>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</si>
  <si>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</si>
  <si>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</si>
  <si>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</si>
  <si>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</si>
  <si>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</si>
  <si>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</si>
  <si>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</si>
  <si>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</si>
  <si>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</si>
  <si>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</si>
  <si>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</si>
  <si>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</si>
  <si>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</si>
  <si>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</si>
  <si>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</si>
  <si>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</si>
  <si>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</si>
  <si>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</si>
  <si>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</si>
  <si>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</si>
  <si>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</si>
  <si>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</si>
  <si>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</si>
  <si>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</si>
  <si>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</si>
  <si>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</si>
  <si>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</si>
  <si>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</si>
  <si>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</si>
  <si>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</si>
  <si>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</si>
  <si>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</si>
  <si>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</si>
  <si>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</si>
  <si>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</si>
  <si>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</si>
  <si>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</si>
  <si>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</si>
  <si>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</si>
  <si>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</si>
  <si>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</si>
  <si>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</si>
  <si>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</si>
  <si>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</si>
  <si>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</si>
  <si>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</si>
  <si>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</si>
  <si>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</si>
  <si>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</si>
  <si>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</si>
  <si>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</si>
  <si>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</si>
  <si>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</si>
  <si>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</si>
  <si>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</si>
  <si>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</si>
  <si>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</si>
  <si>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</si>
  <si>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</si>
  <si>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</si>
  <si>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</si>
  <si>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</si>
  <si>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</si>
  <si>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</si>
  <si>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</si>
  <si>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</si>
  <si>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</si>
  <si>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</si>
  <si>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</si>
  <si>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</si>
  <si>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</si>
  <si>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</si>
  <si>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</si>
  <si>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</si>
  <si>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</si>
  <si>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</si>
  <si>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</si>
  <si>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</si>
  <si>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</si>
  <si>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</si>
  <si>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</si>
  <si>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</si>
  <si>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</si>
  <si>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</si>
  <si>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</si>
  <si>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</si>
  <si>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</si>
  <si>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</si>
  <si>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</si>
  <si>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</si>
  <si>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</si>
  <si>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</si>
  <si>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</si>
  <si>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</si>
  <si>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</si>
  <si>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</si>
  <si>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</si>
  <si>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</si>
  <si>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</si>
  <si>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</si>
  <si>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</si>
  <si>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</si>
  <si>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</si>
  <si>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</si>
  <si>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</si>
  <si>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</si>
  <si>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</si>
  <si>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</si>
  <si>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</si>
  <si>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</si>
  <si>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</si>
  <si>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</si>
  <si>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</si>
  <si>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</si>
  <si>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</si>
  <si>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</si>
  <si>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</si>
  <si>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</si>
  <si>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</si>
  <si>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</si>
  <si>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</si>
  <si>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</si>
  <si>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</si>
  <si>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</si>
  <si>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</si>
  <si>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</si>
  <si>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</si>
  <si>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</si>
  <si>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</si>
  <si>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</si>
  <si>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</si>
  <si>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</si>
  <si>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</si>
  <si>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</si>
  <si>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</si>
  <si>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</si>
  <si>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</si>
  <si>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</si>
  <si>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</si>
  <si>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</si>
  <si>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</si>
  <si>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</si>
  <si>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</si>
  <si>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</si>
  <si>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</si>
  <si>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</si>
  <si>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</si>
  <si>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</si>
  <si>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</si>
  <si>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</si>
  <si>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</si>
  <si>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</si>
  <si>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</si>
  <si>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</si>
  <si>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</si>
  <si>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</si>
  <si>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</si>
  <si>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</si>
  <si>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</si>
  <si>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</si>
  <si>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</si>
  <si>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</si>
  <si>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</si>
  <si>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</si>
  <si>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</si>
  <si>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</si>
  <si>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</si>
  <si>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</si>
  <si>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</si>
  <si>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</si>
  <si>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</si>
  <si>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</si>
  <si>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</si>
  <si>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</si>
  <si>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</si>
  <si>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</si>
  <si>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</si>
  <si>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</si>
  <si>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</si>
  <si>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</si>
  <si>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</si>
  <si>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</si>
  <si>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</si>
  <si>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</si>
  <si>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</si>
  <si>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</si>
  <si>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</si>
  <si>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</si>
  <si>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</si>
  <si>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</si>
  <si>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</si>
  <si>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</si>
  <si>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</si>
  <si>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</si>
  <si>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</si>
  <si>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</si>
  <si>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</si>
  <si>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</si>
  <si>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</si>
  <si>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</si>
  <si>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</si>
  <si>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</si>
  <si>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</si>
  <si>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</si>
  <si>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</si>
  <si>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</si>
  <si>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</si>
  <si>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</si>
  <si>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</si>
  <si>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</si>
  <si>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</si>
  <si>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</si>
  <si>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</si>
  <si>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</si>
  <si>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</si>
  <si>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</si>
  <si>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</si>
  <si>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</si>
  <si>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</si>
  <si>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</si>
  <si>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</si>
  <si>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</si>
  <si>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</si>
  <si>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</si>
  <si>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</si>
  <si>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</si>
  <si>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</si>
  <si>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</si>
  <si>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</si>
  <si>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</si>
  <si>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</si>
  <si>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</si>
  <si>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</si>
  <si>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</si>
  <si>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</si>
  <si>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</si>
  <si>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</si>
  <si>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</si>
  <si>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</si>
  <si>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</si>
  <si>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</si>
  <si>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</si>
  <si>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</si>
  <si>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</si>
  <si>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</si>
  <si>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</si>
  <si>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</si>
  <si>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</si>
  <si>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</si>
  <si>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</si>
  <si>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</si>
  <si>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</si>
  <si>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</si>
  <si>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</si>
  <si>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</si>
  <si>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</si>
  <si>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</si>
  <si>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</si>
  <si>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</si>
  <si>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</si>
  <si>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</si>
  <si>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</si>
  <si>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</si>
  <si>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</si>
  <si>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</si>
  <si>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</si>
  <si>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</si>
  <si>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</si>
  <si>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</si>
  <si>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</si>
  <si>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</si>
  <si>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</si>
  <si>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</si>
  <si>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</si>
  <si>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</si>
  <si>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</si>
  <si>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</si>
  <si>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</si>
  <si>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</si>
  <si>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</si>
  <si>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</si>
  <si>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</si>
  <si>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</si>
  <si>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</si>
  <si>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</si>
  <si>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</si>
  <si>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</si>
  <si>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</si>
  <si>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</si>
  <si>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</si>
  <si>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</si>
  <si>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</si>
  <si>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</si>
  <si>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</si>
  <si>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</si>
  <si>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</si>
  <si>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</si>
  <si>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</si>
  <si>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</si>
  <si>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</si>
  <si>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</si>
  <si>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</si>
  <si>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</si>
  <si>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</si>
  <si>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</si>
  <si>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</si>
  <si>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</si>
  <si>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</si>
  <si>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</si>
  <si>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</si>
  <si>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</si>
  <si>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</si>
  <si>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</si>
  <si>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</si>
  <si>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</si>
  <si>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</si>
  <si>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</si>
  <si>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</si>
  <si>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</si>
  <si>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</si>
  <si>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</si>
  <si>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</si>
  <si>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</si>
  <si>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</si>
  <si>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</si>
  <si>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</si>
  <si>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</si>
  <si>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</si>
  <si>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</si>
  <si>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</si>
  <si>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</si>
  <si>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</si>
  <si>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</si>
  <si>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</si>
  <si>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</si>
  <si>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</si>
  <si>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</si>
  <si>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</si>
  <si>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</si>
  <si>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</si>
  <si>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</si>
  <si>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</si>
  <si>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</si>
  <si>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</si>
  <si>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</si>
  <si>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</si>
  <si>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</si>
  <si>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</si>
  <si>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</si>
  <si>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</si>
  <si>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</si>
  <si>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</si>
  <si>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</si>
  <si>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</si>
  <si>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</si>
  <si>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</si>
  <si>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</si>
  <si>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</si>
  <si>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</si>
  <si>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</si>
  <si>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</si>
  <si>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</si>
  <si>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</si>
  <si>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</si>
  <si>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</si>
  <si>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</si>
  <si>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</si>
  <si>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</si>
  <si>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</si>
  <si>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</si>
  <si>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</si>
  <si>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</si>
  <si>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</si>
  <si>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</si>
  <si>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</si>
  <si>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</si>
  <si>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</si>
  <si>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</si>
  <si>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</si>
  <si>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</si>
  <si>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</si>
  <si>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</si>
  <si>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</si>
  <si>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</si>
  <si>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</si>
  <si>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</si>
  <si>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</si>
  <si>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</si>
  <si>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</si>
  <si>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</si>
  <si>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</si>
  <si>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</si>
  <si>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</si>
  <si>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</si>
  <si>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</si>
  <si>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</si>
  <si>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</si>
  <si>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</si>
  <si>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</si>
  <si>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</si>
  <si>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</si>
  <si>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</si>
  <si>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</si>
  <si>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</si>
  <si>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</si>
  <si>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</si>
  <si>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</si>
  <si>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</si>
  <si>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</si>
  <si>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</si>
  <si>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</si>
  <si>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</si>
  <si>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</si>
  <si>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</si>
  <si>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</si>
  <si>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</si>
  <si>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</si>
  <si>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</si>
  <si>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</si>
  <si>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</si>
  <si>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</si>
  <si>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</si>
  <si>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</si>
  <si>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</si>
  <si>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</si>
  <si>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</si>
  <si>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</si>
  <si>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</si>
  <si>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</si>
  <si>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</si>
  <si>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</si>
  <si>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</si>
  <si>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</si>
  <si>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</si>
  <si>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</si>
  <si>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</si>
  <si>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</si>
  <si>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</si>
  <si>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</si>
  <si>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</si>
  <si>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</si>
  <si>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</si>
  <si>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</si>
  <si>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</si>
  <si>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</si>
  <si>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</si>
  <si>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</si>
  <si>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</si>
  <si>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</si>
  <si>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</si>
  <si>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</si>
  <si>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</si>
  <si>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</si>
  <si>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</si>
  <si>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</si>
  <si>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</si>
  <si>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</si>
  <si>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</si>
  <si>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</si>
  <si>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</si>
  <si>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</si>
  <si>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</si>
  <si>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</si>
  <si>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</si>
  <si>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</si>
  <si>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</si>
  <si>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</si>
  <si>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</si>
  <si>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</si>
  <si>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</si>
  <si>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</si>
  <si>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</si>
  <si>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</si>
  <si>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</si>
  <si>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</si>
  <si>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</si>
  <si>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</si>
  <si>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</si>
  <si>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</si>
  <si>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</si>
  <si>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</si>
  <si>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</si>
  <si>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</si>
  <si>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</si>
  <si>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</si>
  <si>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</si>
  <si>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</si>
  <si>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</si>
  <si>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</si>
  <si>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</si>
  <si>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</si>
  <si>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</si>
  <si>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</si>
  <si>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</si>
  <si>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</si>
  <si>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</si>
  <si>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</si>
  <si>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</si>
  <si>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</si>
  <si>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</si>
  <si>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</si>
  <si>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</si>
  <si>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</si>
  <si>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</si>
  <si>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</si>
  <si>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</si>
  <si>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</si>
  <si>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</si>
  <si>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</si>
  <si>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</si>
  <si>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</si>
  <si>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</si>
  <si>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</si>
  <si>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</si>
  <si>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</si>
  <si>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</si>
  <si>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</si>
  <si>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</si>
  <si>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</si>
  <si>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</si>
  <si>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</si>
  <si>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</si>
  <si>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</si>
  <si>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</si>
  <si>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</si>
  <si>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</si>
  <si>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</si>
  <si>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</si>
  <si>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</si>
  <si>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</si>
  <si>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</si>
  <si>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</si>
  <si>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</si>
  <si>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</si>
  <si>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</si>
  <si>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</si>
  <si>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</si>
  <si>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</si>
  <si>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</si>
  <si>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</si>
  <si>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</si>
  <si>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</si>
  <si>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</si>
  <si>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</si>
  <si>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</si>
  <si>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</si>
  <si>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</si>
  <si>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</si>
  <si>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</si>
  <si>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</si>
  <si>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</si>
  <si>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</si>
  <si>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</si>
  <si>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</si>
  <si>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</si>
  <si>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</si>
  <si>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</si>
  <si>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</si>
  <si>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</si>
  <si>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</si>
  <si>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</si>
  <si>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</si>
  <si>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</si>
  <si>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</si>
  <si>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</si>
  <si>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</si>
  <si>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</si>
  <si>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</si>
  <si>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</si>
  <si>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</si>
  <si>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</si>
  <si>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</si>
  <si>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</si>
  <si>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</si>
  <si>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</si>
  <si>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</si>
  <si>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</si>
  <si>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</si>
  <si>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</si>
  <si>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</si>
  <si>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</si>
  <si>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</si>
  <si>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</si>
  <si>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</si>
  <si>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</si>
  <si>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</si>
  <si>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</si>
  <si>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</si>
  <si>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</si>
  <si>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</si>
  <si>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</si>
  <si>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</si>
  <si>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</si>
  <si>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</si>
  <si>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</si>
  <si>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</si>
  <si>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</si>
  <si>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</si>
  <si>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</si>
  <si>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</si>
  <si>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</si>
  <si>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</si>
  <si>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</si>
  <si>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</si>
  <si>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</si>
  <si>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</si>
  <si>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</si>
  <si>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</si>
  <si>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</si>
  <si>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</si>
  <si>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</si>
  <si>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</si>
  <si>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</si>
  <si>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</si>
  <si>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</si>
  <si>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</si>
  <si>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</si>
  <si>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</si>
  <si>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</si>
  <si>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</si>
  <si>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</si>
  <si>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</si>
  <si>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</si>
  <si>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</si>
  <si>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</si>
  <si>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</si>
  <si>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</si>
  <si>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</si>
  <si>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</si>
  <si>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</si>
  <si>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</si>
  <si>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</si>
  <si>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</si>
  <si>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</si>
  <si>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</si>
  <si>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</si>
  <si>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</si>
  <si>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</si>
  <si>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</si>
  <si>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</si>
  <si>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</si>
  <si>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</si>
  <si>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</si>
  <si>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</si>
  <si>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</si>
  <si>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</si>
  <si>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</si>
  <si>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</si>
  <si>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</si>
  <si>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</si>
  <si>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</si>
  <si>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</si>
  <si>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</si>
  <si>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</si>
  <si>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</si>
  <si>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</si>
  <si>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</si>
  <si>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</si>
  <si>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</si>
  <si>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</si>
  <si>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</si>
  <si>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</si>
  <si>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</si>
  <si>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</si>
  <si>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</si>
  <si>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</si>
  <si>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</si>
  <si>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</si>
  <si>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</si>
  <si>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</si>
  <si>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</si>
  <si>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</si>
  <si>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</si>
  <si>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</si>
  <si>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</si>
  <si>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</si>
  <si>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</si>
  <si>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</si>
  <si>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</si>
  <si>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</si>
  <si>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</si>
  <si>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</si>
  <si>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</si>
  <si>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</si>
  <si>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</si>
  <si>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</si>
  <si>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</si>
  <si>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</si>
  <si>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</si>
  <si>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</si>
  <si>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</si>
  <si>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</si>
  <si>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</si>
  <si>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</si>
  <si>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</si>
  <si>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</si>
  <si>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</si>
  <si>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</si>
  <si>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</si>
  <si>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</si>
  <si>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</si>
  <si>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</si>
  <si>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</si>
  <si>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</si>
  <si>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</si>
  <si>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</si>
  <si>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</si>
  <si>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</si>
  <si>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</si>
  <si>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</si>
  <si>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</si>
  <si>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</si>
  <si>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</si>
  <si>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</si>
  <si>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</si>
  <si>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</si>
  <si>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</si>
  <si>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</si>
  <si>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</si>
  <si>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</si>
  <si>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</si>
  <si>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</si>
  <si>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</si>
  <si>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</si>
  <si>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</si>
  <si>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</si>
  <si>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</si>
  <si>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</si>
  <si>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</si>
  <si>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</si>
  <si>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</si>
  <si>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</si>
  <si>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</si>
  <si>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</si>
  <si>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</si>
  <si>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</si>
  <si>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</si>
  <si>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</si>
  <si>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</si>
  <si>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</si>
  <si>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</si>
  <si>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</si>
  <si>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</si>
  <si>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</si>
  <si>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</si>
  <si>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</si>
  <si>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</si>
  <si>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</si>
  <si>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</si>
  <si>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</si>
  <si>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</si>
  <si>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</si>
  <si>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</si>
  <si>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</si>
  <si>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</si>
  <si>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</si>
  <si>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</si>
  <si>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</si>
  <si>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</si>
  <si>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</si>
  <si>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</si>
  <si>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</si>
  <si>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</si>
  <si>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</si>
  <si>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</si>
  <si>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</si>
  <si>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</si>
  <si>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</si>
  <si>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</si>
  <si>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</si>
  <si>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</si>
  <si>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</si>
  <si>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</si>
  <si>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</si>
  <si>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</si>
  <si>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</si>
  <si>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</si>
  <si>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</si>
  <si>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</si>
  <si>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</si>
  <si>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</si>
  <si>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</si>
  <si>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</si>
  <si>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</si>
  <si>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</si>
  <si>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</si>
  <si>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</si>
  <si>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</si>
  <si>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</si>
  <si>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</si>
  <si>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</si>
  <si>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</si>
  <si>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</si>
  <si>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</si>
  <si>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</si>
  <si>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</si>
  <si>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</si>
  <si>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</si>
  <si>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</si>
  <si>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</si>
  <si>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</si>
  <si>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</si>
  <si>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</si>
  <si>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</si>
  <si>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</si>
  <si>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</si>
  <si>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</si>
  <si>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</si>
  <si>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</si>
  <si>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</si>
  <si>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</si>
  <si>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</si>
  <si>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</si>
  <si>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</si>
  <si>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</si>
  <si>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</si>
  <si>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</si>
  <si>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</si>
  <si>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</si>
  <si>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</si>
  <si>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</si>
  <si>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</si>
  <si>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</si>
  <si>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</si>
  <si>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</si>
  <si>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</si>
  <si>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</si>
  <si>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</si>
  <si>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</si>
  <si>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</si>
  <si>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</si>
  <si>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</si>
  <si>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</si>
  <si>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</si>
  <si>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</si>
  <si>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</si>
  <si>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</si>
  <si>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</si>
  <si>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</si>
  <si>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</si>
  <si>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</si>
  <si>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</si>
  <si>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</si>
  <si>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</si>
  <si>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</si>
  <si>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</si>
  <si>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</si>
  <si>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</si>
  <si>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</si>
  <si>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</si>
  <si>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</si>
  <si>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</si>
  <si>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</si>
  <si>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</si>
  <si>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</si>
  <si>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</si>
  <si>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</si>
  <si>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</si>
  <si>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</si>
  <si>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</si>
  <si>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</si>
  <si>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</si>
  <si>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</si>
  <si>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</si>
  <si>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</si>
  <si>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</si>
  <si>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</si>
  <si>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</si>
  <si>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</si>
  <si>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</si>
  <si>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</si>
  <si>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</si>
  <si>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</si>
  <si>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</si>
  <si>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</si>
  <si>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</si>
  <si>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</si>
  <si>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</si>
  <si>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</si>
  <si>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</si>
  <si>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</si>
  <si>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</si>
  <si>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</si>
  <si>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</si>
  <si>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</si>
  <si>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</si>
  <si>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</si>
  <si>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</si>
  <si>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</si>
  <si>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</si>
  <si>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</si>
  <si>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</si>
  <si>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</si>
  <si>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</si>
  <si>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</si>
  <si>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</si>
  <si>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</si>
  <si>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</si>
  <si>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</si>
  <si>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</si>
  <si>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</si>
  <si>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</si>
  <si>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</si>
  <si>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</si>
  <si>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</si>
  <si>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</si>
  <si>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</si>
  <si>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</si>
  <si>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</si>
  <si>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</si>
  <si>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</si>
  <si>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</si>
  <si>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</si>
  <si>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</si>
  <si>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</si>
  <si>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</si>
  <si>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</si>
  <si>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</si>
  <si>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</si>
  <si>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</si>
  <si>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</si>
  <si>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</si>
  <si>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</si>
  <si>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</si>
  <si>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</si>
  <si>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</si>
  <si>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</si>
  <si>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</si>
  <si>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</si>
  <si>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</si>
  <si>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</si>
  <si>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</si>
  <si>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</si>
  <si>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</si>
  <si>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</si>
  <si>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</si>
  <si>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</si>
  <si>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</si>
  <si>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</si>
  <si>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</si>
  <si>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</si>
  <si>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</si>
  <si>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</si>
  <si>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</si>
  <si>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</si>
  <si>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</si>
  <si>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</si>
  <si>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</si>
  <si>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</si>
  <si>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</si>
  <si>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</si>
  <si>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</si>
  <si>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</si>
  <si>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</si>
  <si>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</si>
  <si>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</si>
  <si>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</si>
  <si>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</si>
  <si>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</si>
  <si>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</si>
  <si>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</si>
  <si>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</si>
  <si>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</si>
  <si>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</si>
  <si>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</si>
  <si>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</si>
  <si>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</si>
  <si>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</si>
  <si>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</si>
  <si>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</si>
  <si>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</si>
  <si>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</si>
  <si>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</si>
  <si>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</si>
  <si>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</si>
  <si>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</si>
  <si>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</si>
  <si>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</si>
  <si>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</si>
  <si>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</si>
  <si>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</si>
  <si>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</si>
  <si>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</si>
  <si>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</si>
  <si>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</si>
  <si>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</si>
  <si>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</si>
  <si>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</si>
  <si>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</si>
  <si>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</si>
  <si>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</si>
  <si>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</si>
  <si>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</si>
  <si>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</si>
  <si>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</si>
  <si>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</si>
  <si>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</si>
  <si>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</si>
  <si>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</si>
  <si>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</si>
  <si>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</si>
  <si>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</si>
  <si>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</si>
  <si>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</si>
  <si>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</si>
  <si>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</si>
  <si>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</si>
  <si>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</si>
  <si>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</si>
  <si>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</si>
  <si>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</si>
  <si>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</si>
  <si>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</si>
  <si>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</si>
  <si>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</si>
  <si>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</si>
  <si>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</si>
  <si>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</si>
  <si>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</si>
  <si>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</si>
  <si>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</si>
  <si>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</si>
  <si>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</si>
  <si>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</si>
  <si>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</si>
  <si>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</si>
  <si>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</si>
  <si>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</si>
  <si>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</si>
  <si>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</si>
  <si>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</si>
  <si>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</si>
  <si>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</si>
  <si>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</si>
  <si>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</si>
  <si>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</si>
  <si>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</si>
  <si>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</si>
  <si>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</si>
  <si>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</si>
  <si>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</si>
  <si>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</si>
  <si>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</si>
  <si>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</si>
  <si>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</si>
  <si>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</si>
  <si>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</si>
  <si>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</si>
  <si>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</si>
  <si>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</si>
  <si>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</si>
  <si>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</si>
  <si>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</si>
  <si>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</si>
  <si>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</si>
  <si>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</si>
  <si>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</si>
  <si>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</si>
  <si>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</si>
  <si>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</si>
  <si>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</si>
  <si>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</si>
  <si>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</si>
  <si>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</si>
  <si>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</si>
  <si>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</si>
  <si>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</si>
  <si>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</si>
  <si>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</si>
  <si>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</si>
  <si>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</si>
  <si>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</si>
  <si>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</si>
  <si>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</si>
  <si>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</si>
  <si>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</si>
  <si>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</si>
  <si>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</si>
  <si>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</si>
  <si>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</si>
  <si>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</si>
  <si>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</si>
  <si>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</si>
  <si>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</si>
  <si>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</si>
  <si>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</si>
  <si>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</si>
  <si>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</si>
  <si>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</si>
  <si>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</si>
  <si>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</si>
  <si>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</si>
  <si>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</si>
  <si>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</si>
  <si>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</si>
  <si>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</si>
  <si>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</si>
  <si>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</si>
  <si>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</si>
  <si>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</si>
  <si>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</si>
  <si>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</si>
  <si>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</si>
  <si>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</si>
  <si>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</si>
  <si>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</si>
  <si>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</si>
  <si>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</si>
  <si>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</si>
  <si>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</si>
  <si>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</si>
  <si>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</si>
  <si>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</si>
  <si>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</si>
  <si>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</si>
  <si>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</si>
  <si>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</si>
  <si>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</si>
  <si>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</si>
  <si>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</si>
  <si>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</si>
  <si>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</si>
  <si>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</si>
  <si>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</si>
  <si>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</si>
  <si>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</si>
  <si>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</si>
  <si>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</si>
  <si>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</si>
  <si>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</si>
  <si>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</si>
  <si>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</si>
  <si>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</si>
  <si>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</si>
  <si>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</si>
  <si>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</si>
  <si>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</si>
  <si>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</si>
  <si>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</si>
  <si>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</si>
  <si>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</si>
  <si>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</si>
  <si>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</si>
  <si>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</si>
  <si>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</si>
  <si>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</si>
  <si>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</si>
  <si>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</si>
  <si>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</si>
  <si>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</si>
  <si>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</si>
  <si>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</si>
  <si>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</si>
  <si>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</si>
  <si>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</si>
  <si>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</si>
  <si>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</si>
  <si>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</si>
  <si>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</si>
  <si>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</si>
  <si>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</si>
  <si>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</si>
  <si>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</si>
  <si>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</si>
  <si>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</si>
  <si>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</si>
  <si>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</si>
  <si>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</si>
  <si>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</si>
  <si>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</si>
  <si>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</si>
  <si>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</si>
  <si>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</si>
  <si>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</si>
  <si>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</si>
  <si>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</si>
  <si>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</si>
  <si>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</si>
  <si>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</si>
  <si>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</si>
  <si>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</si>
  <si>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</si>
  <si>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</si>
  <si>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</si>
  <si>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</si>
  <si>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</si>
  <si>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</si>
  <si>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</si>
  <si>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</si>
  <si>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</si>
  <si>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</si>
  <si>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</si>
  <si>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</si>
  <si>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</si>
  <si>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</si>
  <si>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</si>
  <si>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</si>
  <si>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</si>
  <si>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</si>
  <si>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</si>
  <si>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</si>
  <si>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</si>
  <si>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</si>
  <si>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</si>
  <si>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</si>
  <si>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</si>
  <si>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</si>
  <si>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</si>
  <si>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</si>
  <si>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</si>
  <si>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</si>
  <si>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</si>
  <si>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</si>
  <si>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</si>
  <si>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</si>
  <si>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</si>
  <si>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</si>
  <si>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</si>
  <si>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</si>
  <si>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</si>
  <si>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</si>
  <si>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</si>
  <si>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</si>
  <si>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</si>
  <si>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</si>
  <si>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</si>
  <si>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</si>
  <si>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</si>
  <si>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</si>
  <si>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</si>
  <si>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</si>
  <si>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</si>
  <si>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</si>
  <si>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</si>
  <si>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</si>
  <si>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</si>
  <si>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</si>
  <si>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</si>
  <si>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</si>
  <si>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</si>
  <si>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</si>
  <si>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</si>
  <si>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</si>
  <si>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</si>
  <si>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</si>
  <si>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</si>
  <si>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</si>
  <si>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</si>
  <si>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</si>
  <si>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</si>
  <si>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</si>
  <si>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</si>
  <si>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</si>
  <si>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</si>
  <si>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</si>
  <si>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</si>
  <si>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</si>
  <si>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</si>
  <si>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</si>
  <si>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</si>
  <si>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</si>
  <si>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</si>
  <si>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</si>
  <si>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</si>
  <si>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</si>
  <si>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</si>
  <si>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</si>
  <si>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</si>
  <si>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</si>
  <si>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</si>
  <si>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</si>
  <si>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</si>
  <si>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</si>
  <si>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</si>
  <si>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</si>
  <si>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</si>
  <si>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</si>
  <si>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</si>
  <si>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</si>
  <si>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</si>
  <si>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</si>
  <si>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</si>
  <si>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</si>
  <si>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</si>
  <si>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</si>
  <si>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</si>
  <si>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</si>
  <si>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</si>
  <si>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</si>
  <si>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</si>
  <si>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</si>
  <si>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</si>
  <si>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</si>
  <si>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</si>
  <si>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</si>
  <si>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</si>
  <si>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</si>
  <si>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</si>
  <si>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</si>
  <si>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</si>
  <si>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</si>
  <si>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</si>
  <si>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</si>
  <si>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</si>
  <si>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</si>
  <si>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</si>
  <si>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</si>
  <si>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</si>
  <si>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</si>
  <si>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</si>
  <si>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</si>
  <si>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</si>
  <si>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</si>
  <si>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</si>
  <si>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</si>
  <si>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</si>
  <si>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</si>
  <si>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</si>
  <si>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</si>
  <si>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</si>
  <si>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</si>
  <si>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</si>
  <si>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</si>
  <si>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</si>
  <si>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</si>
  <si>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</si>
  <si>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</si>
  <si>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</si>
  <si>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</si>
  <si>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</si>
  <si>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</si>
  <si>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</si>
  <si>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</si>
  <si>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</si>
  <si>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</si>
  <si>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</si>
  <si>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</si>
  <si>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</si>
  <si>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</si>
  <si>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</si>
  <si>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</si>
  <si>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</si>
  <si>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</si>
  <si>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</si>
  <si>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</si>
  <si>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</si>
  <si>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</si>
  <si>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</si>
  <si>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</si>
  <si>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</si>
  <si>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</si>
  <si>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</si>
  <si>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</si>
  <si>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</si>
  <si>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</si>
  <si>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</si>
  <si>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</si>
  <si>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</si>
  <si>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</si>
  <si>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</si>
  <si>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</si>
  <si>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</si>
  <si>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</si>
  <si>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</si>
  <si>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</si>
  <si>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</si>
  <si>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</si>
  <si>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</si>
  <si>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</si>
  <si>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</si>
  <si>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</si>
  <si>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</si>
  <si>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</si>
  <si>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</si>
  <si>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</si>
  <si>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</si>
  <si>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</si>
  <si>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</si>
  <si>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</si>
  <si>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</si>
  <si>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</si>
  <si>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</si>
  <si>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</si>
  <si>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</si>
  <si>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</si>
  <si>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</si>
  <si>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</si>
  <si>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</si>
  <si>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</si>
  <si>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</si>
  <si>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</si>
  <si>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</si>
  <si>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</si>
  <si>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</si>
  <si>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</si>
  <si>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</si>
  <si>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</si>
  <si>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</si>
  <si>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</si>
  <si>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</si>
  <si>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</si>
  <si>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</si>
  <si>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</si>
  <si>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</si>
  <si>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</si>
  <si>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</si>
  <si>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</si>
  <si>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</si>
  <si>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</si>
  <si>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</si>
  <si>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</si>
  <si>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</si>
  <si>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</si>
  <si>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</si>
  <si>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</si>
  <si>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</si>
  <si>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</si>
  <si>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</si>
  <si>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</si>
  <si>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</si>
  <si>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</si>
  <si>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</si>
  <si>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</si>
  <si>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</si>
  <si>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</si>
  <si>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</si>
  <si>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</si>
  <si>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</si>
  <si>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</si>
  <si>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</si>
  <si>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</si>
  <si>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</si>
  <si>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</si>
  <si>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</si>
  <si>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</si>
  <si>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</si>
  <si>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</si>
  <si>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</si>
  <si>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</si>
  <si>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</si>
  <si>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</si>
  <si>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</si>
  <si>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</si>
  <si>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</si>
  <si>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</si>
  <si>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</si>
  <si>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</si>
  <si>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</si>
  <si>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</si>
  <si>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</si>
  <si>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</si>
  <si>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</si>
  <si>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</si>
  <si>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</si>
  <si>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</si>
  <si>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</si>
  <si>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</si>
  <si>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</si>
  <si>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</si>
  <si>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</si>
  <si>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</si>
  <si>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</si>
  <si>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</si>
  <si>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</si>
  <si>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</si>
  <si>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</si>
  <si>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</si>
  <si>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</si>
  <si>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</si>
  <si>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</si>
  <si>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</si>
  <si>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</si>
  <si>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</si>
  <si>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</si>
  <si>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</si>
  <si>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</si>
  <si>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</si>
  <si>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</si>
  <si>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</si>
  <si>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</si>
  <si>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</si>
  <si>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</si>
  <si>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</si>
  <si>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</si>
  <si>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</si>
  <si>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</si>
  <si>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</si>
  <si>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</si>
  <si>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</si>
  <si>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</si>
  <si>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</si>
  <si>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</si>
  <si>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</si>
  <si>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</si>
  <si>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</si>
  <si>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</si>
  <si>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</si>
  <si>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</si>
  <si>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</si>
  <si>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</si>
  <si>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</si>
  <si>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</si>
  <si>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</si>
  <si>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</si>
  <si>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</si>
  <si>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</si>
  <si>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</si>
  <si>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</si>
  <si>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</si>
  <si>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</si>
  <si>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</si>
  <si>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</si>
  <si>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</si>
  <si>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</si>
  <si>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</si>
  <si>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</si>
  <si>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</si>
  <si>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</si>
  <si>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</si>
  <si>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</si>
  <si>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</si>
  <si>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</si>
  <si>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</si>
  <si>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</si>
  <si>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</si>
  <si>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</si>
  <si>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</si>
  <si>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</si>
  <si>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</si>
  <si>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</si>
  <si>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</si>
  <si>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</si>
  <si>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</si>
  <si>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</si>
  <si>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</si>
  <si>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</si>
  <si>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</si>
  <si>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</si>
  <si>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</si>
  <si>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</si>
  <si>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</si>
  <si>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</si>
  <si>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</si>
  <si>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</si>
  <si>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</si>
  <si>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</si>
  <si>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</si>
  <si>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</si>
  <si>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</si>
  <si>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</si>
  <si>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</si>
  <si>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</si>
  <si>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</si>
  <si>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</si>
  <si>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</si>
  <si>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</si>
  <si>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</si>
  <si>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</si>
  <si>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</si>
  <si>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</si>
  <si>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</si>
  <si>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</si>
  <si>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</si>
  <si>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</si>
  <si>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</si>
  <si>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</si>
  <si>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</si>
  <si>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</si>
  <si>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</si>
  <si>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</si>
  <si>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</si>
  <si>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</si>
  <si>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</si>
  <si>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</si>
  <si>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</si>
  <si>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</si>
  <si>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</si>
  <si>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</si>
  <si>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</si>
  <si>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</si>
  <si>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</si>
  <si>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</si>
  <si>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</si>
  <si>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</si>
  <si>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</si>
  <si>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</si>
  <si>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</si>
  <si>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</si>
  <si>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</si>
  <si>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</si>
  <si>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</si>
  <si>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</si>
  <si>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</si>
  <si>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</si>
  <si>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</si>
  <si>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</si>
  <si>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</si>
  <si>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</si>
  <si>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</si>
  <si>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</si>
  <si>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</si>
  <si>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</si>
  <si>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</si>
  <si>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</si>
  <si>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</si>
  <si>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</si>
  <si>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</si>
  <si>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</si>
  <si>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</si>
  <si>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</si>
  <si>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</si>
  <si>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</si>
  <si>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</si>
  <si>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</si>
  <si>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</si>
  <si>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</si>
  <si>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</si>
  <si>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</si>
  <si>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</si>
  <si>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</si>
  <si>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</si>
  <si>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</si>
  <si>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</si>
  <si>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</si>
  <si>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</si>
  <si>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</si>
  <si>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</si>
  <si>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</si>
  <si>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</si>
  <si>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</si>
  <si>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</si>
  <si>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</si>
  <si>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</si>
  <si>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</si>
  <si>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</si>
  <si>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</si>
  <si>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</si>
  <si>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</si>
  <si>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</si>
  <si>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</si>
  <si>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</si>
  <si>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</si>
  <si>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</si>
  <si>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</si>
  <si>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</si>
  <si>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</si>
  <si>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</si>
  <si>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</si>
  <si>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</si>
  <si>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</si>
  <si>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</si>
  <si>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</si>
  <si>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</si>
  <si>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</si>
  <si>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</si>
  <si>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</si>
  <si>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</si>
  <si>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</si>
  <si>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</si>
  <si>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</si>
  <si>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</si>
  <si>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</si>
  <si>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</si>
  <si>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</si>
  <si>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</si>
  <si>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</si>
  <si>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</si>
  <si>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</si>
  <si>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</si>
  <si>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</si>
  <si>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</si>
  <si>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</si>
  <si>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</si>
  <si>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</si>
  <si>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</si>
  <si>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</si>
  <si>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</si>
  <si>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</si>
  <si>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</si>
  <si>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</si>
  <si>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</si>
  <si>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</si>
  <si>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</si>
  <si>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</si>
  <si>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</si>
  <si>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</si>
  <si>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</si>
  <si>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</si>
  <si>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</si>
  <si>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</si>
  <si>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</si>
  <si>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</si>
  <si>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</si>
  <si>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</si>
  <si>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</si>
  <si>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</si>
  <si>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</si>
  <si>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</si>
  <si>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</si>
  <si>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</si>
  <si>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</si>
  <si>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</si>
  <si>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</si>
  <si>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</si>
  <si>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</si>
  <si>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</si>
  <si>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</si>
  <si>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</si>
  <si>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</si>
  <si>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</si>
  <si>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</si>
  <si>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</si>
  <si>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</si>
  <si>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</si>
  <si>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</si>
  <si>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</si>
  <si>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</si>
  <si>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</si>
  <si>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</si>
  <si>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</si>
  <si>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</si>
  <si>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</si>
  <si>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</si>
  <si>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</si>
  <si>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</si>
  <si>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</si>
  <si>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</si>
  <si>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</si>
  <si>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</si>
  <si>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</si>
  <si>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</si>
  <si>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</si>
  <si>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</si>
  <si>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</si>
  <si>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</si>
  <si>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</si>
  <si>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</si>
  <si>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</si>
  <si>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</si>
  <si>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</si>
  <si>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</si>
  <si>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</si>
  <si>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</si>
  <si>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</si>
  <si>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</si>
  <si>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</si>
  <si>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</si>
  <si>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</si>
  <si>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</si>
  <si>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</si>
  <si>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</si>
  <si>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</si>
  <si>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</si>
  <si>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</si>
  <si>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</si>
  <si>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</si>
  <si>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</si>
  <si>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</si>
  <si>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</si>
  <si>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</si>
  <si>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</si>
  <si>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</si>
  <si>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</si>
  <si>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</si>
  <si>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</si>
  <si>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</si>
  <si>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</si>
  <si>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</si>
  <si>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</si>
  <si>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</si>
  <si>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</si>
  <si>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</si>
  <si>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</si>
  <si>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</si>
  <si>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</si>
  <si>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</si>
  <si>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</si>
  <si>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</si>
  <si>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</si>
  <si>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</si>
  <si>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</si>
  <si>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</si>
  <si>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</si>
  <si>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</si>
  <si>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</si>
  <si>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</si>
  <si>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</si>
  <si>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</si>
  <si>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</si>
  <si>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</si>
  <si>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</si>
  <si>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</si>
  <si>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</si>
  <si>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</si>
  <si>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</si>
  <si>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</si>
  <si>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</si>
  <si>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</si>
  <si>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</si>
  <si>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</si>
  <si>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</si>
  <si>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</si>
  <si>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</si>
  <si>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</si>
  <si>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</si>
  <si>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</si>
  <si>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</si>
  <si>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</si>
  <si>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</si>
  <si>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</si>
  <si>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</si>
  <si>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</si>
  <si>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</si>
  <si>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</si>
  <si>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</si>
  <si>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</si>
  <si>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</si>
  <si>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</si>
  <si>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</si>
  <si>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</si>
  <si>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</si>
  <si>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</si>
  <si>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</si>
  <si>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</si>
  <si>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</si>
  <si>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</si>
  <si>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</si>
  <si>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</si>
  <si>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</si>
  <si>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</si>
  <si>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</si>
  <si>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</si>
  <si>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</si>
  <si>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</si>
  <si>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</si>
  <si>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</si>
  <si>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</si>
  <si>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</si>
  <si>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</si>
  <si>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</si>
  <si>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</si>
  <si>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</si>
  <si>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</si>
  <si>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</si>
  <si>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</si>
  <si>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</si>
  <si>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</si>
  <si>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</si>
  <si>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</si>
  <si>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</si>
  <si>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</si>
  <si>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</si>
  <si>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</si>
  <si>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</si>
  <si>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</si>
  <si>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</si>
  <si>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</si>
  <si>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</si>
  <si>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</si>
  <si>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</si>
  <si>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</si>
  <si>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</si>
  <si>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</si>
  <si>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</si>
  <si>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</si>
  <si>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</si>
  <si>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</si>
  <si>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</si>
  <si>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</si>
  <si>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</si>
  <si>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</si>
  <si>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</si>
  <si>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</si>
  <si>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</si>
  <si>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</si>
  <si>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</si>
  <si>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</si>
  <si>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</si>
  <si>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</si>
  <si>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</si>
  <si>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</si>
  <si>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</si>
  <si>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</si>
  <si>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</si>
  <si>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</si>
  <si>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</si>
  <si>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</si>
  <si>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</si>
  <si>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</si>
  <si>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</si>
  <si>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</si>
  <si>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</si>
  <si>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</si>
  <si>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</si>
  <si>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</si>
  <si>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</si>
  <si>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</si>
  <si>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</si>
  <si>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</si>
  <si>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</si>
  <si>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</si>
  <si>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</si>
  <si>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</si>
  <si>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</si>
  <si>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</si>
  <si>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</si>
  <si>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</si>
  <si>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</si>
  <si>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</si>
  <si>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</si>
  <si>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</si>
  <si>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</si>
  <si>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</si>
  <si>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</si>
  <si>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</si>
  <si>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</si>
  <si>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</si>
  <si>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</si>
  <si>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</si>
  <si>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</si>
  <si>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</si>
  <si>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</si>
  <si>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</si>
  <si>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</si>
  <si>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</si>
  <si>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</si>
  <si>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</si>
  <si>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</si>
  <si>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</si>
  <si>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</si>
  <si>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</si>
  <si>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</si>
  <si>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</si>
  <si>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</si>
  <si>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</si>
  <si>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</si>
  <si>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</si>
  <si>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</si>
  <si>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</si>
  <si>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</si>
  <si>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</si>
  <si>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</si>
  <si>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</si>
  <si>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</si>
  <si>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</si>
  <si>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</si>
  <si>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</si>
  <si>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</si>
  <si>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</si>
  <si>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</si>
  <si>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</si>
  <si>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</si>
  <si>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</si>
  <si>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</si>
  <si>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</si>
  <si>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</si>
  <si>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</si>
  <si>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</si>
  <si>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</si>
  <si>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</si>
  <si>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</si>
  <si>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</si>
  <si>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</si>
  <si>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</si>
  <si>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</si>
  <si>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</si>
  <si>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</si>
  <si>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</si>
  <si>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</si>
  <si>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</si>
  <si>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</si>
  <si>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</si>
  <si>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</si>
  <si>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</si>
  <si>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</si>
  <si>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</si>
  <si>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</si>
  <si>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</si>
  <si>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</si>
  <si>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</si>
  <si>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</si>
  <si>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</si>
  <si>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</si>
  <si>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</si>
  <si>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</si>
  <si>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</si>
  <si>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</si>
  <si>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</si>
  <si>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</si>
  <si>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</si>
  <si>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</si>
  <si>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</si>
  <si>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</si>
  <si>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</si>
  <si>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</si>
  <si>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</si>
  <si>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</si>
  <si>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</si>
  <si>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</si>
  <si>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</si>
  <si>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</si>
  <si>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</si>
  <si>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</si>
  <si>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</si>
  <si>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</si>
  <si>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</si>
  <si>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</si>
  <si>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</si>
  <si>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</si>
  <si>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</si>
  <si>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</si>
  <si>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</si>
  <si>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</si>
  <si>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</si>
  <si>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</si>
  <si>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</si>
  <si>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</si>
  <si>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</si>
  <si>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</si>
  <si>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</si>
  <si>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</si>
  <si>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</si>
  <si>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</si>
  <si>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</si>
  <si>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</si>
  <si>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</si>
  <si>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</si>
  <si>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</si>
  <si>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</si>
  <si>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</si>
  <si>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</si>
  <si>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</si>
  <si>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</si>
  <si>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</si>
  <si>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</si>
  <si>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</si>
  <si>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</si>
  <si>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</si>
  <si>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</si>
  <si>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</si>
  <si>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</si>
  <si>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</si>
  <si>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</si>
  <si>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</si>
  <si>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</si>
  <si>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</si>
  <si>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</si>
  <si>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</si>
  <si>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</si>
  <si>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</si>
  <si>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</si>
  <si>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</si>
  <si>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</si>
  <si>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</si>
  <si>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</si>
  <si>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</si>
  <si>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</si>
  <si>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</si>
  <si>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</si>
  <si>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</si>
  <si>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</si>
  <si>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</si>
  <si>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</si>
  <si>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</si>
  <si>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</si>
  <si>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</si>
  <si>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</si>
  <si>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</si>
  <si>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</si>
  <si>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</si>
  <si>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</si>
  <si>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</si>
  <si>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</si>
  <si>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</si>
  <si>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</si>
  <si>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</si>
  <si>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</si>
  <si>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</si>
  <si>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</si>
  <si>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</si>
  <si>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</si>
  <si>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</si>
  <si>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</si>
  <si>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</si>
  <si>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</si>
  <si>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</si>
  <si>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</si>
  <si>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</si>
  <si>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</si>
  <si>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</si>
  <si>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</si>
  <si>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</si>
  <si>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</si>
  <si>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</si>
  <si>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</si>
  <si>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</si>
  <si>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</si>
  <si>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</si>
  <si>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</si>
  <si>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</si>
  <si>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</si>
  <si>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</si>
  <si>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</si>
  <si>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</si>
  <si>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</si>
  <si>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</si>
  <si>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</si>
  <si>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</si>
  <si>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</si>
  <si>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</si>
  <si>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</si>
  <si>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</si>
  <si>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</si>
  <si>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</si>
  <si>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</si>
  <si>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</si>
  <si>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</si>
  <si>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</si>
  <si>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</si>
  <si>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</si>
  <si>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</si>
  <si>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</si>
  <si>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</si>
  <si>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</si>
  <si>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</si>
  <si>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</si>
  <si>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</si>
  <si>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</si>
  <si>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</si>
  <si>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</si>
  <si>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</si>
  <si>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</si>
  <si>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</si>
  <si>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</si>
  <si>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</si>
  <si>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</si>
  <si>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</si>
  <si>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</si>
  <si>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</si>
  <si>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</si>
  <si>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</si>
  <si>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</si>
  <si>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</si>
  <si>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</si>
  <si>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</si>
  <si>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</si>
  <si>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</si>
  <si>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</si>
  <si>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</si>
  <si>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</si>
  <si>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</si>
  <si>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</si>
  <si>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</si>
  <si>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</si>
  <si>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</si>
  <si>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</si>
  <si>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</si>
  <si>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</si>
  <si>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</si>
  <si>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</si>
  <si>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</si>
  <si>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</si>
  <si>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</si>
  <si>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</si>
  <si>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</si>
  <si>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</si>
  <si>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</si>
  <si>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</si>
  <si>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</si>
  <si>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</si>
  <si>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</si>
  <si>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</si>
  <si>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</si>
  <si>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</si>
  <si>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</si>
  <si>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</si>
  <si>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</si>
  <si>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</si>
  <si>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</si>
  <si>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</si>
  <si>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</si>
  <si>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</si>
  <si>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</si>
  <si>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</si>
  <si>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</si>
  <si>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</si>
  <si>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</si>
  <si>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</si>
  <si>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</si>
  <si>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</si>
  <si>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</si>
  <si>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</si>
  <si>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</si>
  <si>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</si>
  <si>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</si>
  <si>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</si>
  <si>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</si>
  <si>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</si>
  <si>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</si>
  <si>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</si>
  <si>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</si>
  <si>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</si>
  <si>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</si>
  <si>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</si>
  <si>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</si>
  <si>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</si>
  <si>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</si>
  <si>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</si>
  <si>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</si>
  <si>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</si>
  <si>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</si>
  <si>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</si>
  <si>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</si>
  <si>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</si>
  <si>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</si>
  <si>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</si>
  <si>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</si>
  <si>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</si>
  <si>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</si>
  <si>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</si>
  <si>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</si>
  <si>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</si>
  <si>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</si>
  <si>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</si>
  <si>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</si>
  <si>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</si>
  <si>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</si>
  <si>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</si>
  <si>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</si>
  <si>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</si>
  <si>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</si>
  <si>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</si>
  <si>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</si>
  <si>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</si>
  <si>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</si>
  <si>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</si>
  <si>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</si>
  <si>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</si>
  <si>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</si>
  <si>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</si>
  <si>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</si>
  <si>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</si>
  <si>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</si>
  <si>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</si>
  <si>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</si>
  <si>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</si>
  <si>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</si>
  <si>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</si>
  <si>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</si>
  <si>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</si>
  <si>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</si>
  <si>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</si>
  <si>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</si>
  <si>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</si>
  <si>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</si>
  <si>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</si>
  <si>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</si>
  <si>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</si>
  <si>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</si>
  <si>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</si>
  <si>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</si>
  <si>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</si>
  <si>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</si>
  <si>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</si>
  <si>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</si>
  <si>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</si>
  <si>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</si>
  <si>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</si>
  <si>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</si>
  <si>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</si>
  <si>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</si>
  <si>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</si>
  <si>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</si>
  <si>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</si>
  <si>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</si>
  <si>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</si>
  <si>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</si>
  <si>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</si>
  <si>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</si>
  <si>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</si>
  <si>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</si>
  <si>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</si>
  <si>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</si>
  <si>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</si>
  <si>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</si>
  <si>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</si>
  <si>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</si>
  <si>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</si>
  <si>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</si>
  <si>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</si>
  <si>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</si>
  <si>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</si>
  <si>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</si>
  <si>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</si>
  <si>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</si>
  <si>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</si>
  <si>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</si>
  <si>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</si>
  <si>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</si>
  <si>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</si>
  <si>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</si>
  <si>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</si>
  <si>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</si>
  <si>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</si>
  <si>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</si>
  <si>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</si>
  <si>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</si>
  <si>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</si>
  <si>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</si>
  <si>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</si>
  <si>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</si>
  <si>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</si>
  <si>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</si>
  <si>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</si>
  <si>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</si>
  <si>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</si>
  <si>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</si>
  <si>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</si>
  <si>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</si>
  <si>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</si>
  <si>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</si>
  <si>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</si>
  <si>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</si>
  <si>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</si>
  <si>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</si>
  <si>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</si>
  <si>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</si>
  <si>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</si>
  <si>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</si>
  <si>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</si>
  <si>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</si>
  <si>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</si>
  <si>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</si>
  <si>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</si>
  <si>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</si>
  <si>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</si>
  <si>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</si>
  <si>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</si>
  <si>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</si>
  <si>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</si>
  <si>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</si>
  <si>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</si>
  <si>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</si>
  <si>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</si>
  <si>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</si>
  <si>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</si>
  <si>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</si>
  <si>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</si>
  <si>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</si>
  <si>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</si>
  <si>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</si>
  <si>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</si>
  <si>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</si>
  <si>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</si>
  <si>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</si>
  <si>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</si>
  <si>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</si>
  <si>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</si>
  <si>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</si>
  <si>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</si>
  <si>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</si>
  <si>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</si>
  <si>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</si>
  <si>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</si>
  <si>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</si>
  <si>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</si>
  <si>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</si>
  <si>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</si>
  <si>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</si>
  <si>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</si>
  <si>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</si>
  <si>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</si>
  <si>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</si>
  <si>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</si>
  <si>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</si>
  <si>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</si>
  <si>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</si>
  <si>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</si>
  <si>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</si>
  <si>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</si>
  <si>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</si>
  <si>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</si>
  <si>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</si>
  <si>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</si>
  <si>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</si>
  <si>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</si>
  <si>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</si>
  <si>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</si>
  <si>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</si>
  <si>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</si>
  <si>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</si>
  <si>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</si>
  <si>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</si>
  <si>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</si>
  <si>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</si>
  <si>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</si>
  <si>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</si>
  <si>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</si>
  <si>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</si>
  <si>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</si>
  <si>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</si>
  <si>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</si>
  <si>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</si>
  <si>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</si>
  <si>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</si>
  <si>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</si>
  <si>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</si>
  <si>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</si>
  <si>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</si>
  <si>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</si>
  <si>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</si>
  <si>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</si>
  <si>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</si>
  <si>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</si>
  <si>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</si>
  <si>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</si>
  <si>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</si>
  <si>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</si>
  <si>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</si>
  <si>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</si>
  <si>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</si>
  <si>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</si>
  <si>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</si>
  <si>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</si>
  <si>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</si>
  <si>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</si>
  <si>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</si>
  <si>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</si>
  <si>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</si>
  <si>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</si>
  <si>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</si>
  <si>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</si>
  <si>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</si>
  <si>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</si>
  <si>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</si>
  <si>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</si>
  <si>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</si>
  <si>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</si>
  <si>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</si>
  <si>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</si>
  <si>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</si>
  <si>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</si>
  <si>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</si>
  <si>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</si>
  <si>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</si>
  <si>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</si>
  <si>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</si>
  <si>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</si>
  <si>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</si>
  <si>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</si>
  <si>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</si>
  <si>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</si>
  <si>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</si>
  <si>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</si>
  <si>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</si>
  <si>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</si>
  <si>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</si>
  <si>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</si>
  <si>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</si>
  <si>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</si>
  <si>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</si>
  <si>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</si>
  <si>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</si>
  <si>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</si>
  <si>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</si>
  <si>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</si>
  <si>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</si>
  <si>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</si>
  <si>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</si>
  <si>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</si>
  <si>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</si>
  <si>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</si>
  <si>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</si>
  <si>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</si>
  <si>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</si>
  <si>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</si>
  <si>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</si>
  <si>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</si>
  <si>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</si>
  <si>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</si>
  <si>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</si>
  <si>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</si>
  <si>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</si>
  <si>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</si>
  <si>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</si>
  <si>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</si>
  <si>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</si>
  <si>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</si>
  <si>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</si>
  <si>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</si>
  <si>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</si>
  <si>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</si>
  <si>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</si>
  <si>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</si>
  <si>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</si>
  <si>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</si>
  <si>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</si>
  <si>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</si>
  <si>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</si>
  <si>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</si>
  <si>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</si>
  <si>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</si>
  <si>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</si>
  <si>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</si>
  <si>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</si>
  <si>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</si>
  <si>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</si>
  <si>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</si>
  <si>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</si>
  <si>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</si>
  <si>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</si>
  <si>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</si>
  <si>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</si>
  <si>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</si>
  <si>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</si>
  <si>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</si>
  <si>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</si>
  <si>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</si>
  <si>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</si>
  <si>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</si>
  <si>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</si>
  <si>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</si>
  <si>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</si>
  <si>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</si>
  <si>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</si>
  <si>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</si>
  <si>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</si>
  <si>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</si>
  <si>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</si>
  <si>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</si>
  <si>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</si>
  <si>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</si>
  <si>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</si>
  <si>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</si>
  <si>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</si>
  <si>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</si>
  <si>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</si>
  <si>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</si>
  <si>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</si>
  <si>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</si>
  <si>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</si>
  <si>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</si>
  <si>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</si>
  <si>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</si>
  <si>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</si>
  <si>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</si>
  <si>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</si>
  <si>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</si>
  <si>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</si>
  <si>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</si>
  <si>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</si>
  <si>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</si>
  <si>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</si>
  <si>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</si>
  <si>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</si>
  <si>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</si>
  <si>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</si>
  <si>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</si>
  <si>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</si>
  <si>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</si>
  <si>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</si>
  <si>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</si>
  <si>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</si>
  <si>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</si>
  <si>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</si>
  <si>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</si>
  <si>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</si>
  <si>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</si>
  <si>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</si>
  <si>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</si>
  <si>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</si>
  <si>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</si>
  <si>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</si>
  <si>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</si>
  <si>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</si>
  <si>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</si>
  <si>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</si>
  <si>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</si>
  <si>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</si>
  <si>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</si>
  <si>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</si>
  <si>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</si>
  <si>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</si>
  <si>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</si>
  <si>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</si>
  <si>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</si>
  <si>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</si>
  <si>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</si>
  <si>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</si>
  <si>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</si>
  <si>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</si>
  <si>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</si>
  <si>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</si>
  <si>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</si>
  <si>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</si>
  <si>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</si>
  <si>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</si>
  <si>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</si>
  <si>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</si>
  <si>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</si>
  <si>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</si>
  <si>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</si>
  <si>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</si>
  <si>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</si>
  <si>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</si>
  <si>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</si>
  <si>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</si>
  <si>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</si>
  <si>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</si>
  <si>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</si>
  <si>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</si>
  <si>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</si>
  <si>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</si>
  <si>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</si>
  <si>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</si>
  <si>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</si>
  <si>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</si>
  <si>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</si>
  <si>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</si>
  <si>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</si>
  <si>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</si>
  <si>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</si>
  <si>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</si>
  <si>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</si>
  <si>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</si>
  <si>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</si>
  <si>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</si>
  <si>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</si>
  <si>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</si>
  <si>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</si>
  <si>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</si>
  <si>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</si>
  <si>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</si>
  <si>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</si>
  <si>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</si>
  <si>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</si>
  <si>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</si>
  <si>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</si>
  <si>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</si>
  <si>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</si>
  <si>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</si>
  <si>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</si>
  <si>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</si>
  <si>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</si>
  <si>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</si>
  <si>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</si>
  <si>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</si>
  <si>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</si>
  <si>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</si>
  <si>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</si>
  <si>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</si>
  <si>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</si>
  <si>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</si>
  <si>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</si>
  <si>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</si>
  <si>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</si>
  <si>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</si>
  <si>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</si>
  <si>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</si>
  <si>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</si>
  <si>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</si>
  <si>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</si>
  <si>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</si>
  <si>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</si>
  <si>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</si>
  <si>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</si>
  <si>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</si>
  <si>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</si>
  <si>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</si>
  <si>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</si>
  <si>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</si>
  <si>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</si>
  <si>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</si>
  <si>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</si>
  <si>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</si>
  <si>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</si>
  <si>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</si>
  <si>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</si>
  <si>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</si>
  <si>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</si>
  <si>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</si>
  <si>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</si>
  <si>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</si>
  <si>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</si>
  <si>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</si>
  <si>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</si>
  <si>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</si>
  <si>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</si>
  <si>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</si>
  <si>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</si>
  <si>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</si>
  <si>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</si>
  <si>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</si>
  <si>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</si>
  <si>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</si>
  <si>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</si>
  <si>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</si>
  <si>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</si>
  <si>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</si>
  <si>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</si>
  <si>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</si>
  <si>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</si>
  <si>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</si>
  <si>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</si>
  <si>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</si>
  <si>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</si>
  <si>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</si>
  <si>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</si>
  <si>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</si>
  <si>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</si>
  <si>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</si>
  <si>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</si>
  <si>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</si>
  <si>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</si>
  <si>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</si>
  <si>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</si>
  <si>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</si>
  <si>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</si>
  <si>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</si>
  <si>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</si>
  <si>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</si>
  <si>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</si>
  <si>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</si>
  <si>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</si>
  <si>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</si>
  <si>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</si>
  <si>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</si>
  <si>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</si>
  <si>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</si>
  <si>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</si>
  <si>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</si>
  <si>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</si>
  <si>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</si>
  <si>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</si>
  <si>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</si>
  <si>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</si>
  <si>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</si>
  <si>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</si>
  <si>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</si>
  <si>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</si>
  <si>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</si>
  <si>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</si>
  <si>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</si>
  <si>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</si>
  <si>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</si>
  <si>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</si>
  <si>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</si>
  <si>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</si>
  <si>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</si>
  <si>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</si>
  <si>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</si>
  <si>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</si>
  <si>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</si>
  <si>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</si>
  <si>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</si>
  <si>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</si>
  <si>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</si>
  <si>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</si>
  <si>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</si>
  <si>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</si>
  <si>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</si>
  <si>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</si>
  <si>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</si>
  <si>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</si>
  <si>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</si>
  <si>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</si>
  <si>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</si>
  <si>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</si>
  <si>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</si>
  <si>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</si>
  <si>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</si>
  <si>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</si>
  <si>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</si>
  <si>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</si>
  <si>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</si>
  <si>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</si>
  <si>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</si>
  <si>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</si>
  <si>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</si>
  <si>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</si>
  <si>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</si>
  <si>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</si>
  <si>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</si>
  <si>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</si>
  <si>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</si>
  <si>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</si>
  <si>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</si>
  <si>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</si>
  <si>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</si>
  <si>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</si>
  <si>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</si>
  <si>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</si>
  <si>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</si>
  <si>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</si>
  <si>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</si>
  <si>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</si>
  <si>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</si>
  <si>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</si>
  <si>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</si>
  <si>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</si>
  <si>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</si>
  <si>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</si>
  <si>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</si>
  <si>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</si>
  <si>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</si>
  <si>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</si>
  <si>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</si>
  <si>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</si>
  <si>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</si>
  <si>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</si>
  <si>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</si>
  <si>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</si>
  <si>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</si>
  <si>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</si>
  <si>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</si>
  <si>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</si>
  <si>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</si>
  <si>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</si>
  <si>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</si>
  <si>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</si>
  <si>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</si>
  <si>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</si>
  <si>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</si>
  <si>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</si>
  <si>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</si>
  <si>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</si>
  <si>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</si>
  <si>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</si>
  <si>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</si>
  <si>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</si>
  <si>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</si>
  <si>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</si>
  <si>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</si>
  <si>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</si>
  <si>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</si>
  <si>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</si>
  <si>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</si>
  <si>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</si>
  <si>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</si>
  <si>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</si>
  <si>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</si>
  <si>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</si>
  <si>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</si>
  <si>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</si>
  <si>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</si>
  <si>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</si>
  <si>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</si>
  <si>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</si>
  <si>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</si>
  <si>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</si>
  <si>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</si>
  <si>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</si>
  <si>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</si>
  <si>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</si>
  <si>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</si>
  <si>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</si>
  <si>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</si>
  <si>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</si>
  <si>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</si>
  <si>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</si>
  <si>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</si>
  <si>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</si>
  <si>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</si>
  <si>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</si>
  <si>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</si>
  <si>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</si>
  <si>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</si>
  <si>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</si>
  <si>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</si>
  <si>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</si>
  <si>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</si>
  <si>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</si>
  <si>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</si>
  <si>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</si>
  <si>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</si>
  <si>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</si>
  <si>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</si>
  <si>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</si>
  <si>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</si>
  <si>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</si>
  <si>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</si>
  <si>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</si>
  <si>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</si>
  <si>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</si>
  <si>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</si>
  <si>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</si>
  <si>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</si>
  <si>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</si>
  <si>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</si>
  <si>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</si>
  <si>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</si>
  <si>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</si>
  <si>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</si>
  <si>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</si>
  <si>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</si>
  <si>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</si>
  <si>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</si>
  <si>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</si>
  <si>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</si>
  <si>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</si>
  <si>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</si>
  <si>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</si>
  <si>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</si>
  <si>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</si>
  <si>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</si>
  <si>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</si>
  <si>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</si>
  <si>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</si>
  <si>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</si>
  <si>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</si>
  <si>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</si>
  <si>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</si>
  <si>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</si>
  <si>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</si>
  <si>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</si>
  <si>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</si>
  <si>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</si>
  <si>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</si>
  <si>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</si>
  <si>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</si>
  <si>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</si>
  <si>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</si>
  <si>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</si>
  <si>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</si>
  <si>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</si>
  <si>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</si>
  <si>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</si>
  <si>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</si>
  <si>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</si>
  <si>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</si>
  <si>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</si>
  <si>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</si>
  <si>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</si>
  <si>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</si>
  <si>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</si>
  <si>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</si>
  <si>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</si>
  <si>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</si>
  <si>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</si>
  <si>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</si>
  <si>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</si>
  <si>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</si>
  <si>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</si>
  <si>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</si>
  <si>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</si>
  <si>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</si>
  <si>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</si>
  <si>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</si>
  <si>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</si>
  <si>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</si>
  <si>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</si>
  <si>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</si>
  <si>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</si>
  <si>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</si>
  <si>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</si>
  <si>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</si>
  <si>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</si>
  <si>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</si>
  <si>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</si>
  <si>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</si>
  <si>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</si>
  <si>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</si>
  <si>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</si>
  <si>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</si>
  <si>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</si>
  <si>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</si>
  <si>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</si>
  <si>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</si>
  <si>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</si>
  <si>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</si>
  <si>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</si>
  <si>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</si>
  <si>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</si>
  <si>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</si>
  <si>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</si>
  <si>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</si>
  <si>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</si>
  <si>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</si>
  <si>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</si>
  <si>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</si>
  <si>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</si>
  <si>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</si>
  <si>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</si>
  <si>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</si>
  <si>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</si>
  <si>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</si>
  <si>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</si>
  <si>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</si>
  <si>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</si>
  <si>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</si>
  <si>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</si>
  <si>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</si>
  <si>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</si>
  <si>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</si>
  <si>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</si>
  <si>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</si>
  <si>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</si>
  <si>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</si>
  <si>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</si>
  <si>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</si>
  <si>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</si>
  <si>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</si>
  <si>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</si>
  <si>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</si>
  <si>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</si>
  <si>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</si>
  <si>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</si>
  <si>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</si>
  <si>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</si>
  <si>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</si>
  <si>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</si>
  <si>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</si>
  <si>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</si>
  <si>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</si>
  <si>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</si>
  <si>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</si>
  <si>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</si>
  <si>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</si>
  <si>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</si>
  <si>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</si>
  <si>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</si>
  <si>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</si>
  <si>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</si>
  <si>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</si>
  <si>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</si>
  <si>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</si>
  <si>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</si>
  <si>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</si>
  <si>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</si>
  <si>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</si>
  <si>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</si>
  <si>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</si>
  <si>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</si>
  <si>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</si>
  <si>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</si>
  <si>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</si>
  <si>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</si>
  <si>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</si>
  <si>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</si>
  <si>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</si>
  <si>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</si>
  <si>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</si>
  <si>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</si>
  <si>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</si>
  <si>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</si>
  <si>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</si>
  <si>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</si>
  <si>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</si>
  <si>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</si>
  <si>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</si>
  <si>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</si>
  <si>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</si>
  <si>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</si>
  <si>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</si>
  <si>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</si>
  <si>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</si>
  <si>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</si>
  <si>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</si>
  <si>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</si>
  <si>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</si>
  <si>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</si>
  <si>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</si>
  <si>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</si>
  <si>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</si>
  <si>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</si>
  <si>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</si>
  <si>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</si>
  <si>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</si>
  <si>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</si>
  <si>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</si>
  <si>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</si>
  <si>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</si>
  <si>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</si>
  <si>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</si>
  <si>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</si>
  <si>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</si>
  <si>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</si>
  <si>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</si>
  <si>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</si>
  <si>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</si>
  <si>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</si>
  <si>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</si>
  <si>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</si>
  <si>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</si>
  <si>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</si>
  <si>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</si>
  <si>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</si>
  <si>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</si>
  <si>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</si>
  <si>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</si>
  <si>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</si>
  <si>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</si>
  <si>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</si>
  <si>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</si>
  <si>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</si>
  <si>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</si>
  <si>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</si>
  <si>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</si>
  <si>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</si>
  <si>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</si>
  <si>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</si>
  <si>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</si>
  <si>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</si>
  <si>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</si>
  <si>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</si>
  <si>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</si>
  <si>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</si>
  <si>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</si>
  <si>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</si>
  <si>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</si>
  <si>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</si>
  <si>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</si>
  <si>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</si>
  <si>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</si>
  <si>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</si>
  <si>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</si>
  <si>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</si>
  <si>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</si>
  <si>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</si>
  <si>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</si>
  <si>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</si>
  <si>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</si>
  <si>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</si>
  <si>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</si>
  <si>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</si>
  <si>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</si>
  <si>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</si>
  <si>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</si>
  <si>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</si>
  <si>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</si>
  <si>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</si>
  <si>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</si>
  <si>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</si>
  <si>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</si>
  <si>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</si>
  <si>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</si>
  <si>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</si>
  <si>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</si>
  <si>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</si>
  <si>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</si>
  <si>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</si>
  <si>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</si>
  <si>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</si>
  <si>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</si>
  <si>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</si>
  <si>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</si>
  <si>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</si>
  <si>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</si>
  <si>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</si>
  <si>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</si>
  <si>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</si>
  <si>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</si>
  <si>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</si>
  <si>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</si>
  <si>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</si>
  <si>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</si>
  <si>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</si>
  <si>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</si>
  <si>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</si>
  <si>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</si>
  <si>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</si>
  <si>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</si>
  <si>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</si>
  <si>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</si>
  <si>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</si>
  <si>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</si>
  <si>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</si>
  <si>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</si>
  <si>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</si>
  <si>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</si>
  <si>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</si>
  <si>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</si>
  <si>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</si>
  <si>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</si>
  <si>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</si>
  <si>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</si>
  <si>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</si>
  <si>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</si>
  <si>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</si>
  <si>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</si>
  <si>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</si>
  <si>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</si>
  <si>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</si>
  <si>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</si>
  <si>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</si>
  <si>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</si>
  <si>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</si>
  <si>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</si>
  <si>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</si>
  <si>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</si>
  <si>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</si>
  <si>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</si>
  <si>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</si>
  <si>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</si>
  <si>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</si>
  <si>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</si>
  <si>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</si>
  <si>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</si>
  <si>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</si>
  <si>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</si>
  <si>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</si>
  <si>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</si>
  <si>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</si>
  <si>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</si>
  <si>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</si>
  <si>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</si>
  <si>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</si>
  <si>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</si>
  <si>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</si>
  <si>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</si>
  <si>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</si>
  <si>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</si>
  <si>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</si>
  <si>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</si>
  <si>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</si>
  <si>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</si>
  <si>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</si>
  <si>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</si>
  <si>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</si>
  <si>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</si>
  <si>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</si>
  <si>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</si>
  <si>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</si>
  <si>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</si>
  <si>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</si>
  <si>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</si>
  <si>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</si>
  <si>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</si>
  <si>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</si>
  <si>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</si>
  <si>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</si>
  <si>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</si>
  <si>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</si>
  <si>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</si>
  <si>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</si>
  <si>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</si>
  <si>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</si>
  <si>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</si>
  <si>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</si>
  <si>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</si>
  <si>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</si>
  <si>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</si>
  <si>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</si>
  <si>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</si>
  <si>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</si>
  <si>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</si>
  <si>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</si>
  <si>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</si>
  <si>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</si>
  <si>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</si>
  <si>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</si>
  <si>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</si>
  <si>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</si>
  <si>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</si>
  <si>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</si>
  <si>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</si>
  <si>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</si>
  <si>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</si>
  <si>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</si>
  <si>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</si>
  <si>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</si>
  <si>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</si>
  <si>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</si>
  <si>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</si>
  <si>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</si>
  <si>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</si>
  <si>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</si>
  <si>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</si>
  <si>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</si>
  <si>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</si>
  <si>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</si>
  <si>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</si>
  <si>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</si>
  <si>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</si>
  <si>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</si>
  <si>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</si>
  <si>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</si>
  <si>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</si>
  <si>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</si>
  <si>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</si>
  <si>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</si>
  <si>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</si>
  <si>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</si>
  <si>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</si>
  <si>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</si>
  <si>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</si>
  <si>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</si>
  <si>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</si>
  <si>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</si>
  <si>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</si>
  <si>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</si>
  <si>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</si>
  <si>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</si>
  <si>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</si>
  <si>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</si>
  <si>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</si>
  <si>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</si>
  <si>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</si>
  <si>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</si>
  <si>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</si>
  <si>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</si>
  <si>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</si>
  <si>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</si>
  <si>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</si>
  <si>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</si>
  <si>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</si>
  <si>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</si>
  <si>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</si>
  <si>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</si>
  <si>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</si>
  <si>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</si>
  <si>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</si>
  <si>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</si>
  <si>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</si>
  <si>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</si>
  <si>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</si>
  <si>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</si>
  <si>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</si>
  <si>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</si>
  <si>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</si>
  <si>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</si>
  <si>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</si>
  <si>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</si>
  <si>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</si>
  <si>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</si>
  <si>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</si>
  <si>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</si>
  <si>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</si>
  <si>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</si>
  <si>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</si>
  <si>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</si>
  <si>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</si>
  <si>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</si>
  <si>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</si>
  <si>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</si>
  <si>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</si>
  <si>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</si>
  <si>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</si>
  <si>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</si>
  <si>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</si>
  <si>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</si>
  <si>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</si>
  <si>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</si>
  <si>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</si>
  <si>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</si>
  <si>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</si>
  <si>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</si>
  <si>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</si>
  <si>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</si>
  <si>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</si>
  <si>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</si>
  <si>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</si>
  <si>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</si>
  <si>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</si>
  <si>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</si>
  <si>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</si>
  <si>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</si>
  <si>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</si>
  <si>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</si>
  <si>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</si>
  <si>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</si>
  <si>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</si>
  <si>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</si>
  <si>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</si>
  <si>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</si>
  <si>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</si>
  <si>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</si>
  <si>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</si>
  <si>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</si>
  <si>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</si>
  <si>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</si>
  <si>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</si>
  <si>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</si>
  <si>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</si>
  <si>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</si>
  <si>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</si>
  <si>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</si>
  <si>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</si>
  <si>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</si>
  <si>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</si>
  <si>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</si>
  <si>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</si>
  <si>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</si>
  <si>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</si>
  <si>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</si>
  <si>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</si>
  <si>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</si>
  <si>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</si>
  <si>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</si>
  <si>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</si>
  <si>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</si>
  <si>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</si>
  <si>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</si>
  <si>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</si>
  <si>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</si>
  <si>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</si>
  <si>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</si>
  <si>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</si>
  <si>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</si>
  <si>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</si>
  <si>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</si>
  <si>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</si>
  <si>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</si>
  <si>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</si>
  <si>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</si>
  <si>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</si>
  <si>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</si>
  <si>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</si>
  <si>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</si>
  <si>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</si>
  <si>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</si>
  <si>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</si>
  <si>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</si>
  <si>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</si>
  <si>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</si>
  <si>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</si>
  <si>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</si>
  <si>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</si>
  <si>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</si>
  <si>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</si>
  <si>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</si>
  <si>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</si>
  <si>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</si>
  <si>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</si>
  <si>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</si>
  <si>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</si>
  <si>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</si>
  <si>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</si>
  <si>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</si>
  <si>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</si>
  <si>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</si>
  <si>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</si>
  <si>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</si>
  <si>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</si>
  <si>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</si>
  <si>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</si>
  <si>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</si>
  <si>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</si>
  <si>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</si>
  <si>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</si>
  <si>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</si>
  <si>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</si>
  <si>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</si>
  <si>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</si>
  <si>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</si>
  <si>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</si>
  <si>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</si>
  <si>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</si>
  <si>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</si>
  <si>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</si>
  <si>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</si>
  <si>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</si>
  <si>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</si>
  <si>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</si>
  <si>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</si>
  <si>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</si>
  <si>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</si>
  <si>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</si>
  <si>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</si>
  <si>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</si>
  <si>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</si>
  <si>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</si>
  <si>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</si>
  <si>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</si>
  <si>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</si>
  <si>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</si>
  <si>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</si>
  <si>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</si>
  <si>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</si>
  <si>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</si>
  <si>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</si>
  <si>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</si>
  <si>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</si>
  <si>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</si>
  <si>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</si>
  <si>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</si>
  <si>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</si>
  <si>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</si>
  <si>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</si>
  <si>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</si>
  <si>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</si>
  <si>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</si>
  <si>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</si>
  <si>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</si>
  <si>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</si>
  <si>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</si>
  <si>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</si>
  <si>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</si>
  <si>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</si>
  <si>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</si>
  <si>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</si>
  <si>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</si>
  <si>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</si>
  <si>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</si>
  <si>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</si>
  <si>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</si>
  <si>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</si>
  <si>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</si>
  <si>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</si>
  <si>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</si>
  <si>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</si>
  <si>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</si>
  <si>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</si>
  <si>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</si>
  <si>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</si>
  <si>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</si>
  <si>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</si>
  <si>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</si>
  <si>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</si>
  <si>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</si>
  <si>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</si>
  <si>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</si>
  <si>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</si>
  <si>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</si>
  <si>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</si>
  <si>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</si>
  <si>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</si>
  <si>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</si>
  <si>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</si>
  <si>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</si>
  <si>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</si>
  <si>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</si>
  <si>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</si>
  <si>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</si>
  <si>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</si>
  <si>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</si>
  <si>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</si>
  <si>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</si>
  <si>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</si>
  <si>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</si>
  <si>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</si>
  <si>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</si>
  <si>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</si>
  <si>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</si>
  <si>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</si>
  <si>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</si>
  <si>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</si>
  <si>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</si>
  <si>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</si>
  <si>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</si>
  <si>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</si>
  <si>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</si>
  <si>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</si>
  <si>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</si>
  <si>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</si>
  <si>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</si>
  <si>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</si>
  <si>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</si>
  <si>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</si>
  <si>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</si>
  <si>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</si>
  <si>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</si>
  <si>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</si>
  <si>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</si>
  <si>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</si>
  <si>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</si>
  <si>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</si>
  <si>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</si>
  <si>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</si>
  <si>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</si>
  <si>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</si>
  <si>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</si>
  <si>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</si>
  <si>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</si>
  <si>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</si>
  <si>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</si>
  <si>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</si>
  <si>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</si>
  <si>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</si>
  <si>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</si>
  <si>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</si>
  <si>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</si>
  <si>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</si>
  <si>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</si>
  <si>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</si>
  <si>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</si>
  <si>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</si>
  <si>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</si>
  <si>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</si>
  <si>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</si>
  <si>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</si>
  <si>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</si>
  <si>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</si>
  <si>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</si>
  <si>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</si>
  <si>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</si>
  <si>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</si>
  <si>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</si>
  <si>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</si>
  <si>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</si>
  <si>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</si>
  <si>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</si>
  <si>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</si>
  <si>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</si>
  <si>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</si>
  <si>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</si>
  <si>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</si>
  <si>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</si>
  <si>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</si>
  <si>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</si>
  <si>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</si>
  <si>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</si>
  <si>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</si>
  <si>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</si>
  <si>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</si>
  <si>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</si>
  <si>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</si>
  <si>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</si>
  <si>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</si>
  <si>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</si>
  <si>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</si>
  <si>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</si>
  <si>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</si>
  <si>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</si>
  <si>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</si>
  <si>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</si>
  <si>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</si>
  <si>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</si>
  <si>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</si>
  <si>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</si>
  <si>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</si>
  <si>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</si>
  <si>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</si>
  <si>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</si>
  <si>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</si>
  <si>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</si>
  <si>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</si>
  <si>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</si>
  <si>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</si>
  <si>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</si>
  <si>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</si>
  <si>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</si>
  <si>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</si>
  <si>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</si>
  <si>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</si>
  <si>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</si>
  <si>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</si>
  <si>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</si>
  <si>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</si>
  <si>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</si>
  <si>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</si>
  <si>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</si>
  <si>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</si>
  <si>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</si>
  <si>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</si>
  <si>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</si>
  <si>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</si>
  <si>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</si>
  <si>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</si>
  <si>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</si>
  <si>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</si>
  <si>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</si>
  <si>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</si>
  <si>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</si>
  <si>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</si>
  <si>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</si>
  <si>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</si>
  <si>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</si>
  <si>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</si>
  <si>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</si>
  <si>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</si>
  <si>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</si>
  <si>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</si>
  <si>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</si>
  <si>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</si>
  <si>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</si>
  <si>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</si>
  <si>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</si>
  <si>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</si>
  <si>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</si>
  <si>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</si>
  <si>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</si>
  <si>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</si>
  <si>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</si>
  <si>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</si>
  <si>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</si>
  <si>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</si>
  <si>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</si>
  <si>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</si>
  <si>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</si>
  <si>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</si>
  <si>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</si>
  <si>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</si>
  <si>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</si>
  <si>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</si>
  <si>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</si>
  <si>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</si>
  <si>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</si>
  <si>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</si>
  <si>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</si>
  <si>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</si>
  <si>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</si>
  <si>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</si>
  <si>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</si>
  <si>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</si>
  <si>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</si>
  <si>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</si>
  <si>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</si>
  <si>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</si>
  <si>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</si>
  <si>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</si>
  <si>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</si>
  <si>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</si>
  <si>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</si>
  <si>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</si>
  <si>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</si>
  <si>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</si>
  <si>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</si>
  <si>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</si>
  <si>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</si>
  <si>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</si>
  <si>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</si>
  <si>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</si>
  <si>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</si>
  <si>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</si>
  <si>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</si>
  <si>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</si>
  <si>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</si>
  <si>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</si>
  <si>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</si>
  <si>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</si>
  <si>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</si>
  <si>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</si>
  <si>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</si>
  <si>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</si>
  <si>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</si>
  <si>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</si>
  <si>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</si>
  <si>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</si>
  <si>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</si>
  <si>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</si>
  <si>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</si>
  <si>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</si>
  <si>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</si>
  <si>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</si>
  <si>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</si>
  <si>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</si>
  <si>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</si>
  <si>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</si>
  <si>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</si>
  <si>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</si>
  <si>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</si>
  <si>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</si>
  <si>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</si>
  <si>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</si>
  <si>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</si>
  <si>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</si>
  <si>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</si>
  <si>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Porcentaje de Asistencia F</t>
  </si>
  <si>
    <t>Porcentaje de Asistencia F y R</t>
  </si>
  <si>
    <t>Faltas/retrasos/salidas antes de finalizar que podrían tener más para obtener diploma</t>
  </si>
  <si>
    <t>Faltas/retrasos/salidas antes de finalizar que podrían tener más para no causar baja</t>
  </si>
  <si>
    <t>javier.alonsomansilla@tajamar365.com</t>
  </si>
  <si>
    <t>alberto.barbacid@tajamar365.com</t>
  </si>
  <si>
    <t>kevin.bayas@tajamar365.com</t>
  </si>
  <si>
    <t>alejandro.canovas@tajamar365.com</t>
  </si>
  <si>
    <t>diego.cardona@tajamar365.com</t>
  </si>
  <si>
    <t>alvaro.casco@tajamar365.com</t>
  </si>
  <si>
    <t>alejandro.cobo@tajamar365.com</t>
  </si>
  <si>
    <t>asil.galan@tajamar365.com</t>
  </si>
  <si>
    <t>alonso.garcia@tajamar365.com</t>
  </si>
  <si>
    <t>raul.garciamunoz@tajamar365.com</t>
  </si>
  <si>
    <t>hector.gil@tajamar365.com</t>
  </si>
  <si>
    <t>pablo.gonzalo@tajamar365.com</t>
  </si>
  <si>
    <t>adrian.jacek@tajamar365.com</t>
  </si>
  <si>
    <t>joseantonio.lopez@tajamar365.com</t>
  </si>
  <si>
    <t>maria.miguel@tajamar365.com</t>
  </si>
  <si>
    <t>alejandro.navarro@tajamar365.com</t>
  </si>
  <si>
    <t>julioalejandro.ordonez@tajamar365.com</t>
  </si>
  <si>
    <t>marcos.pedroche@tajamar365.com</t>
  </si>
  <si>
    <t>diego.perez@tajamar365.com</t>
  </si>
  <si>
    <t>angel.pinto@tajamar365.com</t>
  </si>
  <si>
    <t>marta.quiros@tajamar365.com</t>
  </si>
  <si>
    <t>jorge.rodriguezalonso@tajamar365.com</t>
  </si>
  <si>
    <t>alberto.rodriguez-rey@tajamar365.com</t>
  </si>
  <si>
    <t>alejandro.ruizgarcia@tajamar365.com</t>
  </si>
  <si>
    <t>juan.solis@tajamar365.com</t>
  </si>
  <si>
    <t>ivan.vazquez@tajamar365.com</t>
  </si>
  <si>
    <t>DÍAS LECTIVOS CURSO:</t>
  </si>
  <si>
    <t>Nickname</t>
  </si>
  <si>
    <t>FOTO</t>
  </si>
  <si>
    <t>NOTA MINI PRACTICA JQUERY 
Fecha: 17/10/2025</t>
  </si>
  <si>
    <t>NOTA MINI PRACTICA REACT
Fecha: 23/10/2025</t>
  </si>
  <si>
    <t>NOTA PRIMER PARCIAL PRACTICO JQUERY / REACT
Fecha: 29/10/2025</t>
  </si>
  <si>
    <t>NOTA SEGUNDO PARCIAL PRACTICO VUE ANGULAR
Fecha: 19/11/2025</t>
  </si>
  <si>
    <t>NOTAS FINALES FULL STACK (MEDIA PRÁCTICA)</t>
  </si>
  <si>
    <t>PRIMER EXAMEN PRACTICO PL400 (Sobre 10)
Fecha: 02/12/2025</t>
  </si>
  <si>
    <t>SEGUNDO EXAMEN PRACTICO PL400 (Sobre 10)
Fecha: 05/12/2025</t>
  </si>
  <si>
    <t>NOTA FINAL PRACTICAS PL-400 (MEDIA PRACTICA)</t>
  </si>
  <si>
    <t>PRIMER EXAMEN TEORICO PL400 (Sobre 1000)
Fecha: 02/12/2025</t>
  </si>
  <si>
    <t>SEGUNDO EXAMEN TEORICO PL400 (Sobre 1000)
Fecha: 05/12/2025</t>
  </si>
  <si>
    <t>NOTA FINAL TEORICOS PL-400 (MEDIA TEORICOS)</t>
  </si>
  <si>
    <t>PRIMER EXAMEN PRACTICO C#  (Sobre 10) 
Fecha: 23/01/2026</t>
  </si>
  <si>
    <t>SEGUNDO EXAMEN PRACTICO C#  (Sobre 10) 
Fecha: 06/02/2026</t>
  </si>
  <si>
    <t>NOTAS FINALES FUNDAMENTOS (MEDIA PRÁCTICA)</t>
  </si>
  <si>
    <t>NOTAS PRACTICA Net Core Primer Examen (Sobre 10) 
Fecha: 10/03/2026</t>
  </si>
  <si>
    <t>NOTAS PRACTICA Net Core Segundo Examen (Sobre 10) 
Fecha: 23/03/2026</t>
  </si>
  <si>
    <t>NOTAS FINALES NET CORE (MEDIA PRÁCTICA)</t>
  </si>
  <si>
    <t>NOTA PRIMER PARCIAL TEÓRICO AZURE - 204
Fecha: 24/04/2026</t>
  </si>
  <si>
    <t>NOTA SEGUNDO PARCIAL TEÓRICO AZURE - 204
Fecha:29/04/2026</t>
  </si>
  <si>
    <t>MEDIA PARCIAL TEÓRICO AZURE - 204</t>
  </si>
  <si>
    <t>NOTA PRIMER PARCIAL PRACTICO AZ-204
Fecha: 24/04/2026</t>
  </si>
  <si>
    <t>NOTA SEGUNDO PARCIAL PRACTICO AZ-204
Fecha:29/04/2026</t>
  </si>
  <si>
    <t>MEDIA PARCIAL PRÁCTICO AZURE - 204</t>
  </si>
  <si>
    <t>NOTA PRACTICA AWS (Sobre 10)
Fecha: 22/05/2025</t>
  </si>
  <si>
    <t xml:space="preserve">NOTA PRACTICA AWS Segundo Examen(Sobre 10)
Fecha: </t>
  </si>
  <si>
    <t>MEDIA PARCIAL PRÁCTICO AWS</t>
  </si>
  <si>
    <t>NOTA PRIMER PARCIAL TEORICO AWS (Sobre 1000)
Fecha: 26/05/2025</t>
  </si>
  <si>
    <t>NOTA SEGUNDO PARCIAL TEORICO AWS (Sobre 1000)
Fecha: 02/06/2025</t>
  </si>
  <si>
    <t>MEDIA PARCIAL TEÓRICO AWS</t>
  </si>
  <si>
    <t>MVC NET CORE</t>
  </si>
  <si>
    <t>AZURE</t>
  </si>
  <si>
    <t>AWS</t>
  </si>
  <si>
    <t>OBSERVACIONES</t>
  </si>
  <si>
    <t>Alonso Mansilla</t>
  </si>
  <si>
    <t>Javier</t>
  </si>
  <si>
    <t>Javi</t>
  </si>
  <si>
    <t>javi11coimbra@gmail.com</t>
  </si>
  <si>
    <t>646381829</t>
  </si>
  <si>
    <t>Barbacid Fernández</t>
  </si>
  <si>
    <t>Alberto</t>
  </si>
  <si>
    <t>albarbacidjr@gmail.com</t>
  </si>
  <si>
    <t>667869792</t>
  </si>
  <si>
    <t>Bayas Sarzosa</t>
  </si>
  <si>
    <t>Kevin</t>
  </si>
  <si>
    <t>kevbast936@gmail.com</t>
  </si>
  <si>
    <t>653400261</t>
  </si>
  <si>
    <t>Cánovas López</t>
  </si>
  <si>
    <t>Alejandro</t>
  </si>
  <si>
    <t>Alex</t>
  </si>
  <si>
    <t>aleecanovaslopez@gmail.com</t>
  </si>
  <si>
    <t>645662163</t>
  </si>
  <si>
    <t>Cardona Hernández</t>
  </si>
  <si>
    <t>negrillo1124@gmail.com</t>
  </si>
  <si>
    <t>603146203</t>
  </si>
  <si>
    <t>Casco Valero</t>
  </si>
  <si>
    <t>Álvaro</t>
  </si>
  <si>
    <t>alvarocascovalero@gmail.com</t>
  </si>
  <si>
    <t>684202397</t>
  </si>
  <si>
    <t>Cobo Marcos</t>
  </si>
  <si>
    <t>acobomarcos@gmail.com</t>
  </si>
  <si>
    <t>607876678</t>
  </si>
  <si>
    <t>Galán Castro</t>
  </si>
  <si>
    <t>Asil</t>
  </si>
  <si>
    <t>asilgalan083@icloud.com</t>
  </si>
  <si>
    <t>García Martín</t>
  </si>
  <si>
    <t>Alonso</t>
  </si>
  <si>
    <t>alonsogarciamartin2@gmail.com</t>
  </si>
  <si>
    <t>640642149</t>
  </si>
  <si>
    <t>García Muñoz</t>
  </si>
  <si>
    <t>Raúl</t>
  </si>
  <si>
    <t>raulgamu2003@gmail.com</t>
  </si>
  <si>
    <t>693692994</t>
  </si>
  <si>
    <t>Gil Fuertes</t>
  </si>
  <si>
    <t>Héctor</t>
  </si>
  <si>
    <t>hectorgilfuertes12@gmail.com</t>
  </si>
  <si>
    <t>611416310</t>
  </si>
  <si>
    <t>Gonzalo Lucas</t>
  </si>
  <si>
    <t>Pablo</t>
  </si>
  <si>
    <t>pablogonz.2204@gmail.com</t>
  </si>
  <si>
    <t>601384701</t>
  </si>
  <si>
    <t xml:space="preserve">Jacek </t>
  </si>
  <si>
    <t>Adrian</t>
  </si>
  <si>
    <t>Adrianjacek81@gmail.com</t>
  </si>
  <si>
    <t>601199082</t>
  </si>
  <si>
    <t>López Pachón</t>
  </si>
  <si>
    <t xml:space="preserve">José Antonio </t>
  </si>
  <si>
    <t>Jose</t>
  </si>
  <si>
    <t>lopezpachonjoseantonio@gmail.com</t>
  </si>
  <si>
    <t>603689704</t>
  </si>
  <si>
    <t>Miguel Tolosana</t>
  </si>
  <si>
    <t>María</t>
  </si>
  <si>
    <t>mmigueltolosana@gmail.com</t>
  </si>
  <si>
    <t>625206311</t>
  </si>
  <si>
    <t>Navarro Fernández</t>
  </si>
  <si>
    <t>Ale</t>
  </si>
  <si>
    <t>alejanf07@gmail.com</t>
  </si>
  <si>
    <t>638812791</t>
  </si>
  <si>
    <t>Ordóñez Rimacuna</t>
  </si>
  <si>
    <t>Julio Alejandro</t>
  </si>
  <si>
    <t>Julio</t>
  </si>
  <si>
    <t>jlordonez02@gmail.com</t>
  </si>
  <si>
    <t>614328218</t>
  </si>
  <si>
    <t>Pedroche Pérez</t>
  </si>
  <si>
    <t>Marcos</t>
  </si>
  <si>
    <t>marcospedroche62@gmail.com</t>
  </si>
  <si>
    <t>699711099</t>
  </si>
  <si>
    <t xml:space="preserve">Pérez Gregorio </t>
  </si>
  <si>
    <t xml:space="preserve">Diego </t>
  </si>
  <si>
    <t>diegogrego210@gmail.com</t>
  </si>
  <si>
    <t>692182329</t>
  </si>
  <si>
    <t>Pinto Díaz</t>
  </si>
  <si>
    <t>Ángel</t>
  </si>
  <si>
    <t>pintodiazangel@gmail.com</t>
  </si>
  <si>
    <t>640621835</t>
  </si>
  <si>
    <t>Quirós Martín-Portugués</t>
  </si>
  <si>
    <t>Marta</t>
  </si>
  <si>
    <t>martaquirosmp@gmail.com</t>
  </si>
  <si>
    <t>644754564</t>
  </si>
  <si>
    <t>Rodríguez Alonso</t>
  </si>
  <si>
    <t>Jorge</t>
  </si>
  <si>
    <t>jorgerodriguezalonso20@gmail.com</t>
  </si>
  <si>
    <t>635765192</t>
  </si>
  <si>
    <t>Rodríguez-Rey Prieto</t>
  </si>
  <si>
    <t>Alber</t>
  </si>
  <si>
    <t>rodriguezreyalberto26@gmail.com</t>
  </si>
  <si>
    <t>722654000</t>
  </si>
  <si>
    <t>Ruiz García</t>
  </si>
  <si>
    <t>alexruiz.g23@gmail.com</t>
  </si>
  <si>
    <t>606811509</t>
  </si>
  <si>
    <t>Solís Torrijos</t>
  </si>
  <si>
    <t>Juan</t>
  </si>
  <si>
    <t>jsolistorrijos@gmail.com</t>
  </si>
  <si>
    <t>611413820</t>
  </si>
  <si>
    <t>Vázquez Martínez</t>
  </si>
  <si>
    <t>ivanvazquez2004@gmail.com</t>
  </si>
  <si>
    <t>644971471</t>
  </si>
  <si>
    <t>(si no está al comienzo de la clase. Se considera retraso si se incorpora justo después del descanso, alas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</si>
</sst>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€_-;\-* #,##0\ _€_-;_-* &quot;-&quot;\ _€_-;_-@_-"/>
    <numFmt numFmtId="165" formatCode="_(* #,##0_);_(* \(#,##0\);_(* &quot;-&quot;_);_(@_)"/>
    <numFmt numFmtId="166" formatCode="dd/mm/yyyy;@"/>
    <numFmt numFmtId="167" formatCode="0.0"/>
  </numFmts>
  <fonts count="3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12121"/>
      <name val="Calibri"/>
      <family val="2"/>
    </font>
    <font>
      <sz val="11"/>
      <color rgb="FF212121"/>
      <name val="Calibri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FFFF"/>
      <name val="Arial"/>
      <family val="2"/>
    </font>
    <font>
      <sz val="11"/>
      <color theme="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EBD7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FF99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06165C"/>
        <bgColor indexed="64"/>
      </patternFill>
    </fill>
    <fill>
      <patternFill patternType="solid">
        <fgColor rgb="FFF50F7E"/>
        <bgColor indexed="64"/>
      </patternFill>
    </fill>
    <fill>
      <patternFill patternType="solid">
        <fgColor rgb="FF690937"/>
        <bgColor indexed="64"/>
      </patternFill>
    </fill>
    <fill>
      <patternFill patternType="solid">
        <fgColor rgb="FF6600BF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6" fillId="0" borderId="0"/>
    <xf numFmtId="0" fontId="10" fillId="0" borderId="0" applyNumberFormat="0" applyFill="0" applyBorder="0" applyAlignment="0" applyProtection="0"/>
    <xf numFmtId="0" fontId="5" fillId="0" borderId="0"/>
    <xf numFmtId="164" fontId="8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26" applyNumberFormat="0" applyFill="0" applyAlignment="0" applyProtection="0"/>
    <xf numFmtId="0" fontId="19" fillId="0" borderId="27" applyNumberFormat="0" applyFill="0" applyAlignment="0" applyProtection="0"/>
    <xf numFmtId="0" fontId="20" fillId="0" borderId="28" applyNumberFormat="0" applyFill="0" applyAlignment="0" applyProtection="0"/>
    <xf numFmtId="0" fontId="20" fillId="0" borderId="0" applyNumberFormat="0" applyFill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3" fillId="18" borderId="0" applyNumberFormat="0" applyBorder="0" applyAlignment="0" applyProtection="0"/>
    <xf numFmtId="0" fontId="24" fillId="19" borderId="29" applyNumberFormat="0" applyAlignment="0" applyProtection="0"/>
    <xf numFmtId="0" fontId="25" fillId="20" borderId="30" applyNumberFormat="0" applyAlignment="0" applyProtection="0"/>
    <xf numFmtId="0" fontId="26" fillId="20" borderId="29" applyNumberFormat="0" applyAlignment="0" applyProtection="0"/>
    <xf numFmtId="0" fontId="27" fillId="0" borderId="31" applyNumberFormat="0" applyFill="0" applyAlignment="0" applyProtection="0"/>
    <xf numFmtId="0" fontId="28" fillId="21" borderId="32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2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32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0" borderId="0"/>
    <xf numFmtId="0" fontId="1" fillId="22" borderId="33" applyNumberFormat="0" applyFont="0" applyAlignment="0" applyProtection="0"/>
  </cellStyleXfs>
  <cellXfs count="154"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9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9" borderId="6" xfId="0" applyFill="1" applyBorder="1" applyAlignment="1">
      <alignment wrapText="1"/>
    </xf>
    <xf numFmtId="0" fontId="0" fillId="6" borderId="20" xfId="0" applyFill="1" applyBorder="1" applyAlignment="1">
      <alignment wrapText="1"/>
    </xf>
    <xf numFmtId="0" fontId="9" fillId="11" borderId="20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9" fillId="9" borderId="20" xfId="0" applyFont="1" applyFill="1" applyBorder="1" applyAlignment="1">
      <alignment wrapText="1"/>
    </xf>
    <xf numFmtId="0" fontId="7" fillId="4" borderId="6" xfId="0" applyFont="1" applyFill="1" applyBorder="1" applyAlignment="1">
      <alignment wrapText="1"/>
    </xf>
    <xf numFmtId="0" fontId="9" fillId="14" borderId="20" xfId="0" applyFont="1" applyFill="1" applyBorder="1" applyAlignment="1">
      <alignment wrapText="1"/>
    </xf>
    <xf numFmtId="0" fontId="8" fillId="8" borderId="20" xfId="0" applyFont="1" applyFill="1" applyBorder="1" applyAlignment="1">
      <alignment horizont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10" borderId="0" xfId="0" applyFont="1" applyFill="1" applyAlignment="1">
      <alignment wrapText="1"/>
    </xf>
    <xf numFmtId="0" fontId="0" fillId="0" borderId="1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5" borderId="20" xfId="0" applyFill="1" applyBorder="1" applyAlignment="1">
      <alignment wrapText="1"/>
    </xf>
    <xf numFmtId="0" fontId="0" fillId="0" borderId="20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12" borderId="20" xfId="0" applyFill="1" applyBorder="1" applyAlignment="1">
      <alignment wrapText="1"/>
    </xf>
    <xf numFmtId="0" fontId="0" fillId="2" borderId="6" xfId="0" applyFill="1" applyBorder="1" applyAlignment="1">
      <alignment wrapText="1"/>
    </xf>
    <xf numFmtId="166" fontId="0" fillId="0" borderId="20" xfId="0" applyNumberFormat="1" applyBorder="1" applyAlignment="1">
      <alignment wrapText="1"/>
    </xf>
    <xf numFmtId="0" fontId="0" fillId="4" borderId="14" xfId="0" applyFill="1" applyBorder="1" applyAlignment="1">
      <alignment wrapText="1"/>
    </xf>
    <xf numFmtId="0" fontId="0" fillId="4" borderId="19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3" borderId="20" xfId="0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8" borderId="13" xfId="0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8" borderId="20" xfId="0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9" borderId="2" xfId="0" applyFill="1" applyBorder="1" applyAlignment="1">
      <alignment wrapText="1"/>
    </xf>
    <xf numFmtId="0" fontId="0" fillId="9" borderId="0" xfId="0" applyFill="1" applyAlignment="1">
      <alignment wrapText="1"/>
    </xf>
    <xf numFmtId="0" fontId="0" fillId="12" borderId="0" xfId="0" applyFill="1" applyAlignment="1">
      <alignment wrapText="1"/>
    </xf>
    <xf numFmtId="0" fontId="8" fillId="0" borderId="20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9" borderId="2" xfId="0" applyFont="1" applyFill="1" applyBorder="1" applyAlignment="1">
      <alignment wrapText="1"/>
    </xf>
    <xf numFmtId="0" fontId="8" fillId="9" borderId="0" xfId="0" applyFont="1" applyFill="1" applyAlignment="1">
      <alignment wrapText="1"/>
    </xf>
    <xf numFmtId="0" fontId="8" fillId="1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8" fillId="0" borderId="20" xfId="0" applyFont="1" applyBorder="1" applyAlignment="1">
      <alignment horizontal="center" wrapText="1"/>
    </xf>
    <xf numFmtId="0" fontId="0" fillId="0" borderId="0" xfId="0"/>
    <xf numFmtId="0" fontId="7" fillId="0" borderId="0" xfId="0" applyFont="1" applyAlignment="1">
      <alignment wrapText="1"/>
    </xf>
    <xf numFmtId="0" fontId="8" fillId="6" borderId="20" xfId="0" applyFont="1" applyFill="1" applyBorder="1" applyAlignment="1">
      <alignment wrapText="1"/>
    </xf>
    <xf numFmtId="0" fontId="0" fillId="13" borderId="20" xfId="0" applyFill="1" applyBorder="1" applyAlignment="1">
      <alignment wrapText="1"/>
    </xf>
    <xf numFmtId="0" fontId="9" fillId="13" borderId="20" xfId="0" applyFont="1" applyFill="1" applyBorder="1" applyAlignment="1">
      <alignment wrapText="1"/>
    </xf>
    <xf numFmtId="0" fontId="8" fillId="13" borderId="20" xfId="0" applyFont="1" applyFill="1" applyBorder="1" applyAlignment="1">
      <alignment wrapText="1"/>
    </xf>
    <xf numFmtId="0" fontId="9" fillId="11" borderId="20" xfId="0" applyFont="1" applyFill="1" applyBorder="1"/>
    <xf numFmtId="0" fontId="0" fillId="0" borderId="20" xfId="0" applyBorder="1"/>
    <xf numFmtId="165" fontId="0" fillId="0" borderId="20" xfId="0" applyNumberFormat="1" applyBorder="1"/>
    <xf numFmtId="2" fontId="0" fillId="0" borderId="20" xfId="0" applyNumberFormat="1" applyBorder="1"/>
    <xf numFmtId="0" fontId="0" fillId="0" borderId="9" xfId="0" applyBorder="1"/>
    <xf numFmtId="0" fontId="7" fillId="0" borderId="0" xfId="0" applyFont="1"/>
    <xf numFmtId="0" fontId="9" fillId="14" borderId="0" xfId="0" applyFont="1" applyFill="1" applyAlignment="1">
      <alignment wrapText="1"/>
    </xf>
    <xf numFmtId="0" fontId="0" fillId="13" borderId="20" xfId="0" applyFill="1" applyBorder="1"/>
    <xf numFmtId="0" fontId="8" fillId="0" borderId="22" xfId="0" applyFont="1" applyBorder="1" applyAlignment="1">
      <alignment wrapText="1"/>
    </xf>
    <xf numFmtId="0" fontId="0" fillId="0" borderId="3" xfId="0" applyBorder="1" applyAlignment="1">
      <alignment wrapText="1"/>
    </xf>
    <xf numFmtId="0" fontId="13" fillId="0" borderId="21" xfId="0" applyFont="1" applyBorder="1"/>
    <xf numFmtId="0" fontId="13" fillId="0" borderId="24" xfId="0" applyFont="1" applyBorder="1"/>
    <xf numFmtId="14" fontId="14" fillId="0" borderId="20" xfId="0" applyNumberFormat="1" applyFont="1" applyBorder="1"/>
    <xf numFmtId="0" fontId="15" fillId="15" borderId="12" xfId="0" applyFont="1" applyFill="1" applyBorder="1"/>
    <xf numFmtId="14" fontId="14" fillId="0" borderId="23" xfId="0" applyNumberFormat="1" applyFont="1" applyBorder="1"/>
    <xf numFmtId="0" fontId="14" fillId="0" borderId="25" xfId="0" applyFont="1" applyBorder="1"/>
    <xf numFmtId="14" fontId="14" fillId="0" borderId="18" xfId="0" applyNumberFormat="1" applyFont="1" applyBorder="1"/>
    <xf numFmtId="0" fontId="15" fillId="15" borderId="1" xfId="0" applyFont="1" applyFill="1" applyBorder="1"/>
    <xf numFmtId="0" fontId="14" fillId="0" borderId="12" xfId="0" applyFont="1" applyBorder="1"/>
    <xf numFmtId="14" fontId="14" fillId="0" borderId="21" xfId="0" applyNumberFormat="1" applyFont="1" applyBorder="1" applyAlignment="1">
      <alignment wrapText="1"/>
    </xf>
    <xf numFmtId="0" fontId="14" fillId="0" borderId="21" xfId="0" applyFont="1" applyBorder="1" applyAlignment="1">
      <alignment wrapText="1"/>
    </xf>
    <xf numFmtId="14" fontId="0" fillId="0" borderId="20" xfId="0" applyNumberFormat="1" applyBorder="1" applyAlignment="1">
      <alignment wrapText="1"/>
    </xf>
    <xf numFmtId="0" fontId="16" fillId="10" borderId="20" xfId="0" applyFont="1" applyFill="1" applyBorder="1" applyAlignment="1">
      <alignment wrapText="1"/>
    </xf>
    <xf numFmtId="14" fontId="0" fillId="0" borderId="0" xfId="0" applyNumberFormat="1" applyAlignment="1">
      <alignment wrapText="1"/>
    </xf>
    <xf numFmtId="0" fontId="16" fillId="10" borderId="0" xfId="0" applyFont="1" applyFill="1" applyAlignment="1">
      <alignment wrapText="1"/>
    </xf>
    <xf numFmtId="0" fontId="0" fillId="13" borderId="21" xfId="0" applyFill="1" applyBorder="1" applyAlignment="1">
      <alignment wrapText="1"/>
    </xf>
    <xf numFmtId="0" fontId="8" fillId="0" borderId="20" xfId="0" applyFont="1" applyBorder="1"/>
    <xf numFmtId="0" fontId="8" fillId="0" borderId="19" xfId="0" applyFont="1" applyBorder="1"/>
    <xf numFmtId="0" fontId="0" fillId="0" borderId="19" xfId="0" applyBorder="1"/>
    <xf numFmtId="0" fontId="9" fillId="14" borderId="12" xfId="0" applyFont="1" applyFill="1" applyBorder="1" applyAlignment="1">
      <alignment wrapText="1"/>
    </xf>
    <xf numFmtId="0" fontId="9" fillId="11" borderId="12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9" fillId="47" borderId="20" xfId="0" applyFont="1" applyFill="1" applyBorder="1"/>
    <xf numFmtId="0" fontId="9" fillId="47" borderId="12" xfId="0" applyFont="1" applyFill="1" applyBorder="1"/>
    <xf numFmtId="0" fontId="14" fillId="48" borderId="35" xfId="0" applyFont="1" applyFill="1" applyBorder="1"/>
    <xf numFmtId="0" fontId="0" fillId="47" borderId="20" xfId="0" applyFill="1" applyBorder="1"/>
    <xf numFmtId="0" fontId="0" fillId="47" borderId="12" xfId="0" applyFill="1" applyBorder="1"/>
    <xf numFmtId="0" fontId="0" fillId="47" borderId="15" xfId="0" applyFill="1" applyBorder="1"/>
    <xf numFmtId="0" fontId="0" fillId="0" borderId="25" xfId="0" applyBorder="1"/>
    <xf numFmtId="0" fontId="9" fillId="0" borderId="0" xfId="0" applyFont="1"/>
    <xf numFmtId="0" fontId="8" fillId="0" borderId="21" xfId="0" applyFont="1" applyBorder="1" applyAlignment="1">
      <alignment wrapText="1"/>
    </xf>
    <xf numFmtId="0" fontId="8" fillId="0" borderId="37" xfId="0" applyFont="1" applyBorder="1" applyAlignment="1">
      <alignment wrapText="1"/>
    </xf>
    <xf numFmtId="0" fontId="8" fillId="0" borderId="36" xfId="0" applyFont="1" applyBorder="1" applyAlignment="1">
      <alignment wrapText="1"/>
    </xf>
    <xf numFmtId="0" fontId="9" fillId="9" borderId="19" xfId="0" applyFont="1" applyFill="1" applyBorder="1"/>
    <xf numFmtId="0" fontId="9" fillId="11" borderId="19" xfId="0" applyFont="1" applyFill="1" applyBorder="1"/>
    <xf numFmtId="0" fontId="0" fillId="51" borderId="12" xfId="0" applyFill="1" applyBorder="1"/>
    <xf numFmtId="0" fontId="9" fillId="52" borderId="25" xfId="0" applyFont="1" applyFill="1" applyBorder="1"/>
    <xf numFmtId="0" fontId="0" fillId="13" borderId="21" xfId="0" applyFill="1" applyBorder="1"/>
    <xf numFmtId="0" fontId="9" fillId="13" borderId="19" xfId="0" applyFont="1" applyFill="1" applyBorder="1"/>
    <xf numFmtId="0" fontId="8" fillId="53" borderId="0" xfId="0" applyFont="1" applyFill="1" applyAlignment="1">
      <alignment wrapText="1"/>
    </xf>
    <xf numFmtId="0" fontId="0" fillId="50" borderId="21" xfId="0" applyFill="1" applyBorder="1" applyAlignment="1">
      <alignment wrapText="1"/>
    </xf>
    <xf numFmtId="0" fontId="9" fillId="11" borderId="22" xfId="0" applyFont="1" applyFill="1" applyBorder="1"/>
    <xf numFmtId="0" fontId="14" fillId="0" borderId="19" xfId="0" applyFont="1" applyBorder="1"/>
    <xf numFmtId="0" fontId="33" fillId="0" borderId="19" xfId="0" applyFont="1" applyBorder="1" applyAlignment="1">
      <alignment wrapText="1"/>
    </xf>
    <xf numFmtId="0" fontId="34" fillId="54" borderId="21" xfId="0" applyFont="1" applyFill="1" applyBorder="1" applyAlignment="1">
      <alignment wrapText="1"/>
    </xf>
    <xf numFmtId="0" fontId="35" fillId="55" borderId="35" xfId="0" applyFont="1" applyFill="1" applyBorder="1" applyAlignment="1">
      <alignment wrapText="1"/>
    </xf>
    <xf numFmtId="0" fontId="35" fillId="56" borderId="35" xfId="0" applyFont="1" applyFill="1" applyBorder="1" applyAlignment="1">
      <alignment wrapText="1"/>
    </xf>
    <xf numFmtId="0" fontId="35" fillId="57" borderId="35" xfId="0" applyFont="1" applyFill="1" applyBorder="1" applyAlignment="1">
      <alignment wrapText="1"/>
    </xf>
    <xf numFmtId="0" fontId="35" fillId="58" borderId="35" xfId="0" applyFont="1" applyFill="1" applyBorder="1" applyAlignment="1">
      <alignment wrapText="1"/>
    </xf>
    <xf numFmtId="0" fontId="9" fillId="13" borderId="35" xfId="0" applyFont="1" applyFill="1" applyBorder="1" applyAlignment="1">
      <alignment wrapText="1"/>
    </xf>
    <xf numFmtId="0" fontId="9" fillId="59" borderId="35" xfId="0" applyFont="1" applyFill="1" applyBorder="1" applyAlignment="1">
      <alignment wrapText="1"/>
    </xf>
    <xf numFmtId="0" fontId="34" fillId="60" borderId="21" xfId="0" applyFont="1" applyFill="1" applyBorder="1" applyAlignment="1">
      <alignment wrapText="1"/>
    </xf>
    <xf numFmtId="0" fontId="34" fillId="60" borderId="0" xfId="0" applyFont="1" applyFill="1" applyAlignment="1">
      <alignment wrapText="1"/>
    </xf>
    <xf numFmtId="0" fontId="34" fillId="61" borderId="35" xfId="0" applyFont="1" applyFill="1" applyBorder="1" applyAlignment="1">
      <alignment wrapText="1"/>
    </xf>
    <xf numFmtId="0" fontId="10" fillId="11" borderId="19" xfId="2" applyFill="1" applyBorder="1"/>
    <xf numFmtId="0" fontId="8" fillId="62" borderId="20" xfId="0" applyFont="1" applyFill="1" applyBorder="1" applyAlignment="1">
      <alignment horizontal="center" wrapText="1"/>
    </xf>
    <xf numFmtId="0" fontId="34" fillId="64" borderId="21" xfId="0" applyFont="1" applyFill="1" applyBorder="1" applyAlignment="1">
      <alignment wrapText="1"/>
    </xf>
    <xf numFmtId="0" fontId="9" fillId="65" borderId="19" xfId="0" applyFont="1" applyFill="1" applyBorder="1"/>
    <xf numFmtId="0" fontId="0" fillId="3" borderId="16" xfId="0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66" fontId="0" fillId="0" borderId="21" xfId="0" applyNumberFormat="1" applyBorder="1" applyAlignment="1">
      <alignment wrapText="1"/>
    </xf>
    <xf numFmtId="0" fontId="0" fillId="0" borderId="38" xfId="0" applyBorder="1" applyAlignment="1">
      <alignment wrapText="1"/>
    </xf>
    <xf numFmtId="0" fontId="0" fillId="63" borderId="20" xfId="0" applyFill="1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3" xfId="0" applyBorder="1" applyAlignment="1">
      <alignment wrapText="1"/>
    </xf>
    <xf numFmtId="0" fontId="0" fillId="0" borderId="25" xfId="0" applyBorder="1" applyAlignment="1">
      <alignment horizontal="center" wrapText="1"/>
    </xf>
    <xf numFmtId="0" fontId="8" fillId="66" borderId="20" xfId="0" applyFont="1" applyFill="1" applyBorder="1" applyAlignment="1">
      <alignment horizontal="center" wrapText="1"/>
    </xf>
    <xf numFmtId="0" fontId="8" fillId="67" borderId="20" xfId="0" applyFont="1" applyFill="1" applyBorder="1" applyAlignment="1">
      <alignment horizontal="center" wrapText="1"/>
    </xf>
    <xf numFmtId="0" fontId="9" fillId="47" borderId="24" xfId="0" applyFont="1" applyFill="1" applyBorder="1"/>
    <xf numFmtId="167" fontId="0" fillId="0" borderId="25" xfId="0" applyNumberFormat="1" applyBorder="1"/>
    <xf numFmtId="167" fontId="0" fillId="0" borderId="20" xfId="0" applyNumberFormat="1" applyBorder="1"/>
    <xf numFmtId="0" fontId="0" fillId="13" borderId="12" xfId="0" applyFill="1" applyBorder="1"/>
    <xf numFmtId="0" fontId="9" fillId="11" borderId="19" xfId="0" applyFont="1" applyFill="1" applyBorder="1" applyAlignment="1">
      <alignment horizontal="left"/>
    </xf>
    <xf numFmtId="2" fontId="0" fillId="68" borderId="20" xfId="0" applyNumberFormat="1" applyFill="1" applyBorder="1" applyAlignment="1">
      <alignment wrapText="1"/>
    </xf>
    <xf numFmtId="0" fontId="0" fillId="68" borderId="20" xfId="0" applyFill="1" applyBorder="1" applyAlignment="1">
      <alignment wrapText="1"/>
    </xf>
    <xf numFmtId="0" fontId="0" fillId="13" borderId="0" xfId="0" applyFill="1" applyAlignment="1">
      <alignment horizontal="center" wrapText="1"/>
    </xf>
    <xf numFmtId="0" fontId="0" fillId="7" borderId="20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0" fontId="0" fillId="4" borderId="20" xfId="0" applyFill="1" applyBorder="1" applyAlignment="1">
      <alignment horizontal="center" wrapText="1"/>
    </xf>
    <xf numFmtId="0" fontId="7" fillId="0" borderId="9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0" fillId="49" borderId="0" xfId="0" applyFill="1" applyAlignment="1"/>
  </cellXfs>
  <cellStyles count="50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9" builtinId="16" customBuiltin="1"/>
    <cellStyle name="Encabezado 4" xfId="12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6" builtinId="20" customBuiltin="1"/>
    <cellStyle name="Hyperlink" xfId="2" xr:uid="{00000000-0005-0000-0000-000000000000}"/>
    <cellStyle name="Incorrecto" xfId="14" builtinId="27" customBuiltin="1"/>
    <cellStyle name="Millares [0] 2" xfId="4" xr:uid="{00000000-0005-0000-0000-000001000000}"/>
    <cellStyle name="Neutral" xfId="15" builtinId="28" customBuiltin="1"/>
    <cellStyle name="Normal" xfId="0" builtinId="0"/>
    <cellStyle name="Normal 2" xfId="1" xr:uid="{00000000-0005-0000-0000-000003000000}"/>
    <cellStyle name="Normal 3" xfId="3" xr:uid="{00000000-0005-0000-0000-000004000000}"/>
    <cellStyle name="Normal 3 2" xfId="5" xr:uid="{00000000-0005-0000-0000-000005000000}"/>
    <cellStyle name="Normal 3 3" xfId="6" xr:uid="{00000000-0005-0000-0000-000006000000}"/>
    <cellStyle name="Normal 3 3 2" xfId="7" xr:uid="{57F8B4E8-2DB0-40E2-8797-74EB4AEF72AA}"/>
    <cellStyle name="Normal 4" xfId="48" xr:uid="{DE2FE73E-1FA6-4A68-9A11-74BE46600CB3}"/>
    <cellStyle name="Notas 2" xfId="49" xr:uid="{83BF1275-CD03-47B3-AFDA-FB72A674FDFC}"/>
    <cellStyle name="Salida" xfId="17" builtinId="21" customBuiltin="1"/>
    <cellStyle name="Texto de advertencia" xfId="21" builtinId="11" customBuiltin="1"/>
    <cellStyle name="Texto explicativo" xfId="22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3" builtinId="25" customBuiltin="1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33CC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1"/>
      </font>
      <fill>
        <patternFill>
          <bgColor rgb="FFFF0000"/>
        </patternFill>
      </fill>
    </dxf>
    <dxf>
      <fill>
        <patternFill patternType="solid">
          <fgColor indexed="64"/>
          <bgColor rgb="FFB3D58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69696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69696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69696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69696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69696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69696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BDE6E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9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jamar365.sharepoint.com/sites/ProfesoresAsociados-InteligenciaArtificial/Documentos%20compartidos/BIG%20Data%20AI/SEGUIMIENTO%20SEMANAL/3431%20IA%2025-26.%20SEGUIMIENTO%20ASISTENCIA.xlsx" TargetMode="External"/><Relationship Id="rId1" Type="http://schemas.openxmlformats.org/officeDocument/2006/relationships/externalLinkPath" Target="https://tajamar365.sharepoint.com/sites/ProfesoresAsociados-InteligenciaArtificial/Documentos%20compartidos/BIG%20Data%20AI/SEGUIMIENTO%20SEMANAL/3431%20IA%2025-26.%20SEGUIMIENTO%20ASIST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 cualitativo"/>
      <sheetName val="Total asistencia bueno"/>
      <sheetName val="Equipos encendidos"/>
      <sheetName val="Marzo"/>
      <sheetName val="Febrero"/>
      <sheetName val="Enero"/>
      <sheetName val="Diciembre"/>
      <sheetName val="Noviembre"/>
      <sheetName val="Octubre"/>
      <sheetName val="Septiembre"/>
      <sheetName val="Abril"/>
      <sheetName val="Mayo"/>
      <sheetName val="Junio"/>
      <sheetName val="Totales"/>
      <sheetName val="Fotos"/>
      <sheetName val="Notas"/>
      <sheetName val="Proyectos"/>
      <sheetName val="14 nov"/>
      <sheetName val="jaus"/>
      <sheetName val="Procedimientos y accesos"/>
      <sheetName val="Horario"/>
      <sheetName val="Matemáti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951.5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Usuario" id="{454CD569-A03D-4D64-849B-A461B4289203}" userId="Usuario" providerId="None"/>
  <person displayName="Juan Bou Bustamante" id="{10C4CAD4-CA85-4665-AA93-A50D8EE62E97}" userId="Juan Bou Bustamante" providerId="None"/>
  <person displayName="Juan Bou Bustamante" id="{7CFDDFBB-5C0B-470A-8251-E22B5FCB660D}" userId="S::jbou@tajamar365.com::558e4106-d5a1-498d-a11d-1b7dfd498219" providerId="AD"/>
  <person displayName="Francisco García Serrano" id="{134BCF9F-476B-4824-8ED8-6AEE0B813E78}" userId="S::paco.garcia.serrano@tajamar365.com::ad53dde6-75a3-4449-a3df-97d55bb9405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02A7A-553F-4ED0-B7C4-6017DF710F04}" name="TablaEnero26" displayName="TablaEnero26" ref="A3:XFD30" totalsRowShown="0">
  <autoFilter ref="A3:XFD30" xr:uid="{A3A02A7A-553F-4ED0-B7C4-6017DF710F04}"/>
  <tableColumns count="16384">
    <tableColumn id="1" xr3:uid="{8978DA3F-4DAA-4CFC-8451-89F29B2C1B31}" name="Column1" dataDxfId="102"/>
    <tableColumn id="2" xr3:uid="{9F709B99-047D-41BF-9A32-FFF3253997CC}" name="Column2" dataDxfId="101">
      <calculatedColumnFormula>Listado!B3</calculatedColumnFormula>
    </tableColumn>
    <tableColumn id="3" xr3:uid="{F48ACFFC-60BC-4D01-A44E-5B147AD853D8}" name="Column3" dataDxfId="100">
      <calculatedColumnFormula>Listado!C3</calculatedColumnFormula>
    </tableColumn>
    <tableColumn id="4" xr3:uid="{587F9118-59AB-4FC2-B661-A3D3DF7A0BF9}" name="Column4" dataDxfId="99">
      <calculatedColumnFormula>Listado!D3</calculatedColumnFormula>
    </tableColumn>
    <tableColumn id="5" xr3:uid="{F8D1C29F-E9FC-4F99-94DE-200231AFA9D5}" name="Column5" dataDxfId="98">
      <calculatedColumnFormula>Listado!E3</calculatedColumnFormula>
    </tableColumn>
    <tableColumn id="6" xr3:uid="{700CEB14-46CA-47F7-8C76-1F6AC6852BCC}" name="Column6" dataDxfId="97">
      <calculatedColumnFormula>Listado!F3</calculatedColumnFormula>
    </tableColumn>
    <tableColumn id="7" xr3:uid="{7EBD1A8A-E7D9-4970-978A-C375A6A73EB3}" name="Column7" dataDxfId="96">
      <calculatedColumnFormula>Listado!G3</calculatedColumnFormula>
    </tableColumn>
    <tableColumn id="8" xr3:uid="{8566427B-AA82-4F07-A737-ADC0A41FF98A}" name="Column8" dataDxfId="95">
      <calculatedColumnFormula>COUNTBLANK(R4:AN4)</calculatedColumnFormula>
    </tableColumn>
    <tableColumn id="9" xr3:uid="{A0ECB33B-80B1-49C5-B8F2-AA13F20F5E60}" name="Column9" dataDxfId="94">
      <calculatedColumnFormula>COUNTIF(R4:AN4,"FJ")</calculatedColumnFormula>
    </tableColumn>
    <tableColumn id="10" xr3:uid="{C3B53FA8-CE21-4286-A52D-97910ADC1FEA}" name="Column10" dataDxfId="93">
      <calculatedColumnFormula>COUNTIF(R4:AN4,"RJ")</calculatedColumnFormula>
    </tableColumn>
    <tableColumn id="11" xr3:uid="{A48A3338-244D-42B5-B36A-457CDF2687AA}" name="Column11" dataDxfId="92">
      <calculatedColumnFormula>COUNTIF(R4:AN4,"SAFJ")</calculatedColumnFormula>
    </tableColumn>
    <tableColumn id="12" xr3:uid="{79BCA489-C2DC-4CD7-91D9-BBC93C500B7C}" name="Column12" dataDxfId="91">
      <calculatedColumnFormula>COUNTIF(R4:AN4,"F")</calculatedColumnFormula>
    </tableColumn>
    <tableColumn id="13" xr3:uid="{53C64F0F-EC56-45BE-BEDB-DB8FA8B2514D}" name="Column13" dataDxfId="90">
      <calculatedColumnFormula>COUNTIF(R4:AN4,"R")</calculatedColumnFormula>
    </tableColumn>
    <tableColumn id="14" xr3:uid="{40CBFE1B-EC7B-41D9-B0A7-A54DC76C2D45}" name="Column14" dataDxfId="89">
      <calculatedColumnFormula>COUNTIF(R4:AN4,"SAF")</calculatedColumnFormula>
    </tableColumn>
    <tableColumn id="15" xr3:uid="{37C78732-AAFC-4FCB-A12C-B74FDFF35747}" name="Column15" dataDxfId="88">
      <calculatedColumnFormula>(L4+(M4/2))+(N4/2)</calculatedColumnFormula>
    </tableColumn>
    <tableColumn id="16" xr3:uid="{392E2A95-87AE-4311-8CA8-DF73A1EBDA60}" name="Column16" dataDxfId="87">
      <calculatedColumnFormula>I4+L4</calculatedColumnFormula>
    </tableColumn>
    <tableColumn id="17" xr3:uid="{871BBCFD-BDAC-4FF4-8E14-BB0D2E75DD36}" name="Column17" dataDxfId="86">
      <calculatedColumnFormula>SUM(I4:N4)</calculatedColumnFormula>
    </tableColumn>
    <tableColumn id="18" xr3:uid="{5ED92FFE-809D-44B6-8766-D70478BC3F11}" name="Column18" dataDxfId="85"/>
    <tableColumn id="19" xr3:uid="{5868A0F6-50AA-4579-BB0A-D4E596F9ED6D}" name="Column19" dataDxfId="84"/>
    <tableColumn id="20" xr3:uid="{6E76FD4C-A6E3-49B6-9CE0-EFCEB74C73B7}" name="Column20" dataDxfId="83"/>
    <tableColumn id="21" xr3:uid="{BA75CEAA-87DB-422F-9080-27B52DDBFD6F}" name="Column21" dataDxfId="82"/>
    <tableColumn id="22" xr3:uid="{B0D11FE7-C189-4C90-9D22-E043B67E8026}" name="Column22" dataDxfId="81"/>
    <tableColumn id="23" xr3:uid="{AF85B84E-4079-46E9-9124-CCDA818888CE}" name="Column23" dataDxfId="80"/>
    <tableColumn id="24" xr3:uid="{5EB33333-9D91-4A5E-9823-7BBD3441242D}" name="Column24" dataDxfId="79"/>
    <tableColumn id="25" xr3:uid="{52DDBF9A-E057-4E3C-890A-7FE5A1505E98}" name="Column25" dataDxfId="78"/>
    <tableColumn id="26" xr3:uid="{DF16573A-8026-48EB-B4CE-9D9290ED16F2}" name="Column26" dataDxfId="77"/>
    <tableColumn id="27" xr3:uid="{7BB65739-473E-4559-822E-7B6D5FE90855}" name="Column27" dataDxfId="76"/>
    <tableColumn id="28" xr3:uid="{8B9A6DEF-3A59-4B8F-838E-B8548225E25C}" name="Column28" dataDxfId="75"/>
    <tableColumn id="29" xr3:uid="{2A701BF4-2664-49A3-9CE8-D2389F66F2B8}" name="Column29" dataDxfId="74"/>
    <tableColumn id="30" xr3:uid="{1760FDBD-55FB-4793-9CA1-BAF56772ABC2}" name="Column30" dataDxfId="73"/>
    <tableColumn id="31" xr3:uid="{A8B89271-E42A-4D45-9DE0-207803EB681C}" name="Column31" dataDxfId="72"/>
    <tableColumn id="32" xr3:uid="{4B702E13-DCC9-46B8-BAF4-DF04A2324A33}" name="Column32" dataDxfId="71"/>
    <tableColumn id="33" xr3:uid="{9A347BB6-8C67-46D3-9CCE-CE827411364D}" name="Column33" dataDxfId="70"/>
    <tableColumn id="34" xr3:uid="{D6B23533-7969-48E5-919E-50A48C7584DF}" name="Column34" dataDxfId="69"/>
    <tableColumn id="35" xr3:uid="{A4A0D28D-580E-4145-A1EA-6B0D38436706}" name="Column35" dataDxfId="68"/>
    <tableColumn id="36" xr3:uid="{6BB323A1-50AF-4833-A060-3728DDFA89EC}" name="Column36" dataDxfId="67"/>
    <tableColumn id="37" xr3:uid="{C85EC878-B413-47C4-BCE2-12E3E2C195E5}" name="Column37" dataDxfId="66"/>
    <tableColumn id="38" xr3:uid="{94099BAA-A6B6-436C-9A85-740E2ECC1732}" name="Column38" dataDxfId="65"/>
    <tableColumn id="39" xr3:uid="{8FBD2B9A-EC7A-46CF-B9C1-3609ACBDF8BD}" name="Column39" dataDxfId="64"/>
    <tableColumn id="40" xr3:uid="{5C886F38-3327-4C0B-BBEA-C485EBCA0524}" name="Column40" dataDxfId="63"/>
    <tableColumn id="41" xr3:uid="{E004AF65-D400-40D8-9AA4-064857616C21}" name="Column41" dataDxfId="62"/>
    <tableColumn id="42" xr3:uid="{6520E848-3391-4BFD-A482-46B93145149F}" name="Column42" dataDxfId="61">
      <calculatedColumnFormula>H4*B$49</calculatedColumnFormula>
    </tableColumn>
    <tableColumn id="43" xr3:uid="{12A9C4BF-799B-40A0-8259-04ECADE3236A}" name="Column43"/>
    <tableColumn id="44" xr3:uid="{2BD303BB-A509-4B97-941B-0B06CC285DB4}" name="Column44"/>
    <tableColumn id="45" xr3:uid="{C9A7389B-C038-4F35-88D2-AD7372CBB1B9}" name="Column45"/>
    <tableColumn id="46" xr3:uid="{99D96B87-863F-465E-AE69-C369AD76D11F}" name="Column46"/>
    <tableColumn id="47" xr3:uid="{BAEF0BD4-D8C4-4430-9977-1278C2ACA31D}" name="Column47"/>
    <tableColumn id="48" xr3:uid="{CC39444A-381A-4050-9D14-9D671B5DAE70}" name="Column48"/>
    <tableColumn id="49" xr3:uid="{F0B6D6B8-F203-4A68-BB26-34B9CD26DB9F}" name="Column49"/>
    <tableColumn id="50" xr3:uid="{342EABD0-400A-4A92-9CB8-714100D9EB64}" name="Column50"/>
    <tableColumn id="51" xr3:uid="{8F3B6116-F232-47FF-B3C6-624DE62B8632}" name="Column51"/>
    <tableColumn id="52" xr3:uid="{6DCEB195-67A8-4B45-A78C-B9ED92528B3A}" name="Column52"/>
    <tableColumn id="53" xr3:uid="{E5BDD08A-C97E-4D32-AE85-99F20C99AAC3}" name="Column53"/>
    <tableColumn id="54" xr3:uid="{EFF650EE-9BAB-45BF-95BC-DF8A314CA9EC}" name="Column54"/>
    <tableColumn id="55" xr3:uid="{CF620DE4-5401-41FE-8271-F6196F3143D9}" name="Column55"/>
    <tableColumn id="56" xr3:uid="{8C7FF93A-2089-4FC8-A865-A60791A59937}" name="Column56"/>
    <tableColumn id="57" xr3:uid="{CF7015C1-9DE3-489F-B205-887FBEAE4B1E}" name="Column57"/>
    <tableColumn id="58" xr3:uid="{104C25BB-480D-43CD-B218-9543A783FB67}" name="Column58"/>
    <tableColumn id="59" xr3:uid="{FDEC5A64-6D21-4986-ABCF-DE434CF0D95C}" name="Column59"/>
    <tableColumn id="60" xr3:uid="{D4F9EF21-1B5D-44CC-B389-A9431DC23C5D}" name="Column60"/>
    <tableColumn id="61" xr3:uid="{239CEA33-EB52-485C-9757-1CF427882B6E}" name="Column61"/>
    <tableColumn id="62" xr3:uid="{5BA696FF-A735-4B91-A3DD-3FB9A80BC7E7}" name="Column62"/>
    <tableColumn id="63" xr3:uid="{BE2C6484-4DFB-4E50-B259-10B65A412F05}" name="Column63"/>
    <tableColumn id="64" xr3:uid="{47633059-2E32-444C-9F06-54E414F2E3B3}" name="Column64"/>
    <tableColumn id="65" xr3:uid="{67DB41AD-7C5A-4F57-AFCC-49B5F07B6014}" name="Column65"/>
    <tableColumn id="66" xr3:uid="{D4909B1D-C315-4B74-B5F1-50BC84069006}" name="Column66"/>
    <tableColumn id="67" xr3:uid="{9F824D95-D39F-4B62-A99A-2A5865364A0D}" name="Column67"/>
    <tableColumn id="68" xr3:uid="{B1D83D17-8E22-408E-B5B0-2E8406751244}" name="Column68"/>
    <tableColumn id="69" xr3:uid="{705A4104-FC40-4EA6-82EE-02EF5EFE7F48}" name="Column69"/>
    <tableColumn id="70" xr3:uid="{B89DBB49-4F9E-49C7-B3C4-6CA929FEAE9C}" name="Column70"/>
    <tableColumn id="71" xr3:uid="{DC25B542-B293-4B74-AB18-DD240EFEDCF3}" name="Column71"/>
    <tableColumn id="72" xr3:uid="{99B44452-9976-48E1-BFEF-58FB8B5921EE}" name="Column72"/>
    <tableColumn id="73" xr3:uid="{0F110497-BFF7-4858-94D1-0CDF4018F331}" name="Column73"/>
    <tableColumn id="74" xr3:uid="{01E346A5-AE7F-44EA-9493-1247F1B139D8}" name="Column74"/>
    <tableColumn id="75" xr3:uid="{0486C9EB-2757-47DD-AEF6-BE4F89C3ECC0}" name="Column75"/>
    <tableColumn id="76" xr3:uid="{50718151-E1AD-453F-9945-4DB9D7278FB4}" name="Column76"/>
    <tableColumn id="77" xr3:uid="{5C3CBB21-DE6A-40CC-83CF-DF10111C32BF}" name="Column77"/>
    <tableColumn id="78" xr3:uid="{1849AE38-4608-4BCE-A81A-5F9BD2F2567B}" name="Column78"/>
    <tableColumn id="79" xr3:uid="{149825C7-B81C-46E0-8DE1-246FD28998F2}" name="Column79"/>
    <tableColumn id="80" xr3:uid="{B62BE45C-DFA9-4750-813E-C3986E615A0C}" name="Column80"/>
    <tableColumn id="81" xr3:uid="{80C4E4E2-8BA2-4B30-9FE8-EC896D76E06D}" name="Column81"/>
    <tableColumn id="82" xr3:uid="{5F600AD9-FEC7-4B73-957C-A011F3A9C095}" name="Column82"/>
    <tableColumn id="83" xr3:uid="{F8004A08-D1FF-4588-BD44-5F97748280CA}" name="Column83"/>
    <tableColumn id="84" xr3:uid="{A9B06971-E76E-4897-8955-B496A9A549A4}" name="Column84"/>
    <tableColumn id="85" xr3:uid="{68819D23-E0B0-4C66-BFB1-4BB7B57BD5DE}" name="Column85"/>
    <tableColumn id="86" xr3:uid="{6F3D8427-B429-4158-9542-E9AB4199DC0A}" name="Column86"/>
    <tableColumn id="87" xr3:uid="{882364EB-E535-461B-AF0A-055694974B45}" name="Column87"/>
    <tableColumn id="88" xr3:uid="{FC611484-6943-48C0-94AE-6528D700612A}" name="Column88"/>
    <tableColumn id="89" xr3:uid="{F90652E2-87D9-425E-A278-04FEA315BC13}" name="Column89"/>
    <tableColumn id="90" xr3:uid="{D8979F34-EC15-4878-B1A6-F4FDDE288B32}" name="Column90"/>
    <tableColumn id="91" xr3:uid="{E1FB3ED0-E4AF-45F6-93F6-8420AE618D0B}" name="Column91"/>
    <tableColumn id="92" xr3:uid="{64A29E6D-1BB5-4FF9-8F3D-9E1A0CDF292C}" name="Column92"/>
    <tableColumn id="93" xr3:uid="{C1F9568E-A3E6-4535-8100-240674A3F659}" name="Column93"/>
    <tableColumn id="94" xr3:uid="{ED5AC5F5-EEAD-4F69-B553-0A04EA1FFB59}" name="Column94"/>
    <tableColumn id="95" xr3:uid="{F2FDD370-7F42-4FE7-BFBD-CA656F723BDA}" name="Column95"/>
    <tableColumn id="96" xr3:uid="{FC16C79F-6AD8-4787-9CC5-3D15C70C72A8}" name="Column96"/>
    <tableColumn id="97" xr3:uid="{6C8E25E4-661B-4CFD-ADD2-55DD17D3B851}" name="Column97"/>
    <tableColumn id="98" xr3:uid="{62F03FD6-1156-48CB-BD63-8AAB6B5F5974}" name="Column98"/>
    <tableColumn id="99" xr3:uid="{6850342E-89DF-4D90-A090-D562F2A6A8A9}" name="Column99"/>
    <tableColumn id="100" xr3:uid="{2C062444-9117-4E89-9565-9385045E8CB9}" name="Column100"/>
    <tableColumn id="101" xr3:uid="{10723359-0309-431C-8740-952FA2DBA103}" name="Column101"/>
    <tableColumn id="102" xr3:uid="{520C1A80-3271-4BFD-97C6-3C6EADDEC046}" name="Column102"/>
    <tableColumn id="103" xr3:uid="{3D1FA314-BDB8-4996-935E-CD17D9C58389}" name="Column103"/>
    <tableColumn id="104" xr3:uid="{11C7AD64-CD66-4160-A9F8-8C59EA412352}" name="Column104"/>
    <tableColumn id="105" xr3:uid="{7C22C366-300D-4B85-B27F-396F497830EE}" name="Column105"/>
    <tableColumn id="106" xr3:uid="{8AAE2539-877C-40DB-A938-C3284EB0B83B}" name="Column106"/>
    <tableColumn id="107" xr3:uid="{4E2799CB-1343-4EC0-967C-3FF35BFEB8A9}" name="Column107"/>
    <tableColumn id="108" xr3:uid="{5659A441-F639-47B8-8C01-6E5DBEA57CCA}" name="Column108"/>
    <tableColumn id="109" xr3:uid="{A29E4E8B-4E94-419A-9474-2A55CD0CBB89}" name="Column109"/>
    <tableColumn id="110" xr3:uid="{087C4B77-EA1B-4320-8815-4290011ECD73}" name="Column110"/>
    <tableColumn id="111" xr3:uid="{BCBC35E7-8D70-41ED-9430-E47A3A7F2229}" name="Column111"/>
    <tableColumn id="112" xr3:uid="{BD15991F-33D5-4D27-9924-F730E32FE880}" name="Column112"/>
    <tableColumn id="113" xr3:uid="{18DC37C5-3032-4937-8EDB-AB3D67BBA62C}" name="Column113"/>
    <tableColumn id="114" xr3:uid="{72E5845F-1E26-41AF-BBFF-4E775D18D6C0}" name="Column114"/>
    <tableColumn id="115" xr3:uid="{AEC84685-F26B-4522-BCCD-93D561AEA2AA}" name="Column115"/>
    <tableColumn id="116" xr3:uid="{31CF29E4-4784-44C1-8EFF-4C474C6FAE8B}" name="Column116"/>
    <tableColumn id="117" xr3:uid="{89017E4A-8CB7-457C-82C1-9DD4061C4397}" name="Column117"/>
    <tableColumn id="118" xr3:uid="{7BFE511A-DDC7-42DF-8685-AAC342FBB46C}" name="Column118"/>
    <tableColumn id="119" xr3:uid="{FA588B4A-3D7E-41C7-B404-4D7D54738D90}" name="Column119"/>
    <tableColumn id="120" xr3:uid="{8A86733A-FB26-4D83-AF07-783102DB6FE0}" name="Column120"/>
    <tableColumn id="121" xr3:uid="{51187AC7-17F0-4506-9AE0-A880645B3286}" name="Column121"/>
    <tableColumn id="122" xr3:uid="{0593DAE2-8AE9-47E5-9504-F29AE1C375D8}" name="Column122"/>
    <tableColumn id="123" xr3:uid="{2712369C-6FC8-494F-AED3-4F1C33971FF6}" name="Column123"/>
    <tableColumn id="124" xr3:uid="{E5EC1D70-60E0-4293-AC6B-93CB48C8C2EC}" name="Column124"/>
    <tableColumn id="125" xr3:uid="{8427FD00-1144-45E6-9EDE-E03039657083}" name="Column125"/>
    <tableColumn id="126" xr3:uid="{4FDB5ADE-B09C-40C1-AAA8-A956A28E8053}" name="Column126"/>
    <tableColumn id="127" xr3:uid="{8FB07029-10F0-494A-ACB4-1846F88B4A6C}" name="Column127"/>
    <tableColumn id="128" xr3:uid="{5FE60243-DA5D-4A53-B23E-590AA4E971E5}" name="Column128"/>
    <tableColumn id="129" xr3:uid="{45623F2A-5FF2-4D0E-B067-7715961BD7A5}" name="Column129"/>
    <tableColumn id="130" xr3:uid="{486742F5-F077-4515-B6B0-AC087A6EE739}" name="Column130"/>
    <tableColumn id="131" xr3:uid="{903C688A-82D2-467C-B8DE-56AE5D9B1A10}" name="Column131"/>
    <tableColumn id="132" xr3:uid="{C8A6842F-F891-4F70-9459-3D6A3E638B89}" name="Column132"/>
    <tableColumn id="133" xr3:uid="{BE19696B-1F92-4331-A28E-3DA88384269F}" name="Column133"/>
    <tableColumn id="134" xr3:uid="{946C9430-6057-424B-930C-3B69476E485B}" name="Column134"/>
    <tableColumn id="135" xr3:uid="{9DFBC476-D1F8-4F69-ADAB-901FF00210ED}" name="Column135"/>
    <tableColumn id="136" xr3:uid="{B7F590E7-F9C6-4345-A3F6-B0ADF2681DB1}" name="Column136"/>
    <tableColumn id="137" xr3:uid="{91BB2CF4-19A2-47F0-91AF-872EA2514593}" name="Column137"/>
    <tableColumn id="138" xr3:uid="{986A1555-225F-4454-8930-F269E63C2A95}" name="Column138"/>
    <tableColumn id="139" xr3:uid="{810C9D16-A492-4137-BE33-D7FC2AEA9A73}" name="Column139"/>
    <tableColumn id="140" xr3:uid="{D7086B7C-D1FC-4EC4-8D48-3A6C48976350}" name="Column140"/>
    <tableColumn id="141" xr3:uid="{97DCC4DF-C56E-41E4-A557-239E9FFC2F08}" name="Column141"/>
    <tableColumn id="142" xr3:uid="{BE038909-422E-4518-92B8-A0D538AE16D5}" name="Column142"/>
    <tableColumn id="143" xr3:uid="{4A304576-4881-419A-A1C8-6B8A277ED61C}" name="Column143"/>
    <tableColumn id="144" xr3:uid="{CBE56708-0C30-4D2C-A741-3414D68F2082}" name="Column144"/>
    <tableColumn id="145" xr3:uid="{B373712C-8DEA-444C-9642-A7359561D092}" name="Column145"/>
    <tableColumn id="146" xr3:uid="{48EC9034-EE65-4555-8B85-827C292BAC16}" name="Column146"/>
    <tableColumn id="147" xr3:uid="{2F69B139-6A3F-4B93-832E-9E964CDAC42C}" name="Column147"/>
    <tableColumn id="148" xr3:uid="{D382A748-ADEF-4218-803F-97413403FEF8}" name="Column148"/>
    <tableColumn id="149" xr3:uid="{F546238E-049D-4D6D-A301-510138BCDABF}" name="Column149"/>
    <tableColumn id="150" xr3:uid="{2C8739FB-5E6B-4FCE-839B-3B3B38322BAB}" name="Column150"/>
    <tableColumn id="151" xr3:uid="{F9654696-5047-4014-B9F1-FB4250C1BBE9}" name="Column151"/>
    <tableColumn id="152" xr3:uid="{671F883A-541E-47A5-9ED7-E9CBBBC4DF4C}" name="Column152"/>
    <tableColumn id="153" xr3:uid="{D2E6D4B8-773A-44A2-8771-C0F18F2EDB6F}" name="Column153"/>
    <tableColumn id="154" xr3:uid="{3D82DFB4-83CA-46DC-8543-565166136557}" name="Column154"/>
    <tableColumn id="155" xr3:uid="{D0E4882A-D499-4148-870B-BB23C7F0099F}" name="Column155"/>
    <tableColumn id="156" xr3:uid="{23533431-0172-4E45-8776-61259CBE2575}" name="Column156"/>
    <tableColumn id="157" xr3:uid="{193E4EF5-44B3-47F9-ABCB-DA79CB72C1E5}" name="Column157"/>
    <tableColumn id="158" xr3:uid="{19A68AA2-42FB-45D7-8CED-C2017DA5B276}" name="Column158"/>
    <tableColumn id="159" xr3:uid="{0E2467AE-153A-4C97-BCE4-BD42C698F9E6}" name="Column159"/>
    <tableColumn id="160" xr3:uid="{A7C5D42B-6CC3-4416-A3A0-5BA90048FD02}" name="Column160"/>
    <tableColumn id="161" xr3:uid="{9EF306D3-197F-4A6B-9A6F-6124B1D48F11}" name="Column161"/>
    <tableColumn id="162" xr3:uid="{C8A0AC2A-AB94-40D7-80B9-047210179803}" name="Column162"/>
    <tableColumn id="163" xr3:uid="{438AC5CB-7738-49FA-ADFE-B76E730F4F1B}" name="Column163"/>
    <tableColumn id="164" xr3:uid="{C91B1690-B12B-4DEF-8087-7680182B3EE9}" name="Column164"/>
    <tableColumn id="165" xr3:uid="{39EA6C09-C724-4472-9F80-9BE402C84BBD}" name="Column165"/>
    <tableColumn id="166" xr3:uid="{7C04E232-285C-4416-82A3-B9E754C90370}" name="Column166"/>
    <tableColumn id="167" xr3:uid="{D80CDEC9-0CFD-45AF-B1A3-7EC7DC668604}" name="Column167"/>
    <tableColumn id="168" xr3:uid="{EA6A3743-30E3-4122-8ACF-B49D3468D2F4}" name="Column168"/>
    <tableColumn id="169" xr3:uid="{CF0AB523-5ECD-4DCE-9D67-DC0528CCA722}" name="Column169"/>
    <tableColumn id="170" xr3:uid="{4696E9BB-DAE6-40FE-9197-5C0CB0D4B883}" name="Column170"/>
    <tableColumn id="171" xr3:uid="{E4E845E8-6D56-4F77-ACEF-9D971AEB3021}" name="Column171"/>
    <tableColumn id="172" xr3:uid="{E6AD2E61-61C2-43A3-96B9-40C30B2B3E22}" name="Column172"/>
    <tableColumn id="173" xr3:uid="{9ECB8297-8F83-47F8-99A5-AC94579E101D}" name="Column173"/>
    <tableColumn id="174" xr3:uid="{A18FE103-F422-4444-BAAB-1E33EC2E77C0}" name="Column174"/>
    <tableColumn id="175" xr3:uid="{95C55520-D798-4436-B3FB-CF8E70489D82}" name="Column175"/>
    <tableColumn id="176" xr3:uid="{6A7523A3-FDDC-4507-9F3C-9A8351B18360}" name="Column176"/>
    <tableColumn id="177" xr3:uid="{1E7E6C06-01A1-4F74-8CE3-78483EC106CC}" name="Column177"/>
    <tableColumn id="178" xr3:uid="{224E3FB1-9BFC-4DC5-848F-58D5E0876868}" name="Column178"/>
    <tableColumn id="179" xr3:uid="{CCE17D52-9E96-480C-AE62-0D0F23D2201A}" name="Column179"/>
    <tableColumn id="180" xr3:uid="{EB7AF7C3-04FD-49F9-9180-AA6AAA52D0F5}" name="Column180"/>
    <tableColumn id="181" xr3:uid="{120029DF-917E-4C37-82A3-0A521EAD43BC}" name="Column181"/>
    <tableColumn id="182" xr3:uid="{344D264E-1FAF-492E-A18E-18EC882EBA6B}" name="Column182"/>
    <tableColumn id="183" xr3:uid="{E939F3A9-2665-486F-8274-B9EE4C6B172C}" name="Column183"/>
    <tableColumn id="184" xr3:uid="{25D34199-5340-4ABC-991A-E31D028433FF}" name="Column184"/>
    <tableColumn id="185" xr3:uid="{05C1A50B-05E3-42AA-B097-39156069023A}" name="Column185"/>
    <tableColumn id="186" xr3:uid="{04339EB4-E708-4D12-9E87-30A0B6E4D116}" name="Column186"/>
    <tableColumn id="187" xr3:uid="{82E12D1F-1C78-4711-9F22-76BD2F0DB1FE}" name="Column187"/>
    <tableColumn id="188" xr3:uid="{DF2CD1F1-1627-42B9-B2D8-E992F413D83D}" name="Column188"/>
    <tableColumn id="189" xr3:uid="{938CEC39-1B92-4883-B79D-A6970173F9C1}" name="Column189"/>
    <tableColumn id="190" xr3:uid="{15109895-6F7A-4F81-A75B-E66A4D7244E6}" name="Column190"/>
    <tableColumn id="191" xr3:uid="{2F7F860B-6CEB-4604-8A41-F30ECE5575AF}" name="Column191"/>
    <tableColumn id="192" xr3:uid="{9DF509B1-CEFE-4AD3-BF6F-413D00882C50}" name="Column192"/>
    <tableColumn id="193" xr3:uid="{5E2E7196-B133-4B34-BDCB-5E64EF046E72}" name="Column193"/>
    <tableColumn id="194" xr3:uid="{7E32B4A8-B700-4745-B716-9DCAD575FBD6}" name="Column194"/>
    <tableColumn id="195" xr3:uid="{0F784891-B5C2-4914-89E4-D9336D5DA64D}" name="Column195"/>
    <tableColumn id="196" xr3:uid="{1E72EB87-82CD-4053-9ABD-AA8FE7300695}" name="Column196"/>
    <tableColumn id="197" xr3:uid="{8425F267-9508-415B-8A13-78EC025BD33B}" name="Column197"/>
    <tableColumn id="198" xr3:uid="{C89F98E7-2CDB-4574-BC06-BF5D1E815C12}" name="Column198"/>
    <tableColumn id="199" xr3:uid="{A80C3BBE-BD0D-465E-9604-F5D6C6058345}" name="Column199"/>
    <tableColumn id="200" xr3:uid="{B53ADEA3-5A89-4CDF-BB79-374B49FFD7FD}" name="Column200"/>
    <tableColumn id="201" xr3:uid="{E96D1DA6-7CB7-4469-9624-FFF1368319E3}" name="Column201"/>
    <tableColumn id="202" xr3:uid="{8C03EDD4-77F6-476C-82DA-31F7CD2D0480}" name="Column202"/>
    <tableColumn id="203" xr3:uid="{921B1309-EAD8-49A4-96D7-F202FBEB941C}" name="Column203"/>
    <tableColumn id="204" xr3:uid="{EB04BC2A-2CE6-4AF5-90AB-432AB8FF5D6E}" name="Column204"/>
    <tableColumn id="205" xr3:uid="{D7940A36-6358-40A3-9F30-76972B7FA36F}" name="Column205"/>
    <tableColumn id="206" xr3:uid="{568C8EE6-36CA-451C-9CFB-35C5A46E2AE0}" name="Column206"/>
    <tableColumn id="207" xr3:uid="{FC1DC041-6E62-48B1-994E-95EE535BDED1}" name="Column207"/>
    <tableColumn id="208" xr3:uid="{5CF2C7E2-253E-4388-B900-3AA3CA73A9CA}" name="Column208"/>
    <tableColumn id="209" xr3:uid="{DA4918CA-8DD5-465C-B4FE-9D74B1161F2A}" name="Column209"/>
    <tableColumn id="210" xr3:uid="{6C82AE4C-6EF1-4B15-9559-94C8FC645CDB}" name="Column210"/>
    <tableColumn id="211" xr3:uid="{E3EBE724-DD23-4834-A3C0-AE663C42747E}" name="Column211"/>
    <tableColumn id="212" xr3:uid="{C50E41AA-63B5-4A93-AFFC-65249838F19F}" name="Column212"/>
    <tableColumn id="213" xr3:uid="{086C3C16-8FFC-498C-9AB3-800059F7F274}" name="Column213"/>
    <tableColumn id="214" xr3:uid="{D2833443-28E3-4D01-9C81-91E72E4B1D9B}" name="Column214"/>
    <tableColumn id="215" xr3:uid="{4C33E923-F993-4D54-BEDB-7E0EBAFA8331}" name="Column215"/>
    <tableColumn id="216" xr3:uid="{AD2D8135-AB62-4C1B-912F-398C37E6117F}" name="Column216"/>
    <tableColumn id="217" xr3:uid="{6CD33104-9A9E-43BC-B6D8-F622AAAAEE96}" name="Column217"/>
    <tableColumn id="218" xr3:uid="{124B3EC9-FF56-44B6-9295-803AEA8A94FF}" name="Column218"/>
    <tableColumn id="219" xr3:uid="{5B71F257-E01E-4DFC-AD8F-6E0EF00522EC}" name="Column219"/>
    <tableColumn id="220" xr3:uid="{6D479417-F508-42D8-B4C8-DB1210F92621}" name="Column220"/>
    <tableColumn id="221" xr3:uid="{74BD36F9-C7AF-42B3-9958-ED06C2270E86}" name="Column221"/>
    <tableColumn id="222" xr3:uid="{C9FF49B0-1332-4DD4-9D85-F921EA0B7A7A}" name="Column222"/>
    <tableColumn id="223" xr3:uid="{5B5382FE-8343-4CC1-8677-0B7910393DB0}" name="Column223"/>
    <tableColumn id="224" xr3:uid="{9E50B7C9-922F-4586-8CFF-C6D217467F29}" name="Column224"/>
    <tableColumn id="225" xr3:uid="{CB827461-BA54-4E25-99FA-A24197EB3657}" name="Column225"/>
    <tableColumn id="226" xr3:uid="{C60AA56D-9967-4960-9E92-62C4C125F9C8}" name="Column226"/>
    <tableColumn id="227" xr3:uid="{46D25610-9574-4B3F-BEEC-5977BAD037CC}" name="Column227"/>
    <tableColumn id="228" xr3:uid="{9BA4DA5E-8A55-4B06-858C-8F37944CFA5F}" name="Column228"/>
    <tableColumn id="229" xr3:uid="{1B0F97D8-E2E3-445B-B744-1674CE8F7CE1}" name="Column229"/>
    <tableColumn id="230" xr3:uid="{5ABB3149-DA0C-463F-98D1-8C1EFF6E015D}" name="Column230"/>
    <tableColumn id="231" xr3:uid="{DD31CF66-30FD-4BED-AE8B-40CDED881F0B}" name="Column231"/>
    <tableColumn id="232" xr3:uid="{B7483B52-B727-4A38-A5D3-A17E12D8D55F}" name="Column232"/>
    <tableColumn id="233" xr3:uid="{47E4D0A3-5F24-45DD-A979-836171AC6431}" name="Column233"/>
    <tableColumn id="234" xr3:uid="{3940EF3D-C2B9-479A-8636-10DB52C477E5}" name="Column234"/>
    <tableColumn id="235" xr3:uid="{1D208D27-93D1-4025-8D89-C4C0D495C512}" name="Column235"/>
    <tableColumn id="236" xr3:uid="{94110CFD-5FBF-4302-BC88-E452EE7F0B26}" name="Column236"/>
    <tableColumn id="237" xr3:uid="{941F4740-E8BF-41D5-AA80-05F94EBEF4DE}" name="Column237"/>
    <tableColumn id="238" xr3:uid="{E9984478-C8A5-4539-B468-EABC2D8D4C7E}" name="Column238"/>
    <tableColumn id="239" xr3:uid="{57F42A2F-94DC-4FC1-8ED9-D31DC316B481}" name="Column239"/>
    <tableColumn id="240" xr3:uid="{97E6CBBF-53F4-4B9C-9368-1B57F36F982E}" name="Column240"/>
    <tableColumn id="241" xr3:uid="{06D4F82F-7977-4A04-9FE7-3B0A7BFB48E2}" name="Column241"/>
    <tableColumn id="242" xr3:uid="{B7DD9039-6567-487C-89EA-4018B8419387}" name="Column242"/>
    <tableColumn id="243" xr3:uid="{7A8ECCC9-8438-42C1-A952-6A0E9D3492F5}" name="Column243"/>
    <tableColumn id="244" xr3:uid="{446B4118-EF7D-4C07-925E-E69EBAE4AD77}" name="Column244"/>
    <tableColumn id="245" xr3:uid="{E920A04D-255A-4140-97EF-88BD491A7EEF}" name="Column245"/>
    <tableColumn id="246" xr3:uid="{59D32A10-52EA-4961-9A3E-37A97B79ED93}" name="Column246"/>
    <tableColumn id="247" xr3:uid="{32108EF6-EA41-4618-8313-960D53CAF954}" name="Column247"/>
    <tableColumn id="248" xr3:uid="{756DE95A-BDB6-4C7E-8146-D00B63B1115C}" name="Column248"/>
    <tableColumn id="249" xr3:uid="{13821AFF-1BA7-4FB1-9F44-14F52DBC382F}" name="Column249"/>
    <tableColumn id="250" xr3:uid="{71483863-F397-42FB-B9DB-38BD544FD7FC}" name="Column250"/>
    <tableColumn id="251" xr3:uid="{BA93B029-F190-430E-836C-53634FB1E845}" name="Column251"/>
    <tableColumn id="252" xr3:uid="{A62AC99E-A2F7-4D2D-A373-DF84728BB219}" name="Column252"/>
    <tableColumn id="253" xr3:uid="{1C64421B-31AC-4B11-AE71-3625CC26FB37}" name="Column253"/>
    <tableColumn id="254" xr3:uid="{341D43EA-DB1A-4784-A3B8-DE068D571281}" name="Column254"/>
    <tableColumn id="255" xr3:uid="{30ECCAD2-3E13-42CA-BC93-C002FC4C8009}" name="Column255"/>
    <tableColumn id="256" xr3:uid="{B9D00F5A-87AD-4D40-B0A5-D946C1860C30}" name="Column256"/>
    <tableColumn id="257" xr3:uid="{8D033C96-C428-4777-8A35-1DED368B5938}" name="Column257"/>
    <tableColumn id="258" xr3:uid="{DBA34B11-84C5-4DB8-8918-A9B4E908B869}" name="Column258"/>
    <tableColumn id="259" xr3:uid="{49C19220-3D31-4A48-9900-AFC1A3EB9082}" name="Column259"/>
    <tableColumn id="260" xr3:uid="{DDFD6F10-1E81-498B-BB39-C841CF9555F5}" name="Column260"/>
    <tableColumn id="261" xr3:uid="{7DA81795-DE96-4DDF-94EA-BACB36277086}" name="Column261"/>
    <tableColumn id="262" xr3:uid="{7D53309D-2E41-4117-9A48-0E0DD23E145C}" name="Column262"/>
    <tableColumn id="263" xr3:uid="{AC4BE409-1ED5-4D49-B5AD-ADA79A16C6CF}" name="Column263"/>
    <tableColumn id="264" xr3:uid="{27909306-FBCC-4316-BE50-38C6D51E67C7}" name="Column264"/>
    <tableColumn id="265" xr3:uid="{C1928BEC-E1F5-4C86-9F10-4EBF3DC37165}" name="Column265"/>
    <tableColumn id="266" xr3:uid="{06E17BD9-1229-40B6-9557-FB9FEDCCFD99}" name="Column266"/>
    <tableColumn id="267" xr3:uid="{397139CE-8A4D-4D9E-9A2A-23BF979EE942}" name="Column267"/>
    <tableColumn id="268" xr3:uid="{A140C76F-CC8F-44F0-AA65-2B6E792025EA}" name="Column268"/>
    <tableColumn id="269" xr3:uid="{6CA34395-F316-4966-9B33-7F2C631B0703}" name="Column269"/>
    <tableColumn id="270" xr3:uid="{3DE25090-1DAD-4679-A316-8D3ABACA72F9}" name="Column270"/>
    <tableColumn id="271" xr3:uid="{696D5501-0F30-4C89-BD98-2FA82D221F2A}" name="Column271"/>
    <tableColumn id="272" xr3:uid="{6BB232C2-9ECB-45D5-A38A-7EDB723F28E5}" name="Column272"/>
    <tableColumn id="273" xr3:uid="{360F890F-BE72-407A-BACE-A8EDB27A6E86}" name="Column273"/>
    <tableColumn id="274" xr3:uid="{57B32AA5-4FA3-4BF7-886F-624F7C2AFF22}" name="Column274"/>
    <tableColumn id="275" xr3:uid="{F5D59BD1-9203-46CE-BE0F-5EB0190D384E}" name="Column275"/>
    <tableColumn id="276" xr3:uid="{F7C95900-ABBE-4EA1-8106-D56BAFB22E6F}" name="Column276"/>
    <tableColumn id="277" xr3:uid="{EDD6580A-491A-48A4-B8BE-69E138176A2B}" name="Column277"/>
    <tableColumn id="278" xr3:uid="{A744F384-95A2-46A0-88F4-5AF3610BB43A}" name="Column278"/>
    <tableColumn id="279" xr3:uid="{D9FC1A47-C27C-4B92-997D-BA682FECD6CA}" name="Column279"/>
    <tableColumn id="280" xr3:uid="{03FC132D-5916-4774-A7E7-7CF113E00893}" name="Column280"/>
    <tableColumn id="281" xr3:uid="{1E56A8C3-A7AF-4508-8A2C-98EC086C6F18}" name="Column281"/>
    <tableColumn id="282" xr3:uid="{CF612A49-5A71-45F1-B89A-5791F89A34C4}" name="Column282"/>
    <tableColumn id="283" xr3:uid="{CC3AFF21-C345-473F-A149-35443922FECA}" name="Column283"/>
    <tableColumn id="284" xr3:uid="{DB4B4751-826B-421F-91F9-CD01F03C0E1A}" name="Column284"/>
    <tableColumn id="285" xr3:uid="{0547822E-8386-4287-AF17-89DF5F2DB5BD}" name="Column285"/>
    <tableColumn id="286" xr3:uid="{7583923F-A49A-49A1-9ECF-BFB9D7844B50}" name="Column286"/>
    <tableColumn id="287" xr3:uid="{C8D5F6F0-7672-4DA2-96D2-C8AEB6F3E3FE}" name="Column287"/>
    <tableColumn id="288" xr3:uid="{34731FEE-A996-42B0-BB39-161DF130A980}" name="Column288"/>
    <tableColumn id="289" xr3:uid="{5751A409-2649-44F2-80FD-E4C1F30C321A}" name="Column289"/>
    <tableColumn id="290" xr3:uid="{E5EEFCA8-B52B-4DE3-9CA1-6B3D35C43329}" name="Column290"/>
    <tableColumn id="291" xr3:uid="{537E7E40-2235-4671-AB15-4FDD44E69F34}" name="Column291"/>
    <tableColumn id="292" xr3:uid="{0A9DA2E0-BA62-42AC-9223-315B53CEFD54}" name="Column292"/>
    <tableColumn id="293" xr3:uid="{874A5C58-9B7A-47AC-979A-310DEB0B5450}" name="Column293"/>
    <tableColumn id="294" xr3:uid="{D254735F-8B29-4A07-B7B1-1F5390D12D6E}" name="Column294"/>
    <tableColumn id="295" xr3:uid="{44DB9515-FEA0-4870-8FB4-254E17A04C1C}" name="Column295"/>
    <tableColumn id="296" xr3:uid="{17E53678-8A4F-4BE0-B012-668ADD66FC56}" name="Column296"/>
    <tableColumn id="297" xr3:uid="{DAC8353D-E5E1-4679-A461-9F9D3784A981}" name="Column297"/>
    <tableColumn id="298" xr3:uid="{C675C53D-B5C6-49F2-A548-7352394A97FD}" name="Column298"/>
    <tableColumn id="299" xr3:uid="{3FDB47F6-F7F6-4310-A003-479E71289FB2}" name="Column299"/>
    <tableColumn id="300" xr3:uid="{A007FEA1-0818-44BF-8404-CAE366ED359F}" name="Column300"/>
    <tableColumn id="301" xr3:uid="{AACBC509-701B-48BC-BA95-262F38C738ED}" name="Column301"/>
    <tableColumn id="302" xr3:uid="{C7627CB3-10D5-4D7B-8E05-0BBA27DF0659}" name="Column302"/>
    <tableColumn id="303" xr3:uid="{E732F06D-5B69-4BCC-8BCA-7ED38526ADC7}" name="Column303"/>
    <tableColumn id="304" xr3:uid="{06C2706B-D787-4C11-8922-F36455302ECF}" name="Column304"/>
    <tableColumn id="305" xr3:uid="{3183FFE8-FD89-4277-8E6E-5D59A5B0B777}" name="Column305"/>
    <tableColumn id="306" xr3:uid="{D29D3CFD-DDDB-4489-8103-D8DBC8AA1B7D}" name="Column306"/>
    <tableColumn id="307" xr3:uid="{14596040-3A08-4445-9B46-9AF599BA6E4E}" name="Column307"/>
    <tableColumn id="308" xr3:uid="{7C2C79B1-E461-47B7-AFE6-9A580DE2B03A}" name="Column308"/>
    <tableColumn id="309" xr3:uid="{FE897543-D4DC-4EE3-AD6D-694B196FD968}" name="Column309"/>
    <tableColumn id="310" xr3:uid="{6524F080-5938-41C3-8285-92BF7447F9D0}" name="Column310"/>
    <tableColumn id="311" xr3:uid="{D86FCF4A-9933-4C9B-8C16-927A3964B006}" name="Column311"/>
    <tableColumn id="312" xr3:uid="{6E288C79-B7CF-4214-B7B8-F0EC87ABCED0}" name="Column312"/>
    <tableColumn id="313" xr3:uid="{D8D4D1E5-B81C-4AC9-9886-0E6A88F5426D}" name="Column313"/>
    <tableColumn id="314" xr3:uid="{6CBF8619-CF0B-4169-9BAC-48E184E10BA4}" name="Column314"/>
    <tableColumn id="315" xr3:uid="{E3E0E11D-9469-4E63-B805-9ABBA86A9AAB}" name="Column315"/>
    <tableColumn id="316" xr3:uid="{DBF23C71-6EDD-4830-9CD6-E92631FD2C63}" name="Column316"/>
    <tableColumn id="317" xr3:uid="{F0CDDF11-B610-4D94-828C-5FB4C4405EC2}" name="Column317"/>
    <tableColumn id="318" xr3:uid="{A972B804-8F13-4D91-9402-4970FA1B5653}" name="Column318"/>
    <tableColumn id="319" xr3:uid="{8E617937-CF76-4F7B-8565-DE9DF93A2177}" name="Column319"/>
    <tableColumn id="320" xr3:uid="{15961E92-615D-46D3-B019-16C3FE7B504E}" name="Column320"/>
    <tableColumn id="321" xr3:uid="{75ECB54B-F684-4129-B50F-A87486AD1EDA}" name="Column321"/>
    <tableColumn id="322" xr3:uid="{83DA2D32-3E82-482B-8DEA-6B25B034D5AE}" name="Column322"/>
    <tableColumn id="323" xr3:uid="{D892F9D9-E232-4068-88C0-57349B04914D}" name="Column323"/>
    <tableColumn id="324" xr3:uid="{2E2B54EC-F9AA-49E0-B259-BF8E5DC49B82}" name="Column324"/>
    <tableColumn id="325" xr3:uid="{249A9B88-66FF-41ED-B505-237B3814314E}" name="Column325"/>
    <tableColumn id="326" xr3:uid="{D9D21EAE-81E2-4A92-BD25-34F01958C704}" name="Column326"/>
    <tableColumn id="327" xr3:uid="{75179796-7D30-4A20-8F7C-DB010F2659C1}" name="Column327"/>
    <tableColumn id="328" xr3:uid="{F6425B96-C4FB-46A4-B608-2B1E405104E1}" name="Column328"/>
    <tableColumn id="329" xr3:uid="{1C323AE5-0B58-4E77-BDB2-C1CB45CF28B8}" name="Column329"/>
    <tableColumn id="330" xr3:uid="{8755C85A-757B-4FAA-8B0B-0793E7CBDB60}" name="Column330"/>
    <tableColumn id="331" xr3:uid="{100B7529-57F6-439E-A592-008435F89AF4}" name="Column331"/>
    <tableColumn id="332" xr3:uid="{6039D499-DD50-4D1F-9774-ED6FB4D602A9}" name="Column332"/>
    <tableColumn id="333" xr3:uid="{90B24F78-4278-4714-A0FB-D62D01145E04}" name="Column333"/>
    <tableColumn id="334" xr3:uid="{4076B594-D95F-4347-8752-F4141AD8C696}" name="Column334"/>
    <tableColumn id="335" xr3:uid="{505AF7D2-7950-4154-9F27-246D01BF59F1}" name="Column335"/>
    <tableColumn id="336" xr3:uid="{58C0891D-CB6A-41EC-8502-9CBD5F4EC708}" name="Column336"/>
    <tableColumn id="337" xr3:uid="{1B7E33F9-7B23-47FD-B2F3-8C778EC08085}" name="Column337"/>
    <tableColumn id="338" xr3:uid="{FF7A2F9A-3B4E-42A7-B17C-7CCBD512E2EA}" name="Column338"/>
    <tableColumn id="339" xr3:uid="{BA4F048C-5C53-4123-A39B-C824EA6923F5}" name="Column339"/>
    <tableColumn id="340" xr3:uid="{53E964F6-4846-44A4-BBA0-6B61155A9EA3}" name="Column340"/>
    <tableColumn id="341" xr3:uid="{86A9890F-0118-445C-8E3D-1EF64D12B096}" name="Column341"/>
    <tableColumn id="342" xr3:uid="{D37589F5-2259-4C05-88CD-FDF4EB88AEF2}" name="Column342"/>
    <tableColumn id="343" xr3:uid="{9A605BE1-23E0-41B4-9A50-5A996FC3CAD0}" name="Column343"/>
    <tableColumn id="344" xr3:uid="{62E6F131-D05C-4299-93D3-C9544DAFEC0F}" name="Column344"/>
    <tableColumn id="345" xr3:uid="{5E6120D8-E112-41C8-91DE-0B99C705DCCC}" name="Column345"/>
    <tableColumn id="346" xr3:uid="{10DC3FCA-6B25-4B01-9904-D16598D01F19}" name="Column346"/>
    <tableColumn id="347" xr3:uid="{73853FBD-FB85-4587-B867-A1429A79F3EA}" name="Column347"/>
    <tableColumn id="348" xr3:uid="{217D878E-5043-4249-91FE-58F012C90784}" name="Column348"/>
    <tableColumn id="349" xr3:uid="{AB7D96A5-9EC8-41C3-A371-FC8DE6A6A7E5}" name="Column349"/>
    <tableColumn id="350" xr3:uid="{AEAEB5CF-7974-4FAD-A8EF-71D3B3AD89EF}" name="Column350"/>
    <tableColumn id="351" xr3:uid="{3B784E95-9D92-4146-AC49-7298134CD9A6}" name="Column351"/>
    <tableColumn id="352" xr3:uid="{3CFD57D0-A3C2-4D15-9C0B-763357E11E25}" name="Column352"/>
    <tableColumn id="353" xr3:uid="{76771AC9-93CE-4469-84D6-9F4CC9F7C4A4}" name="Column353"/>
    <tableColumn id="354" xr3:uid="{90FD2F98-3C72-4AF4-8710-8CB15A52C3E8}" name="Column354"/>
    <tableColumn id="355" xr3:uid="{33583227-F099-4A9B-9C78-5B97E19468E6}" name="Column355"/>
    <tableColumn id="356" xr3:uid="{7AC5F4EC-EBBA-480D-97F1-98DAC5139E37}" name="Column356"/>
    <tableColumn id="357" xr3:uid="{642C6B32-A3A3-4AF0-8B1A-833348960FCF}" name="Column357"/>
    <tableColumn id="358" xr3:uid="{58A7E59B-5312-4017-8E74-AE3ADCEEE67B}" name="Column358"/>
    <tableColumn id="359" xr3:uid="{71ED3FDC-76DF-47B9-B155-E74DB94EFEA4}" name="Column359"/>
    <tableColumn id="360" xr3:uid="{DED7A665-387C-45D7-992F-973A11ADA2DC}" name="Column360"/>
    <tableColumn id="361" xr3:uid="{3523AB4C-5CD5-4330-BB39-76A8623B24EC}" name="Column361"/>
    <tableColumn id="362" xr3:uid="{24BF622D-25D8-4008-8576-366611168C4C}" name="Column362"/>
    <tableColumn id="363" xr3:uid="{4A18B0B4-C4C1-4F3B-A786-690189238A0F}" name="Column363"/>
    <tableColumn id="364" xr3:uid="{5336153E-0359-49CA-9889-894721561885}" name="Column364"/>
    <tableColumn id="365" xr3:uid="{A1E210F7-B040-4657-8A4E-06A2B8AE48AC}" name="Column365"/>
    <tableColumn id="366" xr3:uid="{8A9E202A-5F43-4716-BFD6-AFAB33021059}" name="Column366"/>
    <tableColumn id="367" xr3:uid="{9C921114-7E92-480C-A849-ABC22CD64928}" name="Column367"/>
    <tableColumn id="368" xr3:uid="{5AFC9E66-DEAD-4D20-9D18-448374B3C1A2}" name="Column368"/>
    <tableColumn id="369" xr3:uid="{08E46868-6511-426E-9B02-3401D51287C3}" name="Column369"/>
    <tableColumn id="370" xr3:uid="{A289C51C-3441-4B70-AA38-E7DACAB2C43D}" name="Column370"/>
    <tableColumn id="371" xr3:uid="{06B256C1-5C8A-4F1C-8761-EBB9E824D9E7}" name="Column371"/>
    <tableColumn id="372" xr3:uid="{A403C2E5-2D11-4EA3-8766-4E34B952A428}" name="Column372"/>
    <tableColumn id="373" xr3:uid="{E7774683-8671-4BFD-81D3-CE753905C772}" name="Column373"/>
    <tableColumn id="374" xr3:uid="{910F7722-7BC7-4522-8331-A23D44773BAD}" name="Column374"/>
    <tableColumn id="375" xr3:uid="{2F8FB943-8A76-4429-AD65-1ED1B67978FB}" name="Column375"/>
    <tableColumn id="376" xr3:uid="{80C63113-441F-4E10-AA20-23E2D00495B5}" name="Column376"/>
    <tableColumn id="377" xr3:uid="{77911DFF-5A99-4AC9-8862-4645D9BA6020}" name="Column377"/>
    <tableColumn id="378" xr3:uid="{C3FBE27D-888D-40E6-939C-9DD9903AFA56}" name="Column378"/>
    <tableColumn id="379" xr3:uid="{9E6B5BC0-C8B0-47DD-BCE0-6B9A66A79407}" name="Column379"/>
    <tableColumn id="380" xr3:uid="{470CBF90-7E0A-4677-9EBF-BED9A146E166}" name="Column380"/>
    <tableColumn id="381" xr3:uid="{0378EFD3-1853-4066-8436-689404FD2D68}" name="Column381"/>
    <tableColumn id="382" xr3:uid="{EDE869EE-7D11-40B4-9948-376C09FFABD0}" name="Column382"/>
    <tableColumn id="383" xr3:uid="{540871B2-D70F-4351-8D46-ED3FCA966B7D}" name="Column383"/>
    <tableColumn id="384" xr3:uid="{58BACA48-580B-4982-97B1-E064F8445BCD}" name="Column384"/>
    <tableColumn id="385" xr3:uid="{989D9C74-4833-4C25-84D4-997A05C33A66}" name="Column385"/>
    <tableColumn id="386" xr3:uid="{492EFD29-8F68-44AE-B0C7-70BB96FEE576}" name="Column386"/>
    <tableColumn id="387" xr3:uid="{2842F5F8-2D9C-4632-9CAB-39EEF4770899}" name="Column387"/>
    <tableColumn id="388" xr3:uid="{95A69C5D-C85A-4BAB-81F8-99AAB88616B3}" name="Column388"/>
    <tableColumn id="389" xr3:uid="{7FCFC4F5-079A-490E-A2AD-30E9C0B8E6E6}" name="Column389"/>
    <tableColumn id="390" xr3:uid="{989AB8C2-6063-4A4E-B29C-A10D1C7ED1FB}" name="Column390"/>
    <tableColumn id="391" xr3:uid="{EA9B57DD-FE2A-4E04-8EC8-9107589649CA}" name="Column391"/>
    <tableColumn id="392" xr3:uid="{5787A832-5D0D-4950-881B-CB47D3CD27AE}" name="Column392"/>
    <tableColumn id="393" xr3:uid="{3AC4A3B4-A419-43A3-A9BB-6412438A6081}" name="Column393"/>
    <tableColumn id="394" xr3:uid="{7EF1A78B-260D-4A6F-9947-C581F6098D0F}" name="Column394"/>
    <tableColumn id="395" xr3:uid="{1A26C65A-3A77-4C48-9E14-671252494A10}" name="Column395"/>
    <tableColumn id="396" xr3:uid="{4C99BDB6-4FAE-4D81-94F0-3D959E44A23E}" name="Column396"/>
    <tableColumn id="397" xr3:uid="{EA50876B-EEE8-46B0-A8AF-7E260EF392B1}" name="Column397"/>
    <tableColumn id="398" xr3:uid="{3581E480-DA97-43D1-B939-B685ABDF8F28}" name="Column398"/>
    <tableColumn id="399" xr3:uid="{2EECE75F-4039-443E-B18E-614EEDC0F815}" name="Column399"/>
    <tableColumn id="400" xr3:uid="{B2A955A8-3F76-4A5C-93CF-F4970D253F93}" name="Column400"/>
    <tableColumn id="401" xr3:uid="{A43E06DA-8DE1-47FF-BA59-58D7D4339618}" name="Column401"/>
    <tableColumn id="402" xr3:uid="{1541C098-6EEA-4DA2-B4EC-D983BECB1928}" name="Column402"/>
    <tableColumn id="403" xr3:uid="{DE253FC1-441C-44F8-B175-F36CB82360AB}" name="Column403"/>
    <tableColumn id="404" xr3:uid="{60C1A567-6C05-44B6-8D50-79BF559D080B}" name="Column404"/>
    <tableColumn id="405" xr3:uid="{DE1D1498-597E-4CC2-B391-CA9EA349CE87}" name="Column405"/>
    <tableColumn id="406" xr3:uid="{80DB9978-3822-4307-A8E0-D5654BF36D78}" name="Column406"/>
    <tableColumn id="407" xr3:uid="{B0EDFEEC-C34C-4D14-A642-068C96AF33DC}" name="Column407"/>
    <tableColumn id="408" xr3:uid="{75B52273-9357-415A-AB76-6BD155A60C13}" name="Column408"/>
    <tableColumn id="409" xr3:uid="{E4DF6285-5AF2-44DF-A13F-DCE6B9F909F4}" name="Column409"/>
    <tableColumn id="410" xr3:uid="{079DA623-BA49-4A46-96A3-661F80C1E9BD}" name="Column410"/>
    <tableColumn id="411" xr3:uid="{B85D74FC-D68A-4039-847F-FCB42C68DB61}" name="Column411"/>
    <tableColumn id="412" xr3:uid="{6307C404-6D81-4367-A7EE-1E0D905CA71E}" name="Column412"/>
    <tableColumn id="413" xr3:uid="{548BB029-36A0-4029-AA57-CFD34130B678}" name="Column413"/>
    <tableColumn id="414" xr3:uid="{90452143-A0E3-45E9-A3E6-C957AE958410}" name="Column414"/>
    <tableColumn id="415" xr3:uid="{C2CB0CCE-E92E-43B3-9471-BEA8BB1FB8DF}" name="Column415"/>
    <tableColumn id="416" xr3:uid="{204AA9CD-D631-4BC1-A679-19F5814589B9}" name="Column416"/>
    <tableColumn id="417" xr3:uid="{F3AA6340-0061-4DF3-8AE9-C9A661FFBEF0}" name="Column417"/>
    <tableColumn id="418" xr3:uid="{3A8A1692-37F0-4F15-9F45-7A9E1CF9D3D1}" name="Column418"/>
    <tableColumn id="419" xr3:uid="{2404B117-E8A1-48E1-B079-1E3F6949D853}" name="Column419"/>
    <tableColumn id="420" xr3:uid="{054DF5C9-7AA0-46C3-886C-DC650B5AB478}" name="Column420"/>
    <tableColumn id="421" xr3:uid="{5799D0FA-45A1-413E-A080-80A63764061D}" name="Column421"/>
    <tableColumn id="422" xr3:uid="{6011FCA1-0822-4C4C-A999-9581AF13BAFF}" name="Column422"/>
    <tableColumn id="423" xr3:uid="{1B7CD5CC-7CB9-43DF-BF1C-D7B0F6D4746C}" name="Column423"/>
    <tableColumn id="424" xr3:uid="{142F04E6-8E67-4032-8068-798943F91D3B}" name="Column424"/>
    <tableColumn id="425" xr3:uid="{21948FCE-7349-421F-AF5A-842C5F13A723}" name="Column425"/>
    <tableColumn id="426" xr3:uid="{55D17377-AC76-4EFD-9593-E4884DFBCB66}" name="Column426"/>
    <tableColumn id="427" xr3:uid="{C39E5821-FBB0-4228-B29F-5C61C178BC9D}" name="Column427"/>
    <tableColumn id="428" xr3:uid="{6EDE0F83-418E-44F9-BAE0-3723936AD92B}" name="Column428"/>
    <tableColumn id="429" xr3:uid="{5D157F77-49CB-43DD-B335-4C119D41DF24}" name="Column429"/>
    <tableColumn id="430" xr3:uid="{906E0877-43C2-4516-B906-BC4DDCFFCA73}" name="Column430"/>
    <tableColumn id="431" xr3:uid="{528ED909-43B9-4B44-A09C-83C85C97AF3B}" name="Column431"/>
    <tableColumn id="432" xr3:uid="{20EA41B4-1488-4E8C-B7B2-2A2B9F36C1B1}" name="Column432"/>
    <tableColumn id="433" xr3:uid="{68FEBB2D-7C44-487D-A4B9-1421CA7A85C6}" name="Column433"/>
    <tableColumn id="434" xr3:uid="{39DDCA22-332A-41EB-9E69-A6FD5856818A}" name="Column434"/>
    <tableColumn id="435" xr3:uid="{0DB9111B-224C-43F2-BFE1-95B2640A4ACB}" name="Column435"/>
    <tableColumn id="436" xr3:uid="{509FA46B-2B08-4E91-B77A-8FAB4A9EEF41}" name="Column436"/>
    <tableColumn id="437" xr3:uid="{CA78BAD6-53AF-4B08-B636-68B4C2EAFD33}" name="Column437"/>
    <tableColumn id="438" xr3:uid="{C0FCEDE5-3276-4D0A-8B92-4E0C7468FA6F}" name="Column438"/>
    <tableColumn id="439" xr3:uid="{71150CCB-F790-4A13-B368-29324BBADD35}" name="Column439"/>
    <tableColumn id="440" xr3:uid="{D0807861-FECC-42AB-B135-FBFD0672B7B1}" name="Column440"/>
    <tableColumn id="441" xr3:uid="{541712D6-D3F6-478B-B2D4-45EEDDA0A812}" name="Column441"/>
    <tableColumn id="442" xr3:uid="{532662A1-6869-4F15-89D5-FCDFDA36D6CB}" name="Column442"/>
    <tableColumn id="443" xr3:uid="{9D93D48C-628E-4152-BB0D-6C08CDEA8A86}" name="Column443"/>
    <tableColumn id="444" xr3:uid="{EC08779B-8E7D-4165-8A22-802E4059F80C}" name="Column444"/>
    <tableColumn id="445" xr3:uid="{A663F559-550E-43DE-BF3E-FF24AB0217DC}" name="Column445"/>
    <tableColumn id="446" xr3:uid="{933FB364-D05B-4609-B240-50A313485C76}" name="Column446"/>
    <tableColumn id="447" xr3:uid="{AFBF4E83-58F1-46E2-A5F4-866A578757ED}" name="Column447"/>
    <tableColumn id="448" xr3:uid="{CB57C042-FAB3-43C7-A0B2-4D8381E04A2A}" name="Column448"/>
    <tableColumn id="449" xr3:uid="{ED63F52F-E6E3-45CA-A0F3-25C218314A9A}" name="Column449"/>
    <tableColumn id="450" xr3:uid="{4F5D4C36-E631-420F-B456-B48D1F850C1F}" name="Column450"/>
    <tableColumn id="451" xr3:uid="{5265267E-01B3-4853-A856-66FD53A44AAA}" name="Column451"/>
    <tableColumn id="452" xr3:uid="{075E1E86-BF51-47EC-97DB-E353936722F9}" name="Column452"/>
    <tableColumn id="453" xr3:uid="{2F90A9BA-25A6-4BE2-932F-A3E04F302F45}" name="Column453"/>
    <tableColumn id="454" xr3:uid="{46F73768-3B5E-45B2-A8A0-3B92DD200381}" name="Column454"/>
    <tableColumn id="455" xr3:uid="{2D64D810-F7EE-4534-A1B1-FD50270E3B5E}" name="Column455"/>
    <tableColumn id="456" xr3:uid="{7204CFCD-79ED-4B66-8514-37EFDB6C2169}" name="Column456"/>
    <tableColumn id="457" xr3:uid="{D5083433-9FF6-4031-8282-2AFC61A7E2A1}" name="Column457"/>
    <tableColumn id="458" xr3:uid="{00C3F10E-6F44-4D3E-8074-83D92C2FD332}" name="Column458"/>
    <tableColumn id="459" xr3:uid="{A5DBE04A-EEDB-4679-B1A7-62AF49E2DFA3}" name="Column459"/>
    <tableColumn id="460" xr3:uid="{D9D32D41-608E-4452-9927-3D95DCE6E4F4}" name="Column460"/>
    <tableColumn id="461" xr3:uid="{33EFDE06-0A90-47C3-B07A-8C222B6B5B4B}" name="Column461"/>
    <tableColumn id="462" xr3:uid="{415A3DAF-DE76-4940-87C5-B152E30271A2}" name="Column462"/>
    <tableColumn id="463" xr3:uid="{03816A8F-629B-4E7B-BF9B-B618F5D09302}" name="Column463"/>
    <tableColumn id="464" xr3:uid="{953976DE-F4DC-48E9-A60B-3C85F0C1605A}" name="Column464"/>
    <tableColumn id="465" xr3:uid="{40C02B4C-C48A-459D-884C-1792825A7DB3}" name="Column465"/>
    <tableColumn id="466" xr3:uid="{27679643-F317-40DB-972C-6CAFE6064DC8}" name="Column466"/>
    <tableColumn id="467" xr3:uid="{4734F4CF-9A09-4171-BE6C-BDE63D8B408A}" name="Column467"/>
    <tableColumn id="468" xr3:uid="{D532CE31-62F5-4A7A-A23F-E287155ABD62}" name="Column468"/>
    <tableColumn id="469" xr3:uid="{4EFCBB81-0052-46D0-95E9-35ADA18F9CFB}" name="Column469"/>
    <tableColumn id="470" xr3:uid="{29922DEA-DE7F-4125-9A65-9341F868919B}" name="Column470"/>
    <tableColumn id="471" xr3:uid="{0C214DC6-4061-4CF1-8060-C0CEC8E0F791}" name="Column471"/>
    <tableColumn id="472" xr3:uid="{747E2890-DFE9-4915-A994-125F868F90FE}" name="Column472"/>
    <tableColumn id="473" xr3:uid="{C938AF94-3C38-4C2F-A7DC-EBE3B57E1AF8}" name="Column473"/>
    <tableColumn id="474" xr3:uid="{3C3254FC-88AD-4038-B424-6F675E19A162}" name="Column474"/>
    <tableColumn id="475" xr3:uid="{456344A6-58FB-424B-9B1A-FC73598F946D}" name="Column475"/>
    <tableColumn id="476" xr3:uid="{F1522CA2-E9F6-4FEA-B20E-0ECC1D71F99B}" name="Column476"/>
    <tableColumn id="477" xr3:uid="{FFED5EDE-7577-4E0C-9EB2-5AD2A9B3E7C3}" name="Column477"/>
    <tableColumn id="478" xr3:uid="{F9A1365D-32E6-40AD-9048-30A6F6CE3760}" name="Column478"/>
    <tableColumn id="479" xr3:uid="{5D5E9FB0-9A5A-4A56-974F-C579B2D1E4ED}" name="Column479"/>
    <tableColumn id="480" xr3:uid="{99A50345-D19C-42D2-92E8-04F819576078}" name="Column480"/>
    <tableColumn id="481" xr3:uid="{C746CC6D-4C03-4F40-9446-64B11F9E1E47}" name="Column481"/>
    <tableColumn id="482" xr3:uid="{BE83BAE0-7448-4725-B976-EBF9E61A2CB6}" name="Column482"/>
    <tableColumn id="483" xr3:uid="{871BEF2C-0D28-4C09-8F62-C704C14CDF41}" name="Column483"/>
    <tableColumn id="484" xr3:uid="{302EF66B-48A8-427A-A3CC-A4992BACAE85}" name="Column484"/>
    <tableColumn id="485" xr3:uid="{460DEB53-6814-4898-8154-5A486B55BE02}" name="Column485"/>
    <tableColumn id="486" xr3:uid="{FE850930-3640-4D3B-8C09-420155C925CE}" name="Column486"/>
    <tableColumn id="487" xr3:uid="{0148318E-E0BF-49C0-AD50-9D15611DF89D}" name="Column487"/>
    <tableColumn id="488" xr3:uid="{45BA0C78-8DC5-4C30-B1C4-F0E9AFA0E07F}" name="Column488"/>
    <tableColumn id="489" xr3:uid="{52683495-7507-4D7B-B7CF-36E77D56584F}" name="Column489"/>
    <tableColumn id="490" xr3:uid="{DA0D04E6-509D-400A-8135-F0CFBCFDAC8F}" name="Column490"/>
    <tableColumn id="491" xr3:uid="{B66A153D-780F-4238-AFB5-2F864F738984}" name="Column491"/>
    <tableColumn id="492" xr3:uid="{51F627FE-C095-4F16-85F8-50E7EED33FF0}" name="Column492"/>
    <tableColumn id="493" xr3:uid="{512F11ED-EEEC-4D83-BC44-45D842FA94A7}" name="Column493"/>
    <tableColumn id="494" xr3:uid="{67E8CC5A-29B4-4DDE-B93A-C269B616D0D5}" name="Column494"/>
    <tableColumn id="495" xr3:uid="{D82BCA0C-6C94-414B-BF51-D63504B3C823}" name="Column495"/>
    <tableColumn id="496" xr3:uid="{05C08EA5-5C50-4531-B336-2682C864E6A5}" name="Column496"/>
    <tableColumn id="497" xr3:uid="{AFB3DF01-6041-4D52-AFB6-34C5F139C2EC}" name="Column497"/>
    <tableColumn id="498" xr3:uid="{7C341B02-5FAF-4F26-95E9-D6F93BE7D99B}" name="Column498"/>
    <tableColumn id="499" xr3:uid="{451432BD-44D2-4993-88BF-FAAFE0AC5328}" name="Column499"/>
    <tableColumn id="500" xr3:uid="{8AC93989-B205-40AF-8491-3F13AB1A7FD7}" name="Column500"/>
    <tableColumn id="501" xr3:uid="{B6F8182E-F63D-45E1-BB52-B59128363CF4}" name="Column501"/>
    <tableColumn id="502" xr3:uid="{09CC2342-40FE-42E7-A0B0-816F00597902}" name="Column502"/>
    <tableColumn id="503" xr3:uid="{5810DDCF-BBCA-472B-A379-20FC370230EA}" name="Column503"/>
    <tableColumn id="504" xr3:uid="{AF2629B9-19A5-4AAF-B24C-42816BAC2ABA}" name="Column504"/>
    <tableColumn id="505" xr3:uid="{B44BB4FB-9187-44E1-8D74-9CBD0427D661}" name="Column505"/>
    <tableColumn id="506" xr3:uid="{6824910F-F693-4E18-8B56-C50EA2482DDA}" name="Column506"/>
    <tableColumn id="507" xr3:uid="{B0575622-48DB-4EE4-8556-BE23C5844694}" name="Column507"/>
    <tableColumn id="508" xr3:uid="{482C696D-4E5C-4657-8D50-C304977C55F0}" name="Column508"/>
    <tableColumn id="509" xr3:uid="{AFC8CD19-3A74-477F-B726-008738A91E72}" name="Column509"/>
    <tableColumn id="510" xr3:uid="{BB607D45-FA68-48C5-B7ED-25EE321C686C}" name="Column510"/>
    <tableColumn id="511" xr3:uid="{283D6AFB-E0CD-4155-8053-B3F7C5221C03}" name="Column511"/>
    <tableColumn id="512" xr3:uid="{ABD4F5E8-3B6A-484A-B886-30AE49805F87}" name="Column512"/>
    <tableColumn id="513" xr3:uid="{12C391B4-77F8-4064-B023-F98BE76C0BDD}" name="Column513"/>
    <tableColumn id="514" xr3:uid="{D10D5EF0-E477-45A8-A353-504F24451F99}" name="Column514"/>
    <tableColumn id="515" xr3:uid="{CEFCA3B1-5700-4FCA-8FE2-75288A87A526}" name="Column515"/>
    <tableColumn id="516" xr3:uid="{BE852ED3-00C9-4B7F-BDFE-1C79C6D0D0DB}" name="Column516"/>
    <tableColumn id="517" xr3:uid="{48B04696-8EA7-48EA-A94D-1594859BBD68}" name="Column517"/>
    <tableColumn id="518" xr3:uid="{5CA1117E-371D-45E9-A333-641B1144DDEF}" name="Column518"/>
    <tableColumn id="519" xr3:uid="{0C95FBDE-4BB5-455F-9730-DAF7307CD97C}" name="Column519"/>
    <tableColumn id="520" xr3:uid="{F2113620-5211-4795-A6B7-2F5DACE6DEBF}" name="Column520"/>
    <tableColumn id="521" xr3:uid="{C8C748D6-63E6-4368-8224-0BA4BC0752CC}" name="Column521"/>
    <tableColumn id="522" xr3:uid="{C829D4AA-D286-4A94-8DCE-CA2DD28B47FC}" name="Column522"/>
    <tableColumn id="523" xr3:uid="{136FE64E-F4C9-4280-B51A-4F0EA2432E76}" name="Column523"/>
    <tableColumn id="524" xr3:uid="{DA6D1A64-A22B-4A1A-A638-2BEA1EE7B094}" name="Column524"/>
    <tableColumn id="525" xr3:uid="{69439ACE-6504-43E6-85DA-60A5776F342E}" name="Column525"/>
    <tableColumn id="526" xr3:uid="{02A91D01-D123-4F00-A921-06E7B463F328}" name="Column526"/>
    <tableColumn id="527" xr3:uid="{002F76F8-A770-4ECE-BDC6-599F41AB3643}" name="Column527"/>
    <tableColumn id="528" xr3:uid="{0F883D86-6409-49BF-ACB7-38A6C8CC95FB}" name="Column528"/>
    <tableColumn id="529" xr3:uid="{02E51DC2-49FD-4D8B-96B5-012BC012B8AD}" name="Column529"/>
    <tableColumn id="530" xr3:uid="{57F7097D-CA04-44F8-9975-DC50DCD5D74C}" name="Column530"/>
    <tableColumn id="531" xr3:uid="{9704FC86-D95F-4134-B1FB-200069CA72D9}" name="Column531"/>
    <tableColumn id="532" xr3:uid="{18BDF1E1-3F50-4CA2-A331-BB840D7F4D23}" name="Column532"/>
    <tableColumn id="533" xr3:uid="{3751208A-D0AE-4DE1-9386-169CFCDA1EF1}" name="Column533"/>
    <tableColumn id="534" xr3:uid="{7272CF1D-4F6E-4C3B-B4E7-50DB9ED11C73}" name="Column534"/>
    <tableColumn id="535" xr3:uid="{D55BF9CB-D8DD-4EA7-B5E6-1D48F754BD0D}" name="Column535"/>
    <tableColumn id="536" xr3:uid="{69CC3083-5D81-4BB6-98FE-73F73F39428C}" name="Column536"/>
    <tableColumn id="537" xr3:uid="{FE9EE487-FD3D-4E7A-9F84-3186FAE2E0FD}" name="Column537"/>
    <tableColumn id="538" xr3:uid="{ABA2E123-DB64-4506-ACDD-70D14825B2C9}" name="Column538"/>
    <tableColumn id="539" xr3:uid="{25A9D369-27E9-40D2-96B6-00ABED0B72B3}" name="Column539"/>
    <tableColumn id="540" xr3:uid="{32940312-8033-4ECC-B404-A61F63FC19ED}" name="Column540"/>
    <tableColumn id="541" xr3:uid="{D8293423-83CC-4EA5-9062-2645DCC2DA2F}" name="Column541"/>
    <tableColumn id="542" xr3:uid="{FB229432-90E0-4EDB-A937-434FE7BA2E91}" name="Column542"/>
    <tableColumn id="543" xr3:uid="{5E5AD651-30D4-4C4F-A3E8-65E2D3CEA341}" name="Column543"/>
    <tableColumn id="544" xr3:uid="{B929A5DC-2AEA-4600-B28D-298F6CB0C463}" name="Column544"/>
    <tableColumn id="545" xr3:uid="{5AF84CBF-1370-4D71-8F96-BEC284F9D86D}" name="Column545"/>
    <tableColumn id="546" xr3:uid="{D971D314-F0D2-48E0-ACA1-F2DDB16667F1}" name="Column546"/>
    <tableColumn id="547" xr3:uid="{5F5A5537-472B-4801-9108-B5395C781BA4}" name="Column547"/>
    <tableColumn id="548" xr3:uid="{22BA2092-64B2-4BB3-918E-7C2C2F278451}" name="Column548"/>
    <tableColumn id="549" xr3:uid="{012770DA-2056-4CFA-945D-48A7D49088DB}" name="Column549"/>
    <tableColumn id="550" xr3:uid="{B127AA51-037E-4F4C-843E-A0B4261765F0}" name="Column550"/>
    <tableColumn id="551" xr3:uid="{06FFA16C-A714-49CA-AC1B-DDA376CD694E}" name="Column551"/>
    <tableColumn id="552" xr3:uid="{51DF4CEA-70D2-4870-9849-6AA51FBFC917}" name="Column552"/>
    <tableColumn id="553" xr3:uid="{71F22D67-F31A-4343-8A18-3A5F77C3517C}" name="Column553"/>
    <tableColumn id="554" xr3:uid="{AE7E7C22-AAB7-41BF-98E2-D72FDC1F597C}" name="Column554"/>
    <tableColumn id="555" xr3:uid="{D40DBD2E-EE6C-45DC-BAEE-354DF550F054}" name="Column555"/>
    <tableColumn id="556" xr3:uid="{6FF2F0F9-B85A-44F9-8AD6-891C2F99134E}" name="Column556"/>
    <tableColumn id="557" xr3:uid="{30849135-1F95-4489-BE72-93C712D8D155}" name="Column557"/>
    <tableColumn id="558" xr3:uid="{5C957D5F-3829-4877-BDBC-9E6930A33300}" name="Column558"/>
    <tableColumn id="559" xr3:uid="{2444E9C1-ADD3-4973-8A11-02B6C680655D}" name="Column559"/>
    <tableColumn id="560" xr3:uid="{90E3BB34-E4C0-45D7-AAA6-595D5741FA37}" name="Column560"/>
    <tableColumn id="561" xr3:uid="{B474EC98-ECB2-467C-8620-1115E59D5D60}" name="Column561"/>
    <tableColumn id="562" xr3:uid="{5E10F24F-76A3-4B2D-A7B0-8D65BB2EB0A1}" name="Column562"/>
    <tableColumn id="563" xr3:uid="{A3F1ADDC-09FD-4368-B369-43703717C1FD}" name="Column563"/>
    <tableColumn id="564" xr3:uid="{728FD5D0-9140-4435-83D3-8909D154FFD7}" name="Column564"/>
    <tableColumn id="565" xr3:uid="{00902B12-6249-4678-AE11-E5ED66D83AB4}" name="Column565"/>
    <tableColumn id="566" xr3:uid="{2ACB9751-C4E9-41C4-88B5-940DB7894B58}" name="Column566"/>
    <tableColumn id="567" xr3:uid="{16089D2F-84D6-4593-82A1-221702731DA2}" name="Column567"/>
    <tableColumn id="568" xr3:uid="{75B99BAA-461E-49D5-B4FD-82606A77FCB1}" name="Column568"/>
    <tableColumn id="569" xr3:uid="{9E86397D-E479-4AC9-ADFD-480B97823980}" name="Column569"/>
    <tableColumn id="570" xr3:uid="{A89C407B-ED90-427C-A503-53DD9AE8B399}" name="Column570"/>
    <tableColumn id="571" xr3:uid="{7639958E-2138-4FA3-9333-5EB4AD614274}" name="Column571"/>
    <tableColumn id="572" xr3:uid="{A5B104DA-8351-4896-B961-DE38A7403360}" name="Column572"/>
    <tableColumn id="573" xr3:uid="{A0F7EAAB-3A5D-4EF6-83C2-452608C359A0}" name="Column573"/>
    <tableColumn id="574" xr3:uid="{C34AD812-B0F1-47B2-95F4-DFEC16645D9B}" name="Column574"/>
    <tableColumn id="575" xr3:uid="{561DEF58-1784-40EE-A73A-990B3BEC6B94}" name="Column575"/>
    <tableColumn id="576" xr3:uid="{A8A1A99B-E029-44A0-8698-B04ED0FF1D4E}" name="Column576"/>
    <tableColumn id="577" xr3:uid="{EE7D41CE-29D1-4CC4-A611-B431CF7E6A27}" name="Column577"/>
    <tableColumn id="578" xr3:uid="{87B5145F-5D3D-46FB-9223-9926C2BB5083}" name="Column578"/>
    <tableColumn id="579" xr3:uid="{DEDCD20F-B90F-4F6A-9C46-70875D86766A}" name="Column579"/>
    <tableColumn id="580" xr3:uid="{F528BEB4-2A40-4CC6-AF08-93AAB0E6176A}" name="Column580"/>
    <tableColumn id="581" xr3:uid="{CA7D5981-5AE8-46FE-B495-315094631D6E}" name="Column581"/>
    <tableColumn id="582" xr3:uid="{EA2C29CD-2DB4-449B-A8FE-BA784E951E9A}" name="Column582"/>
    <tableColumn id="583" xr3:uid="{1561D00D-9AEA-418C-9D0A-9D57044647A3}" name="Column583"/>
    <tableColumn id="584" xr3:uid="{C25A3501-59EA-4A58-AD43-D8EE4E97206E}" name="Column584"/>
    <tableColumn id="585" xr3:uid="{830B08DD-B8BD-4E1D-9545-7E4A59E7DBDA}" name="Column585"/>
    <tableColumn id="586" xr3:uid="{9307302D-6230-4767-9753-D77236711A30}" name="Column586"/>
    <tableColumn id="587" xr3:uid="{1422E254-2537-4713-B5FA-29F3B574A2D5}" name="Column587"/>
    <tableColumn id="588" xr3:uid="{34FE0285-5291-483E-88C8-6BBD8289E24A}" name="Column588"/>
    <tableColumn id="589" xr3:uid="{E0E0D7ED-B7C2-4A42-A009-33A1766BFF2C}" name="Column589"/>
    <tableColumn id="590" xr3:uid="{4A2EE37D-A7A7-4370-81FF-455930BA9A00}" name="Column590"/>
    <tableColumn id="591" xr3:uid="{F3DE3311-D81E-42B5-ABFB-39F3CFA418B1}" name="Column591"/>
    <tableColumn id="592" xr3:uid="{7020A51E-A188-4695-9347-B4F027F6419E}" name="Column592"/>
    <tableColumn id="593" xr3:uid="{438E8403-7120-4CA2-8F5D-693FF34369B0}" name="Column593"/>
    <tableColumn id="594" xr3:uid="{A5E48200-8BD1-42E5-8993-736158BEBD3A}" name="Column594"/>
    <tableColumn id="595" xr3:uid="{1404513D-13AD-4A89-8D78-E24431F26208}" name="Column595"/>
    <tableColumn id="596" xr3:uid="{B17359D9-37BA-4C10-85FF-CE6CC186633E}" name="Column596"/>
    <tableColumn id="597" xr3:uid="{D9A2E40D-43AA-4545-B30F-14577CDD7AAB}" name="Column597"/>
    <tableColumn id="598" xr3:uid="{101DBBED-5720-4F8A-ACD3-B8CF54313808}" name="Column598"/>
    <tableColumn id="599" xr3:uid="{FABEF5B8-A6AD-4953-B3AE-74A600197430}" name="Column599"/>
    <tableColumn id="600" xr3:uid="{5C2868E3-F303-464F-9587-E0B8CF29A5B8}" name="Column600"/>
    <tableColumn id="601" xr3:uid="{6E043924-CECC-4F7F-994F-310689D69C13}" name="Column601"/>
    <tableColumn id="602" xr3:uid="{8BD1E684-356E-44E6-9FD2-98226FBC0105}" name="Column602"/>
    <tableColumn id="603" xr3:uid="{86EE2D75-57C4-422E-BA7A-976644153C4A}" name="Column603"/>
    <tableColumn id="604" xr3:uid="{22087A2E-CAA8-4B0A-8455-BC36B39A6E51}" name="Column604"/>
    <tableColumn id="605" xr3:uid="{0AF45366-EB6F-4ACE-A763-ED54E92C2789}" name="Column605"/>
    <tableColumn id="606" xr3:uid="{2B9F1CFA-0B7A-4CC3-A755-C0241A5701CB}" name="Column606"/>
    <tableColumn id="607" xr3:uid="{B4AC92B3-EA11-4E5F-A0C0-515692422357}" name="Column607"/>
    <tableColumn id="608" xr3:uid="{07DB69A7-DA91-4CF7-9F8D-90F88EA8D01D}" name="Column608"/>
    <tableColumn id="609" xr3:uid="{E5B02975-AA77-4F36-AF4C-7EB4C819CD06}" name="Column609"/>
    <tableColumn id="610" xr3:uid="{171E7406-1815-4EB4-97BA-EE63A81BA168}" name="Column610"/>
    <tableColumn id="611" xr3:uid="{C56791FC-A805-4A39-A329-85A47F6D899A}" name="Column611"/>
    <tableColumn id="612" xr3:uid="{AAB66B44-8B6B-4595-946A-7B64DD397AC8}" name="Column612"/>
    <tableColumn id="613" xr3:uid="{CF871F19-EE56-4BFA-BDD0-DD3E81F44343}" name="Column613"/>
    <tableColumn id="614" xr3:uid="{6ED875C3-9634-46AA-A1C9-1488D48A10D8}" name="Column614"/>
    <tableColumn id="615" xr3:uid="{0F66C54F-1E31-480B-BD60-9A2F60C45897}" name="Column615"/>
    <tableColumn id="616" xr3:uid="{529C907F-18F3-4444-A6A9-849BFED4E2D5}" name="Column616"/>
    <tableColumn id="617" xr3:uid="{E241B731-E2E2-49E4-B967-9D425DCE9A81}" name="Column617"/>
    <tableColumn id="618" xr3:uid="{DC51B408-9AE2-4F21-8997-163B640FA112}" name="Column618"/>
    <tableColumn id="619" xr3:uid="{05CF49FF-A1C5-4B4B-831A-B6F9BAB26904}" name="Column619"/>
    <tableColumn id="620" xr3:uid="{4797E36A-F081-433F-B097-88A0DD193EF9}" name="Column620"/>
    <tableColumn id="621" xr3:uid="{D6418CC9-415A-4095-B9E4-62D378E837F6}" name="Column621"/>
    <tableColumn id="622" xr3:uid="{5C7251F7-C8F5-4B6D-9B26-13E1D936FF7F}" name="Column622"/>
    <tableColumn id="623" xr3:uid="{90127CB4-75C3-4C48-9097-FC6D19A43BE1}" name="Column623"/>
    <tableColumn id="624" xr3:uid="{43D38B16-EE1C-469D-AB87-E0BF29A82B58}" name="Column624"/>
    <tableColumn id="625" xr3:uid="{2D95EC96-8A02-4B50-8B4E-8C21AC7A1721}" name="Column625"/>
    <tableColumn id="626" xr3:uid="{711CC4AF-6CB5-4AFA-8627-1406B6A37BFF}" name="Column626"/>
    <tableColumn id="627" xr3:uid="{6DFA2BD8-24DD-4FD3-9ED2-804EE622CE90}" name="Column627"/>
    <tableColumn id="628" xr3:uid="{37466EC3-4FCE-4B02-99B7-7B2DD181BE84}" name="Column628"/>
    <tableColumn id="629" xr3:uid="{FFB875A2-240A-44DC-A922-FCB1E6E993D2}" name="Column629"/>
    <tableColumn id="630" xr3:uid="{20CCE3C1-3180-406C-A546-6DB75D5B864C}" name="Column630"/>
    <tableColumn id="631" xr3:uid="{8FB8E277-E6E1-49B4-9EE3-ACC637742486}" name="Column631"/>
    <tableColumn id="632" xr3:uid="{D9BFE361-DE85-470C-9588-9B4CED1155BF}" name="Column632"/>
    <tableColumn id="633" xr3:uid="{3FDABF36-93F1-4B30-BC75-E2123BEEE8B8}" name="Column633"/>
    <tableColumn id="634" xr3:uid="{00E25EAD-5201-409F-A693-92981CB46B9D}" name="Column634"/>
    <tableColumn id="635" xr3:uid="{985D727C-5676-4EA4-84FA-BC3496046A8A}" name="Column635"/>
    <tableColumn id="636" xr3:uid="{1CCBA689-BF3F-4072-9927-80382BAAA6CC}" name="Column636"/>
    <tableColumn id="637" xr3:uid="{D0F509C4-9DC0-48E8-9A6D-A316A1E6A21B}" name="Column637"/>
    <tableColumn id="638" xr3:uid="{4CE3340E-B856-4AFC-A5EA-B4D3578EBF02}" name="Column638"/>
    <tableColumn id="639" xr3:uid="{942F1B59-45AD-45F2-A891-33DC5D6CC0AF}" name="Column639"/>
    <tableColumn id="640" xr3:uid="{BA977E62-DF55-4442-B5F1-2BC54A01D91B}" name="Column640"/>
    <tableColumn id="641" xr3:uid="{CAB73425-65F4-4E32-B040-8081211A12E0}" name="Column641"/>
    <tableColumn id="642" xr3:uid="{A850A7F3-FAC0-4FB4-B313-66F7B71051A2}" name="Column642"/>
    <tableColumn id="643" xr3:uid="{CE2AE866-1D72-4893-AFEF-27460C3F43F0}" name="Column643"/>
    <tableColumn id="644" xr3:uid="{A5CECFB4-F7F3-4CCF-85BB-90F8CE4D48FB}" name="Column644"/>
    <tableColumn id="645" xr3:uid="{03CFA82C-02CB-4F93-A4BA-F161C6FB2710}" name="Column645"/>
    <tableColumn id="646" xr3:uid="{89C4DBAB-B982-40F0-B6DB-6BE1934CEF23}" name="Column646"/>
    <tableColumn id="647" xr3:uid="{FB36E917-FC83-4126-B388-72483CB0F041}" name="Column647"/>
    <tableColumn id="648" xr3:uid="{2F795A63-C57B-409F-B000-15F20EF1AB93}" name="Column648"/>
    <tableColumn id="649" xr3:uid="{8435CE47-4B24-48EF-AF78-A87732DE2547}" name="Column649"/>
    <tableColumn id="650" xr3:uid="{B78C743A-8DD7-45B7-8BD4-652712B61434}" name="Column650"/>
    <tableColumn id="651" xr3:uid="{ABC216B4-1A81-4A17-9DEB-CCD9AA2A0A6F}" name="Column651"/>
    <tableColumn id="652" xr3:uid="{C3AE9E4C-EE2A-4701-9B2F-81417E684768}" name="Column652"/>
    <tableColumn id="653" xr3:uid="{D2148CD4-B7D3-477E-BF4B-9BB777D56192}" name="Column653"/>
    <tableColumn id="654" xr3:uid="{F54D9610-6390-439F-86E0-18A3C9FB2A4F}" name="Column654"/>
    <tableColumn id="655" xr3:uid="{4A55A61D-4B3F-45ED-81A7-7969696B49B3}" name="Column655"/>
    <tableColumn id="656" xr3:uid="{465C6B38-0F68-49DD-B927-C1578138A5ED}" name="Column656"/>
    <tableColumn id="657" xr3:uid="{6282E8A6-C91A-4633-B1E1-BE071A87BAF8}" name="Column657"/>
    <tableColumn id="658" xr3:uid="{DD12856A-9D6E-43FC-BF91-BBA394BD9F03}" name="Column658"/>
    <tableColumn id="659" xr3:uid="{173E84CF-446A-4108-84CC-4398D50970B3}" name="Column659"/>
    <tableColumn id="660" xr3:uid="{D1AF8250-21FA-4FD1-BFAD-B86F8112A771}" name="Column660"/>
    <tableColumn id="661" xr3:uid="{BF7B100A-6D38-4293-BE3E-B701C28C1C10}" name="Column661"/>
    <tableColumn id="662" xr3:uid="{E803FAB6-9771-4887-9673-56F146E59846}" name="Column662"/>
    <tableColumn id="663" xr3:uid="{77883F38-A460-4CF9-8AC0-824097EA2463}" name="Column663"/>
    <tableColumn id="664" xr3:uid="{FCC454F5-5F91-45EF-B6BD-074D1346E9E3}" name="Column664"/>
    <tableColumn id="665" xr3:uid="{3F1DA097-C165-432F-9645-7F99F5D2EC6D}" name="Column665"/>
    <tableColumn id="666" xr3:uid="{7533F7BA-6B50-4229-9965-C918A1731328}" name="Column666"/>
    <tableColumn id="667" xr3:uid="{686D7FA8-3203-42ED-835C-1FC953575F99}" name="Column667"/>
    <tableColumn id="668" xr3:uid="{882C9277-67E9-4238-9BC8-41460F575FE5}" name="Column668"/>
    <tableColumn id="669" xr3:uid="{5ACA58B0-BF62-430E-87AF-BE3058794D10}" name="Column669"/>
    <tableColumn id="670" xr3:uid="{8F36D00E-CE86-4616-BEB7-E04EB93F1331}" name="Column670"/>
    <tableColumn id="671" xr3:uid="{46022C5D-B036-4837-8077-39A2EE527172}" name="Column671"/>
    <tableColumn id="672" xr3:uid="{CB4D4640-88E9-49F9-B488-1893A3254FC6}" name="Column672"/>
    <tableColumn id="673" xr3:uid="{FB29143B-2840-45B8-B158-2FB73F43D226}" name="Column673"/>
    <tableColumn id="674" xr3:uid="{8CA18FD4-CC83-4E67-AFB6-E90236F32DD7}" name="Column674"/>
    <tableColumn id="675" xr3:uid="{277A9C97-7F54-4AA5-990B-49A2563FF55A}" name="Column675"/>
    <tableColumn id="676" xr3:uid="{64CD7538-F0A0-4A8F-A907-39437D201C95}" name="Column676"/>
    <tableColumn id="677" xr3:uid="{3D0F11B6-8235-4EFF-9463-DD51308369D8}" name="Column677"/>
    <tableColumn id="678" xr3:uid="{569EB357-A44E-41A7-80DB-812103970189}" name="Column678"/>
    <tableColumn id="679" xr3:uid="{AA148A2C-8B5C-4677-B20D-736405501D57}" name="Column679"/>
    <tableColumn id="680" xr3:uid="{C4C3F590-FB87-4289-8858-67A973EDFCA3}" name="Column680"/>
    <tableColumn id="681" xr3:uid="{16A29D9A-7046-4391-A5F8-F05BD1DEEA56}" name="Column681"/>
    <tableColumn id="682" xr3:uid="{A387189B-28F1-43E1-A49E-FA9C21A85E27}" name="Column682"/>
    <tableColumn id="683" xr3:uid="{3968F950-5341-4049-9FBD-B9EC08919FBC}" name="Column683"/>
    <tableColumn id="684" xr3:uid="{0C3EBC24-5300-4C7C-8287-46A7DBAAF7F9}" name="Column684"/>
    <tableColumn id="685" xr3:uid="{CBE7E61A-A180-4571-BC0D-88A9159D2329}" name="Column685"/>
    <tableColumn id="686" xr3:uid="{130A75A7-8017-43A2-A2E4-C1346BD7599B}" name="Column686"/>
    <tableColumn id="687" xr3:uid="{1F787253-7911-4238-B971-2D606D9C056E}" name="Column687"/>
    <tableColumn id="688" xr3:uid="{5E7641C3-7914-421A-9E44-E8AC8BB2DE5B}" name="Column688"/>
    <tableColumn id="689" xr3:uid="{A1F17519-5804-42EF-80CF-CE45706F5AA7}" name="Column689"/>
    <tableColumn id="690" xr3:uid="{6E7710F1-8413-477C-9E9B-C8A7B30EB40A}" name="Column690"/>
    <tableColumn id="691" xr3:uid="{912BF936-1591-4B78-85DC-236299F3B796}" name="Column691"/>
    <tableColumn id="692" xr3:uid="{18190457-8453-43F7-B742-210315D6B505}" name="Column692"/>
    <tableColumn id="693" xr3:uid="{803081C6-0AA6-4F31-A6F9-F0BEF639E3B8}" name="Column693"/>
    <tableColumn id="694" xr3:uid="{D82B3531-03A8-4610-8551-4B0EEE42A4E6}" name="Column694"/>
    <tableColumn id="695" xr3:uid="{1DC247CD-C0BF-4CC8-9191-EFBED22A3B92}" name="Column695"/>
    <tableColumn id="696" xr3:uid="{065E73BF-E15E-4F22-900D-5973D89CA42A}" name="Column696"/>
    <tableColumn id="697" xr3:uid="{4EBDF5D7-CBEB-4EE0-A93E-93C2C1A7CD8B}" name="Column697"/>
    <tableColumn id="698" xr3:uid="{EC4E92A7-E062-4C6B-A30F-46ACA158594C}" name="Column698"/>
    <tableColumn id="699" xr3:uid="{953BBBC7-6FFF-44B2-8DCA-895486976E08}" name="Column699"/>
    <tableColumn id="700" xr3:uid="{988E7FE5-1E58-4334-87D5-2CB5526E1360}" name="Column700"/>
    <tableColumn id="701" xr3:uid="{5C4022B8-0D6D-4464-B9EC-B570F612D7E2}" name="Column701"/>
    <tableColumn id="702" xr3:uid="{003A118B-509A-439B-B1E2-4FEF9C98B9A4}" name="Column702"/>
    <tableColumn id="703" xr3:uid="{89C38882-B67B-47FC-AFD4-83E04C5D8386}" name="Column703"/>
    <tableColumn id="704" xr3:uid="{CC4D3909-1AD4-4E9E-A6B5-24A7F0935ACA}" name="Column704"/>
    <tableColumn id="705" xr3:uid="{EDCDF3A6-DF55-44C3-B7C8-A43B58FA93AB}" name="Column705"/>
    <tableColumn id="706" xr3:uid="{EFA59B07-9E97-4014-B605-18623EB2E0FE}" name="Column706"/>
    <tableColumn id="707" xr3:uid="{FDFFE360-CFCB-4ED7-8562-E59FAC25521E}" name="Column707"/>
    <tableColumn id="708" xr3:uid="{C7F5AF5D-2769-465A-BC8B-29CB71C8A067}" name="Column708"/>
    <tableColumn id="709" xr3:uid="{74C60F47-9E1A-429B-9E51-97A95C0DFEE5}" name="Column709"/>
    <tableColumn id="710" xr3:uid="{1BB90345-793C-4C99-B766-78F9CC914026}" name="Column710"/>
    <tableColumn id="711" xr3:uid="{0C0A0162-2931-4EB7-AB83-3C3215DE71D5}" name="Column711"/>
    <tableColumn id="712" xr3:uid="{594751EA-7BC5-46B3-9513-8C53945A8E7F}" name="Column712"/>
    <tableColumn id="713" xr3:uid="{D74251BA-7531-45FC-8E07-5B065528EDFA}" name="Column713"/>
    <tableColumn id="714" xr3:uid="{A2148C45-FAC8-400B-B7C0-2995003F9610}" name="Column714"/>
    <tableColumn id="715" xr3:uid="{E4BCC84E-4B5A-4E1F-A075-94682FB6ED35}" name="Column715"/>
    <tableColumn id="716" xr3:uid="{2BC6769A-40EE-462A-AEEA-7B76A57BE9DB}" name="Column716"/>
    <tableColumn id="717" xr3:uid="{69EDB7E7-57E6-4D89-9CF1-3E96C9272115}" name="Column717"/>
    <tableColumn id="718" xr3:uid="{36B7F1C5-4A86-4BAF-8710-84866D61ADEC}" name="Column718"/>
    <tableColumn id="719" xr3:uid="{C007C6C5-0ADA-4B46-8D20-E358691F1E6C}" name="Column719"/>
    <tableColumn id="720" xr3:uid="{D032F407-8DE4-4B60-A0BE-24146B807265}" name="Column720"/>
    <tableColumn id="721" xr3:uid="{F13B2724-9700-4E04-8715-3F986A507DFB}" name="Column721"/>
    <tableColumn id="722" xr3:uid="{3AFEE74B-70E3-4E1F-8984-01D78CCB52BE}" name="Column722"/>
    <tableColumn id="723" xr3:uid="{94CD728A-095B-4D2B-9E64-AEEBB6BCBC09}" name="Column723"/>
    <tableColumn id="724" xr3:uid="{650847BB-A35F-4A62-AC0E-52327A94613D}" name="Column724"/>
    <tableColumn id="725" xr3:uid="{C1253D0D-356A-4332-B79E-7CA7A153271D}" name="Column725"/>
    <tableColumn id="726" xr3:uid="{1E6CC9E8-AB36-431B-99E9-91523FF6BBFF}" name="Column726"/>
    <tableColumn id="727" xr3:uid="{2C33D927-7442-44B0-A8DF-B821F8FE42BC}" name="Column727"/>
    <tableColumn id="728" xr3:uid="{5B5926F1-7C25-4223-9F52-2E3C4C040A21}" name="Column728"/>
    <tableColumn id="729" xr3:uid="{532E290F-A141-4700-A0B2-F9E1BB94179B}" name="Column729"/>
    <tableColumn id="730" xr3:uid="{DC746763-2463-478E-95B7-D5FC0AE83008}" name="Column730"/>
    <tableColumn id="731" xr3:uid="{63FDAC9B-D73B-405B-8EB9-08142BDE19B7}" name="Column731"/>
    <tableColumn id="732" xr3:uid="{2A27B82F-7D80-453C-ABFB-1C5B9A5BB398}" name="Column732"/>
    <tableColumn id="733" xr3:uid="{63358E7A-844C-49E3-8773-829A4A8B765C}" name="Column733"/>
    <tableColumn id="734" xr3:uid="{75CF0740-DD16-4F1E-988A-351E7744F6D7}" name="Column734"/>
    <tableColumn id="735" xr3:uid="{52B6D1F0-588C-45D2-82E6-CC757695967E}" name="Column735"/>
    <tableColumn id="736" xr3:uid="{A1D97FEA-0413-4857-AC7A-5F4D1D889721}" name="Column736"/>
    <tableColumn id="737" xr3:uid="{535ADFB8-ADA9-4BF3-942D-A273A222022A}" name="Column737"/>
    <tableColumn id="738" xr3:uid="{B96215CD-81CA-4122-A24A-25A2BB97A06A}" name="Column738"/>
    <tableColumn id="739" xr3:uid="{E44E9400-E043-40D6-BA6B-2523BAE51A97}" name="Column739"/>
    <tableColumn id="740" xr3:uid="{0D829E87-8CBD-41E5-ADB9-FBF0C2BE90DA}" name="Column740"/>
    <tableColumn id="741" xr3:uid="{971A2C0C-7C69-4255-BB71-762CE01BFC14}" name="Column741"/>
    <tableColumn id="742" xr3:uid="{AE217D93-53B5-4156-AE72-ED83B96D28F2}" name="Column742"/>
    <tableColumn id="743" xr3:uid="{BACD8564-42C2-4C14-A152-519D987F461C}" name="Column743"/>
    <tableColumn id="744" xr3:uid="{2E50F9CB-134C-4121-88D8-BA3178EFF8D6}" name="Column744"/>
    <tableColumn id="745" xr3:uid="{5C50A161-7684-402B-B7BD-6B4A6BC01238}" name="Column745"/>
    <tableColumn id="746" xr3:uid="{415530EA-7EE1-4D68-B636-41FE517FCDD2}" name="Column746"/>
    <tableColumn id="747" xr3:uid="{A941A87C-F69A-49FA-92E8-D6548696B20A}" name="Column747"/>
    <tableColumn id="748" xr3:uid="{8D3FADA7-4405-4509-83BC-76EAD7D000DA}" name="Column748"/>
    <tableColumn id="749" xr3:uid="{2EB20E50-857A-43F8-A365-BDA3F0D52392}" name="Column749"/>
    <tableColumn id="750" xr3:uid="{8BA8AA06-270C-4F67-A844-901E55C16BF1}" name="Column750"/>
    <tableColumn id="751" xr3:uid="{765427AC-A219-473C-8010-1056A869CF48}" name="Column751"/>
    <tableColumn id="752" xr3:uid="{E1307D5E-48D0-407E-BFB4-0071D4048BF7}" name="Column752"/>
    <tableColumn id="753" xr3:uid="{D982B509-EF81-4D90-97C6-D2CCA61E1A7C}" name="Column753"/>
    <tableColumn id="754" xr3:uid="{76A53E4C-2424-4C09-8AC5-02D02D6F9ABE}" name="Column754"/>
    <tableColumn id="755" xr3:uid="{C3E213A4-6F85-4C6B-82FE-9456BF0AE438}" name="Column755"/>
    <tableColumn id="756" xr3:uid="{FC8C4FFA-F940-44A9-88F6-F7C0A7957A00}" name="Column756"/>
    <tableColumn id="757" xr3:uid="{75FFB2EC-D6AA-41D1-BA52-736FFB0230BE}" name="Column757"/>
    <tableColumn id="758" xr3:uid="{E14E52C3-694A-4D19-99C1-40429ADE6C75}" name="Column758"/>
    <tableColumn id="759" xr3:uid="{85C82BCE-1D54-47FB-8B18-0012E94107B9}" name="Column759"/>
    <tableColumn id="760" xr3:uid="{2F7C62D7-6A11-4D69-A863-9A40F98547AA}" name="Column760"/>
    <tableColumn id="761" xr3:uid="{97A4D119-8F98-4EDA-88A4-291AB9A69DCA}" name="Column761"/>
    <tableColumn id="762" xr3:uid="{9FF19A7F-2787-4D25-9987-8A9958982C47}" name="Column762"/>
    <tableColumn id="763" xr3:uid="{B47F4BB5-B9A1-434E-8FE8-AC86573F554D}" name="Column763"/>
    <tableColumn id="764" xr3:uid="{2D87B42C-2FC5-475B-AB98-CE27812DAC10}" name="Column764"/>
    <tableColumn id="765" xr3:uid="{B2AC7B35-9D71-4BAB-8557-8DB77E06EA6C}" name="Column765"/>
    <tableColumn id="766" xr3:uid="{27356571-C71B-4CF7-B051-DF9EEED6CDF6}" name="Column766"/>
    <tableColumn id="767" xr3:uid="{E9AED8CE-1B4E-4978-A8AF-9190025230C5}" name="Column767"/>
    <tableColumn id="768" xr3:uid="{9D7CFC27-9545-4C53-A14C-D6CD6DC61FE3}" name="Column768"/>
    <tableColumn id="769" xr3:uid="{306B55C7-7375-403B-913D-8288D96A9B2E}" name="Column769"/>
    <tableColumn id="770" xr3:uid="{03E881D1-CE0C-4CA3-B68D-0F4130DB45A5}" name="Column770"/>
    <tableColumn id="771" xr3:uid="{63B9EE86-FD5A-4DAD-8552-2B0179C092AF}" name="Column771"/>
    <tableColumn id="772" xr3:uid="{BD94CF3E-5714-4B21-A679-770A05720869}" name="Column772"/>
    <tableColumn id="773" xr3:uid="{E5133592-558D-4F1D-BAD4-A15661D14678}" name="Column773"/>
    <tableColumn id="774" xr3:uid="{4729DAF0-74C9-471E-B777-9B8ECA2455E7}" name="Column774"/>
    <tableColumn id="775" xr3:uid="{ADB80CDA-1585-44C1-ADAF-CD27E3F690B6}" name="Column775"/>
    <tableColumn id="776" xr3:uid="{E7FD8959-B14C-43A9-94D1-50C77EFF6090}" name="Column776"/>
    <tableColumn id="777" xr3:uid="{56B215B5-B725-45A5-AA71-105CA5BAD757}" name="Column777"/>
    <tableColumn id="778" xr3:uid="{5ADC9FF4-AA1E-4951-9501-EBAFBE580336}" name="Column778"/>
    <tableColumn id="779" xr3:uid="{31DE0A16-F2A0-4950-B73D-15C6F5080B01}" name="Column779"/>
    <tableColumn id="780" xr3:uid="{9F120357-5DB3-4C81-8C58-153375362226}" name="Column780"/>
    <tableColumn id="781" xr3:uid="{6017F3D7-5107-42F3-A31A-A2D4C53D0981}" name="Column781"/>
    <tableColumn id="782" xr3:uid="{6E7224EF-F21C-4B8C-A47D-7D20EE0CB0C9}" name="Column782"/>
    <tableColumn id="783" xr3:uid="{DF6F365A-869D-4A4F-9FBA-EC58A812B96E}" name="Column783"/>
    <tableColumn id="784" xr3:uid="{F4418659-CBA6-4B56-887E-0777D3706A4E}" name="Column784"/>
    <tableColumn id="785" xr3:uid="{B77DBE96-06DF-4C04-A3DA-C97E1282FF64}" name="Column785"/>
    <tableColumn id="786" xr3:uid="{3CC38C46-99F2-474A-BF28-1E4D99F75638}" name="Column786"/>
    <tableColumn id="787" xr3:uid="{B53D3005-B894-443F-B158-D79B42959F93}" name="Column787"/>
    <tableColumn id="788" xr3:uid="{38D1ECA6-4FB1-43AB-A7C1-6A243B639F08}" name="Column788"/>
    <tableColumn id="789" xr3:uid="{67897149-6A90-4C03-BDC8-4668A14D3A38}" name="Column789"/>
    <tableColumn id="790" xr3:uid="{33B9F1A2-C337-4228-81BA-03CCC5BD978C}" name="Column790"/>
    <tableColumn id="791" xr3:uid="{2F027D61-632A-4818-991F-5EB6EC51D4FD}" name="Column791"/>
    <tableColumn id="792" xr3:uid="{104A6AC5-AE40-4051-8E8C-78FEB7D972F2}" name="Column792"/>
    <tableColumn id="793" xr3:uid="{9AB76BEB-3666-435D-9727-BD72A1EB45AF}" name="Column793"/>
    <tableColumn id="794" xr3:uid="{04D9FC6D-B885-4827-BC97-48D134475BEF}" name="Column794"/>
    <tableColumn id="795" xr3:uid="{44A4031C-D520-4BF6-A9A1-A5803FD05455}" name="Column795"/>
    <tableColumn id="796" xr3:uid="{BA180ED7-CEC3-4D4E-92DA-D04C73DE4A54}" name="Column796"/>
    <tableColumn id="797" xr3:uid="{C162A6DB-F5A9-479F-9B1C-C2059C6688D8}" name="Column797"/>
    <tableColumn id="798" xr3:uid="{73402977-222C-45FD-83A6-CC41D0DD14B2}" name="Column798"/>
    <tableColumn id="799" xr3:uid="{4804E5C1-2C04-4677-B412-2E9276D2D384}" name="Column799"/>
    <tableColumn id="800" xr3:uid="{B93F331A-9A07-4D9C-8CF8-AAA2DC4FC496}" name="Column800"/>
    <tableColumn id="801" xr3:uid="{138D36CC-D91E-456C-9CFB-67FEC928AAA0}" name="Column801"/>
    <tableColumn id="802" xr3:uid="{A07BE67A-3344-498A-9440-19371491AD94}" name="Column802"/>
    <tableColumn id="803" xr3:uid="{E7265729-C632-4791-A74E-68FDA9974546}" name="Column803"/>
    <tableColumn id="804" xr3:uid="{BC46AE99-C320-4703-BAE7-1311CA0876CA}" name="Column804"/>
    <tableColumn id="805" xr3:uid="{D6C0A2B4-AAA7-49D5-A6E2-287DC9A72C58}" name="Column805"/>
    <tableColumn id="806" xr3:uid="{8493E4FA-9DFC-4451-A664-960EE2E97CF8}" name="Column806"/>
    <tableColumn id="807" xr3:uid="{B0E439C6-146B-43AF-856E-68A27A06833A}" name="Column807"/>
    <tableColumn id="808" xr3:uid="{49DDB0ED-1A0B-4D96-A865-C1B0FB96022F}" name="Column808"/>
    <tableColumn id="809" xr3:uid="{01247E1F-AC7D-4135-B137-E79CA047385B}" name="Column809"/>
    <tableColumn id="810" xr3:uid="{F8EB96AB-9BF0-4552-BECC-D18897232B33}" name="Column810"/>
    <tableColumn id="811" xr3:uid="{AB7066C2-8D30-41D1-9BE8-E657F26B6BF8}" name="Column811"/>
    <tableColumn id="812" xr3:uid="{2429147A-665E-4320-955C-A20C37FA1317}" name="Column812"/>
    <tableColumn id="813" xr3:uid="{0FEF2812-C3D3-4547-BFCA-58DE6AC55550}" name="Column813"/>
    <tableColumn id="814" xr3:uid="{82F32326-930E-41E2-9C21-0E389091BBD9}" name="Column814"/>
    <tableColumn id="815" xr3:uid="{C75A5C53-FBBA-4DF8-A826-A80CC9F0BCEE}" name="Column815"/>
    <tableColumn id="816" xr3:uid="{F75F5070-85EC-426E-946C-5723E17A3A2F}" name="Column816"/>
    <tableColumn id="817" xr3:uid="{4751FF7F-1910-433A-817B-C11D549B6A25}" name="Column817"/>
    <tableColumn id="818" xr3:uid="{6012763E-9EEB-4E5B-B068-5124B369F217}" name="Column818"/>
    <tableColumn id="819" xr3:uid="{A832BE44-110F-4D27-B988-44AB406C7C16}" name="Column819"/>
    <tableColumn id="820" xr3:uid="{84C41791-AA2B-4635-B0ED-D92F6F6B495E}" name="Column820"/>
    <tableColumn id="821" xr3:uid="{8F978AE9-97B6-437D-ACAB-743469148F00}" name="Column821"/>
    <tableColumn id="822" xr3:uid="{10350BCE-219C-4708-8A13-5441A8D7EFAE}" name="Column822"/>
    <tableColumn id="823" xr3:uid="{0C12D87C-1145-40D4-9B9B-00F7A1D825EE}" name="Column823"/>
    <tableColumn id="824" xr3:uid="{64BC968C-FAE6-4CC9-AE44-0C5C96676E37}" name="Column824"/>
    <tableColumn id="825" xr3:uid="{7D8A0092-FBA1-4F25-85DF-A365DCC4479E}" name="Column825"/>
    <tableColumn id="826" xr3:uid="{2AAED458-BE72-411A-95F8-D9A172A41C14}" name="Column826"/>
    <tableColumn id="827" xr3:uid="{EA1A91A1-D504-483F-AC09-8D1D5107C4F4}" name="Column827"/>
    <tableColumn id="828" xr3:uid="{F7EB71C3-7E03-4113-95E9-312375A2F419}" name="Column828"/>
    <tableColumn id="829" xr3:uid="{2CFBCF0E-4EAB-47B3-B521-DE657C4C5405}" name="Column829"/>
    <tableColumn id="830" xr3:uid="{A51BE81B-6FE8-4D38-96E7-368FB4CF45CE}" name="Column830"/>
    <tableColumn id="831" xr3:uid="{A0D26B5C-26CE-444E-B58E-B41963720F78}" name="Column831"/>
    <tableColumn id="832" xr3:uid="{6CB310D1-F85A-4228-897E-23779C09DC76}" name="Column832"/>
    <tableColumn id="833" xr3:uid="{88FC9DBC-3104-414B-BD75-2AB3B45A6594}" name="Column833"/>
    <tableColumn id="834" xr3:uid="{E1366E86-EBE7-4BCB-A5D7-DFF6051E33A1}" name="Column834"/>
    <tableColumn id="835" xr3:uid="{9A9B3A61-534C-42BB-BA9B-30449674844B}" name="Column835"/>
    <tableColumn id="836" xr3:uid="{D0D08554-D03D-436B-8A51-6CB7A03491E3}" name="Column836"/>
    <tableColumn id="837" xr3:uid="{5B457445-C70C-469A-A4AC-BD36F68C2820}" name="Column837"/>
    <tableColumn id="838" xr3:uid="{883F5ACB-AFDF-4768-B076-8BFBE6F0EECB}" name="Column838"/>
    <tableColumn id="839" xr3:uid="{DC48747A-45B1-4239-9B49-D2338616199D}" name="Column839"/>
    <tableColumn id="840" xr3:uid="{7E4E9410-0180-47CF-8B81-52CC6F4C9FB4}" name="Column840"/>
    <tableColumn id="841" xr3:uid="{C0ACB150-A8DA-4900-BD26-E04F8A010397}" name="Column841"/>
    <tableColumn id="842" xr3:uid="{27B6C41E-582F-4B86-92A9-242A2AEABE3A}" name="Column842"/>
    <tableColumn id="843" xr3:uid="{81368509-5E61-4C77-B1FF-360ED7DB63A0}" name="Column843"/>
    <tableColumn id="844" xr3:uid="{2B6142B9-D989-4E96-9D19-ACDC311C3A46}" name="Column844"/>
    <tableColumn id="845" xr3:uid="{5E911A3B-6861-4C37-AE60-B5F1E5516AF4}" name="Column845"/>
    <tableColumn id="846" xr3:uid="{CCAF703E-F805-4597-BB71-72B513400B09}" name="Column846"/>
    <tableColumn id="847" xr3:uid="{BB514358-3A43-4BDB-8398-AB77768C533F}" name="Column847"/>
    <tableColumn id="848" xr3:uid="{15306818-9ECE-43E0-A49E-A60D00C50345}" name="Column848"/>
    <tableColumn id="849" xr3:uid="{B844E17C-AC52-4C85-9490-B812FF5B3772}" name="Column849"/>
    <tableColumn id="850" xr3:uid="{F3F7A851-1043-4ACF-B254-6A8621444788}" name="Column850"/>
    <tableColumn id="851" xr3:uid="{7C62F696-4CF7-42EE-BF73-7209798DFCBB}" name="Column851"/>
    <tableColumn id="852" xr3:uid="{C4F014C1-31C4-40BF-A273-CAEF633E5C92}" name="Column852"/>
    <tableColumn id="853" xr3:uid="{CF19D19F-BD08-48B8-929C-D7335E6C61B3}" name="Column853"/>
    <tableColumn id="854" xr3:uid="{3CC8F1AD-7B3A-48E2-B808-F94ACB83407C}" name="Column854"/>
    <tableColumn id="855" xr3:uid="{D705E76A-C1A7-421D-B969-FD01C876D46D}" name="Column855"/>
    <tableColumn id="856" xr3:uid="{C40C8156-AF7A-4158-9837-62BD177778D0}" name="Column856"/>
    <tableColumn id="857" xr3:uid="{D7788FA0-0328-4E2A-B9A0-2E565216F0A1}" name="Column857"/>
    <tableColumn id="858" xr3:uid="{5ADD322B-E227-481A-9674-FE499B274C61}" name="Column858"/>
    <tableColumn id="859" xr3:uid="{A0155536-B692-4AC3-982C-4BA8C3C77A02}" name="Column859"/>
    <tableColumn id="860" xr3:uid="{31860133-077C-477D-B1FF-37768C891AD6}" name="Column860"/>
    <tableColumn id="861" xr3:uid="{78695574-3DBE-433E-A06F-9B8430B645E0}" name="Column861"/>
    <tableColumn id="862" xr3:uid="{FC60BF67-DABE-42CE-856F-2FA5E6389A85}" name="Column862"/>
    <tableColumn id="863" xr3:uid="{3983296F-CF0B-4358-835A-1AA8132E62DC}" name="Column863"/>
    <tableColumn id="864" xr3:uid="{73235BDD-2012-4457-91DD-26696293522A}" name="Column864"/>
    <tableColumn id="865" xr3:uid="{08887B69-4E40-457C-9043-E5A15B1BC618}" name="Column865"/>
    <tableColumn id="866" xr3:uid="{E7D511A0-037F-40C7-842C-1836C4B74654}" name="Column866"/>
    <tableColumn id="867" xr3:uid="{7CA764C9-9770-4ED5-A11F-08FF76C884F0}" name="Column867"/>
    <tableColumn id="868" xr3:uid="{EFF1BED7-3667-4C4F-8414-73B905A09989}" name="Column868"/>
    <tableColumn id="869" xr3:uid="{F6A0A912-8C54-4684-BB74-12376B89C2D3}" name="Column869"/>
    <tableColumn id="870" xr3:uid="{36FC7C09-73B1-45E6-A2CD-C61C5991EB22}" name="Column870"/>
    <tableColumn id="871" xr3:uid="{F6DCCBC2-FD72-48D4-8D4C-AFC2E9908C64}" name="Column871"/>
    <tableColumn id="872" xr3:uid="{EE95D6C4-AE32-454B-AB70-C7FA64E13E0B}" name="Column872"/>
    <tableColumn id="873" xr3:uid="{678819D9-ACBB-4512-A5D7-61C39128D433}" name="Column873"/>
    <tableColumn id="874" xr3:uid="{84A2E781-B2A3-427A-BD66-0BEF1449E070}" name="Column874"/>
    <tableColumn id="875" xr3:uid="{C1F6DB01-7C37-4BB3-B876-F190419CD6D7}" name="Column875"/>
    <tableColumn id="876" xr3:uid="{C832E588-875F-4270-84D2-235FFD13A292}" name="Column876"/>
    <tableColumn id="877" xr3:uid="{D089C54F-AF8B-4455-B5B9-928481C87FA4}" name="Column877"/>
    <tableColumn id="878" xr3:uid="{FCA9F988-3041-46A4-8627-9AE110FB709C}" name="Column878"/>
    <tableColumn id="879" xr3:uid="{819A9818-C48B-4C3C-A861-C6F8338D23F1}" name="Column879"/>
    <tableColumn id="880" xr3:uid="{2DC76E08-F16D-4750-B5F3-E51618EDB84A}" name="Column880"/>
    <tableColumn id="881" xr3:uid="{C28E45A3-B78D-46D3-8577-983BB37153FC}" name="Column881"/>
    <tableColumn id="882" xr3:uid="{C173DEAE-D93A-4EB1-A2F9-548CCDF55CBA}" name="Column882"/>
    <tableColumn id="883" xr3:uid="{E9A4E3DF-A671-4145-A27F-90A38CC30C6D}" name="Column883"/>
    <tableColumn id="884" xr3:uid="{722ED116-B5AA-4AEA-8DF2-3028D0FD660C}" name="Column884"/>
    <tableColumn id="885" xr3:uid="{08A06C12-5E36-4231-8975-F38AD858333D}" name="Column885"/>
    <tableColumn id="886" xr3:uid="{9232DC6C-90C4-4A77-93B7-11CDD7B23977}" name="Column886"/>
    <tableColumn id="887" xr3:uid="{CE2B717F-42B3-4D12-B8F9-B6857C391403}" name="Column887"/>
    <tableColumn id="888" xr3:uid="{4769F7C0-B6F3-40AA-B525-74085EE962BE}" name="Column888"/>
    <tableColumn id="889" xr3:uid="{6932085D-0C9B-4DE1-A72F-4F611FF65161}" name="Column889"/>
    <tableColumn id="890" xr3:uid="{F15E06B3-EBCF-4DF1-801E-BAA4DAF4BF45}" name="Column890"/>
    <tableColumn id="891" xr3:uid="{48CB40E3-DAAD-4E78-BA54-D00FA9F2F091}" name="Column891"/>
    <tableColumn id="892" xr3:uid="{101A029A-371A-4738-83DF-E1CF3FC04FE0}" name="Column892"/>
    <tableColumn id="893" xr3:uid="{3E2067AA-B74C-4B9F-920A-E7FF6F59543A}" name="Column893"/>
    <tableColumn id="894" xr3:uid="{D3596C57-C02E-4BE4-9149-B9507EEBF649}" name="Column894"/>
    <tableColumn id="895" xr3:uid="{B7AA0E3C-4DCB-41D7-B288-539781F098BF}" name="Column895"/>
    <tableColumn id="896" xr3:uid="{D51B036E-C457-4A5E-814F-B636C894D582}" name="Column896"/>
    <tableColumn id="897" xr3:uid="{6EAC39EF-98D2-4A56-A230-0F3A53E8768F}" name="Column897"/>
    <tableColumn id="898" xr3:uid="{611FCA77-645F-4031-8AE1-FD4B6CE793EE}" name="Column898"/>
    <tableColumn id="899" xr3:uid="{DF4980E0-1FE3-400A-9FF4-C160FC2A58C2}" name="Column899"/>
    <tableColumn id="900" xr3:uid="{73B75334-9913-4EC5-B656-A45F874B40E7}" name="Column900"/>
    <tableColumn id="901" xr3:uid="{69369E55-0A29-461A-B2B1-048C96CB8568}" name="Column901"/>
    <tableColumn id="902" xr3:uid="{06CD4E5C-1D74-41B1-915B-B7B30CAE613B}" name="Column902"/>
    <tableColumn id="903" xr3:uid="{AB73A94B-A7EC-4D75-9562-A1090FA8AA94}" name="Column903"/>
    <tableColumn id="904" xr3:uid="{2F2DBC63-C4F1-4E1A-B390-B7A773231F41}" name="Column904"/>
    <tableColumn id="905" xr3:uid="{C7F08CB9-1791-4765-8F0D-FF7246C3EBA1}" name="Column905"/>
    <tableColumn id="906" xr3:uid="{B50A4CC1-13FD-48EC-B359-775C087612C0}" name="Column906"/>
    <tableColumn id="907" xr3:uid="{2DB4CFCE-6B45-4990-B78D-A39E9B2743A6}" name="Column907"/>
    <tableColumn id="908" xr3:uid="{EE28A27F-6647-4101-80D1-BAFD570DE70A}" name="Column908"/>
    <tableColumn id="909" xr3:uid="{BA818840-533C-4B4C-A719-FFE9733C7D17}" name="Column909"/>
    <tableColumn id="910" xr3:uid="{0DDE8693-564B-464E-86F7-E41A279E60F6}" name="Column910"/>
    <tableColumn id="911" xr3:uid="{82BA1DA3-BCAB-443E-A60A-F5DBB9185A4D}" name="Column911"/>
    <tableColumn id="912" xr3:uid="{375BD681-CD12-44B5-83DB-40B01190FAFF}" name="Column912"/>
    <tableColumn id="913" xr3:uid="{137958FA-34BA-4C48-B446-87A651D6237B}" name="Column913"/>
    <tableColumn id="914" xr3:uid="{241534EB-DFD9-47B6-9033-619E83F91464}" name="Column914"/>
    <tableColumn id="915" xr3:uid="{49B16911-7FE8-4E35-AA88-579A7A8B73E3}" name="Column915"/>
    <tableColumn id="916" xr3:uid="{6A0CCA6C-5199-4FF7-9DBF-4ACD0DF17034}" name="Column916"/>
    <tableColumn id="917" xr3:uid="{927E6448-B3E4-49B4-B9B5-28F60E422138}" name="Column917"/>
    <tableColumn id="918" xr3:uid="{44BE4C50-69E9-4405-9201-814A7ADFE94D}" name="Column918"/>
    <tableColumn id="919" xr3:uid="{210BDFE2-8102-4315-9CBF-EE445824A248}" name="Column919"/>
    <tableColumn id="920" xr3:uid="{5CD20518-D8C4-44D4-AF7D-9EC22478C0A1}" name="Column920"/>
    <tableColumn id="921" xr3:uid="{33A9F4A9-AB95-4AA4-A87B-1E4C88367D2A}" name="Column921"/>
    <tableColumn id="922" xr3:uid="{3B20D886-FF60-4B9D-A820-A35B0D4CD155}" name="Column922"/>
    <tableColumn id="923" xr3:uid="{52F78F85-A268-4405-98F1-AE80D0058B6D}" name="Column923"/>
    <tableColumn id="924" xr3:uid="{B21BAEE1-7292-46E3-9A0A-4B440BCF76C1}" name="Column924"/>
    <tableColumn id="925" xr3:uid="{9C89BEE2-366D-466E-BC07-A2D3C8A99002}" name="Column925"/>
    <tableColumn id="926" xr3:uid="{5B4A6A3F-E818-40CD-B4DE-0E9184E5CC15}" name="Column926"/>
    <tableColumn id="927" xr3:uid="{71D72003-6373-47BE-BB37-4CA989D116EB}" name="Column927"/>
    <tableColumn id="928" xr3:uid="{68967D07-C9C2-4C8D-8983-5F402F15B89A}" name="Column928"/>
    <tableColumn id="929" xr3:uid="{09F1C454-0AAA-433F-877D-25AC9BE90CAF}" name="Column929"/>
    <tableColumn id="930" xr3:uid="{FC07CEDD-7705-48FF-ABF7-FBBA687F65C6}" name="Column930"/>
    <tableColumn id="931" xr3:uid="{A0EE0376-23D4-4C6C-8B9D-ABE224F65EA6}" name="Column931"/>
    <tableColumn id="932" xr3:uid="{F88DB7BA-53C0-44D9-B594-A91FC6DB09C1}" name="Column932"/>
    <tableColumn id="933" xr3:uid="{EA920EF7-377E-4FE2-B35D-486B11270020}" name="Column933"/>
    <tableColumn id="934" xr3:uid="{9D15B78F-ADBA-4CD3-BDBD-8D5C7E520F7F}" name="Column934"/>
    <tableColumn id="935" xr3:uid="{D0E14679-E69A-4887-BEC4-9AB835A83C2B}" name="Column935"/>
    <tableColumn id="936" xr3:uid="{6C49070F-217D-4396-B070-C81783F9F5C3}" name="Column936"/>
    <tableColumn id="937" xr3:uid="{2D709CC6-B340-4775-9F6C-F447B0CD8185}" name="Column937"/>
    <tableColumn id="938" xr3:uid="{D1026619-FA86-4979-A660-D6EC1CF183FD}" name="Column938"/>
    <tableColumn id="939" xr3:uid="{CE25ED87-718E-4F1A-AA36-81402E4A8740}" name="Column939"/>
    <tableColumn id="940" xr3:uid="{9F70F440-916B-41C6-8F49-92145401C48B}" name="Column940"/>
    <tableColumn id="941" xr3:uid="{372C112A-5C0B-4125-A60A-CEDD605D1E29}" name="Column941"/>
    <tableColumn id="942" xr3:uid="{3B6D388A-D864-4893-8088-C95613C9C65B}" name="Column942"/>
    <tableColumn id="943" xr3:uid="{BA090C68-E5DF-4C19-8B09-2F0EBD47009E}" name="Column943"/>
    <tableColumn id="944" xr3:uid="{5F6D132A-2BD2-4DCD-8D25-0885A7B57ADB}" name="Column944"/>
    <tableColumn id="945" xr3:uid="{1257F4D0-8C3C-4D0E-A04A-4F6C49B7DCF2}" name="Column945"/>
    <tableColumn id="946" xr3:uid="{D2002F3A-1615-4D75-BFC4-BD71630A90FC}" name="Column946"/>
    <tableColumn id="947" xr3:uid="{B3EB93A0-C463-46F8-A368-DE9A6780BECE}" name="Column947"/>
    <tableColumn id="948" xr3:uid="{D69249F0-1EDF-40F4-9BDD-7803DA2EC87F}" name="Column948"/>
    <tableColumn id="949" xr3:uid="{E994A7EE-0011-49F0-A2EC-7E61D206DC92}" name="Column949"/>
    <tableColumn id="950" xr3:uid="{ABFD4370-9EA1-4EB3-8588-364239E481BA}" name="Column950"/>
    <tableColumn id="951" xr3:uid="{C5FF659F-5F3C-45DA-9B1C-5D4445F7CB4B}" name="Column951"/>
    <tableColumn id="952" xr3:uid="{B328524E-CE79-4A76-9B4D-11DA3B49DF6B}" name="Column952"/>
    <tableColumn id="953" xr3:uid="{4DB508EF-C9C1-49DD-88D1-BDF8CF5C4154}" name="Column953"/>
    <tableColumn id="954" xr3:uid="{77AC1B59-66D4-4793-87E4-D41C18B8D549}" name="Column954"/>
    <tableColumn id="955" xr3:uid="{EBBF68B6-2407-4F31-BB5A-F26654E8E207}" name="Column955"/>
    <tableColumn id="956" xr3:uid="{7DBBC67D-590B-4ADD-9ADD-DED7A26A104A}" name="Column956"/>
    <tableColumn id="957" xr3:uid="{D2039BF4-AC44-442E-9D00-8412380EF957}" name="Column957"/>
    <tableColumn id="958" xr3:uid="{460031C5-F859-48B9-8091-7C5A4B763FC1}" name="Column958"/>
    <tableColumn id="959" xr3:uid="{3775373F-A41A-4760-9990-5DBEFA14A4B3}" name="Column959"/>
    <tableColumn id="960" xr3:uid="{143FD38D-80A7-4780-B005-0DA04F5B9E32}" name="Column960"/>
    <tableColumn id="961" xr3:uid="{20ACEE38-6F0E-41D7-A16C-08ECC6E89B9A}" name="Column961"/>
    <tableColumn id="962" xr3:uid="{A91ACEAF-4193-45B2-A3A2-1BCE6E869E5A}" name="Column962"/>
    <tableColumn id="963" xr3:uid="{43F8FE5A-FE75-43BF-9F61-38CA675D93FB}" name="Column963"/>
    <tableColumn id="964" xr3:uid="{E4FAA623-532A-463E-B1FC-2C25381AF333}" name="Column964"/>
    <tableColumn id="965" xr3:uid="{5F0C679C-A62C-4FE3-9078-3F0946186E58}" name="Column965"/>
    <tableColumn id="966" xr3:uid="{D9D2ED65-ADD4-4662-8974-CD7045A6A386}" name="Column966"/>
    <tableColumn id="967" xr3:uid="{50D3E375-8659-40D3-AFF6-88794B8B5605}" name="Column967"/>
    <tableColumn id="968" xr3:uid="{80E4EABB-F700-4811-91E6-17C419BCCE7E}" name="Column968"/>
    <tableColumn id="969" xr3:uid="{1D705237-8913-4355-B28E-76350D207316}" name="Column969"/>
    <tableColumn id="970" xr3:uid="{DD4BFF3E-A024-472A-8E7B-608587F8CEE8}" name="Column970"/>
    <tableColumn id="971" xr3:uid="{0E7F8017-A19A-4742-A87A-DDA64696E142}" name="Column971"/>
    <tableColumn id="972" xr3:uid="{959E4FE3-B6D6-492D-BBAB-A887DEF39C9A}" name="Column972"/>
    <tableColumn id="973" xr3:uid="{1662F677-C11C-40D5-81BC-A277071E6E4A}" name="Column973"/>
    <tableColumn id="974" xr3:uid="{C9E3E30E-B3F7-4A53-B921-3E35B52BA637}" name="Column974"/>
    <tableColumn id="975" xr3:uid="{4245DE18-FD1D-40CB-AE6F-CFF73BAFE15F}" name="Column975"/>
    <tableColumn id="976" xr3:uid="{2631EAB0-4573-4E68-8688-20B64732AC5D}" name="Column976"/>
    <tableColumn id="977" xr3:uid="{6CA58EA1-C922-43BB-8349-6AC057727C7F}" name="Column977"/>
    <tableColumn id="978" xr3:uid="{553FE596-78E4-4622-BF1B-E01DB0887588}" name="Column978"/>
    <tableColumn id="979" xr3:uid="{762C1642-615F-4527-BA32-540B4A32EAD9}" name="Column979"/>
    <tableColumn id="980" xr3:uid="{B24C085E-7E5F-4F0F-82FA-F427181F5489}" name="Column980"/>
    <tableColumn id="981" xr3:uid="{F23A554D-C66D-48EC-B9EF-5ACD9C2F3D54}" name="Column981"/>
    <tableColumn id="982" xr3:uid="{14B4F49B-04B9-41EC-9982-86711FF81692}" name="Column982"/>
    <tableColumn id="983" xr3:uid="{0CA1CBB3-18C7-4EAD-9E39-11D2B7691D40}" name="Column983"/>
    <tableColumn id="984" xr3:uid="{7703B1E0-27AF-47AB-A3A8-1E7B4EB0F5D4}" name="Column984"/>
    <tableColumn id="985" xr3:uid="{FD792729-38F8-46EA-88E9-1D9FE6B9C639}" name="Column985"/>
    <tableColumn id="986" xr3:uid="{FB2BB497-2065-4D2A-BFD4-4BFCCAA96259}" name="Column986"/>
    <tableColumn id="987" xr3:uid="{3235C120-05F8-4AF0-B9EF-D92C02A84621}" name="Column987"/>
    <tableColumn id="988" xr3:uid="{9E13B990-2608-4DD1-AFEC-750C79F8B973}" name="Column988"/>
    <tableColumn id="989" xr3:uid="{A1D39F24-442C-4BCB-9FC6-C0BAE10CC224}" name="Column989"/>
    <tableColumn id="990" xr3:uid="{728648E2-267B-4719-8661-F69A446C804D}" name="Column990"/>
    <tableColumn id="991" xr3:uid="{5752025C-9E0D-48B6-82D5-3A11F7553EBB}" name="Column991"/>
    <tableColumn id="992" xr3:uid="{0A35EFEC-BA9E-4651-B2AB-65117A9FA0C3}" name="Column992"/>
    <tableColumn id="993" xr3:uid="{2B210471-F6AA-4756-A6C9-050891768A98}" name="Column993"/>
    <tableColumn id="994" xr3:uid="{31A156DF-CCE5-4CA4-86D0-53E801910DAC}" name="Column994"/>
    <tableColumn id="995" xr3:uid="{DB8CB99A-A29D-496C-A3A4-700A56A81BA3}" name="Column995"/>
    <tableColumn id="996" xr3:uid="{99AA9A89-E3E4-409F-A3F2-182ECEBCB5D8}" name="Column996"/>
    <tableColumn id="997" xr3:uid="{195BC6AC-5BD2-48EF-9222-60A71F13EACA}" name="Column997"/>
    <tableColumn id="998" xr3:uid="{DA780749-E6D0-4AFF-9E98-F0CE2B8F2517}" name="Column998"/>
    <tableColumn id="999" xr3:uid="{966096B4-FEB8-4434-89F0-A88CCFFEFFFB}" name="Column999"/>
    <tableColumn id="1000" xr3:uid="{27F2211C-64D7-4D7D-883D-384096F88110}" name="Column1000"/>
    <tableColumn id="1001" xr3:uid="{ADA8D9C7-5099-46E5-B031-0BD4858F3784}" name="Column1001"/>
    <tableColumn id="1002" xr3:uid="{A26164E7-3F8F-4C8B-8012-FB88353C89C5}" name="Column1002"/>
    <tableColumn id="1003" xr3:uid="{3E73B084-FFD3-4C4F-8C9E-7AE1DDB12E1F}" name="Column1003"/>
    <tableColumn id="1004" xr3:uid="{260B6027-06FD-4045-B68D-C67E6A295735}" name="Column1004"/>
    <tableColumn id="1005" xr3:uid="{425A5FE8-958A-467D-8870-CE3051217786}" name="Column1005"/>
    <tableColumn id="1006" xr3:uid="{E016CBA9-B124-4A45-9980-0BEDB9055A70}" name="Column1006"/>
    <tableColumn id="1007" xr3:uid="{1152881A-09B1-4AC5-8AC2-184FB4FB493A}" name="Column1007"/>
    <tableColumn id="1008" xr3:uid="{9C4804AA-8761-47DA-8D83-AD84370731AE}" name="Column1008"/>
    <tableColumn id="1009" xr3:uid="{36AAC997-864B-4EF3-A208-0DA7650F3950}" name="Column1009"/>
    <tableColumn id="1010" xr3:uid="{3C60A028-2959-4247-BE73-B8F8A60A3A6F}" name="Column1010"/>
    <tableColumn id="1011" xr3:uid="{E961A391-41B3-4C2D-9794-53F6050B2B9A}" name="Column1011"/>
    <tableColumn id="1012" xr3:uid="{8FAC469B-0CFF-48F7-B2D7-679FAF9DEAFD}" name="Column1012"/>
    <tableColumn id="1013" xr3:uid="{FD3F2181-595C-48DF-B427-6670E6F10476}" name="Column1013"/>
    <tableColumn id="1014" xr3:uid="{ED84748A-886C-4991-B7CB-D58EEC4151CE}" name="Column1014"/>
    <tableColumn id="1015" xr3:uid="{2D0EF001-9D09-41DD-914D-A14F4A823D91}" name="Column1015"/>
    <tableColumn id="1016" xr3:uid="{D16D0DE6-0A4F-4BCE-98D3-C0519CCF87A8}" name="Column1016"/>
    <tableColumn id="1017" xr3:uid="{C0EFA859-5DC0-443B-9EB5-98192EB4B338}" name="Column1017"/>
    <tableColumn id="1018" xr3:uid="{7E423E6B-6819-49D5-9146-66BCF96999AC}" name="Column1018"/>
    <tableColumn id="1019" xr3:uid="{2023786E-6A30-4D68-80C2-27A965ABCF8E}" name="Column1019"/>
    <tableColumn id="1020" xr3:uid="{530E748F-651E-486F-ACE1-DE11EEFA2E73}" name="Column1020"/>
    <tableColumn id="1021" xr3:uid="{5B01267C-9A01-49B7-B31A-1F09F09CD09F}" name="Column1021"/>
    <tableColumn id="1022" xr3:uid="{C98AA936-52C4-40DE-8BB4-206717998BA7}" name="Column1022"/>
    <tableColumn id="1023" xr3:uid="{8B1DB346-17D2-4E30-95DF-BC564A501CA9}" name="Column1023"/>
    <tableColumn id="1024" xr3:uid="{83B59229-F6A5-4982-9D01-FC544AB48F7A}" name="Column1024"/>
    <tableColumn id="1025" xr3:uid="{140EC7ED-4215-45ED-B5B4-65A077A8F507}" name="Column1025"/>
    <tableColumn id="1026" xr3:uid="{0B7683C6-8DD9-4C62-A2F6-AD0170D8E249}" name="Column1026"/>
    <tableColumn id="1027" xr3:uid="{8F0D7AC9-D5C4-4216-BFEC-A09F1E1B52DF}" name="Column1027"/>
    <tableColumn id="1028" xr3:uid="{4D1F5205-FBB4-4F82-BF21-CD171E92C3B5}" name="Column1028"/>
    <tableColumn id="1029" xr3:uid="{D16E8F20-EF1C-4498-8912-9349CC114A5E}" name="Column1029"/>
    <tableColumn id="1030" xr3:uid="{F5C502A1-C647-4A67-974F-6B54F0D6E197}" name="Column1030"/>
    <tableColumn id="1031" xr3:uid="{3A49F8CF-865F-456C-9B88-FEE5AE8BEEDA}" name="Column1031"/>
    <tableColumn id="1032" xr3:uid="{D367EDC8-700D-49FD-AFE3-78D8ACD9ED6E}" name="Column1032"/>
    <tableColumn id="1033" xr3:uid="{A3873BDD-0B41-44E7-BCCF-0ABCC29FAF11}" name="Column1033"/>
    <tableColumn id="1034" xr3:uid="{57F9633E-D431-41A5-8231-47EB1A1F9577}" name="Column1034"/>
    <tableColumn id="1035" xr3:uid="{7BE63D94-1FA3-4EDA-84E1-37DEF1BD820A}" name="Column1035"/>
    <tableColumn id="1036" xr3:uid="{35B2518B-F7F1-4BF7-A37D-BF1A33B7BB61}" name="Column1036"/>
    <tableColumn id="1037" xr3:uid="{4F589878-A637-433B-A727-872C717CCA65}" name="Column1037"/>
    <tableColumn id="1038" xr3:uid="{5E6DCAF8-5EB2-4EBE-9ECB-850601F143E3}" name="Column1038"/>
    <tableColumn id="1039" xr3:uid="{82C967F2-1C03-4531-8EC7-696298C1A32A}" name="Column1039"/>
    <tableColumn id="1040" xr3:uid="{D92D9BE1-CCEF-479A-832F-2037615F4016}" name="Column1040"/>
    <tableColumn id="1041" xr3:uid="{A7249FE6-48CF-40E1-AC2E-0884FF0FDA3F}" name="Column1041"/>
    <tableColumn id="1042" xr3:uid="{267FC195-FBDD-43AD-A73C-7E89CD450491}" name="Column1042"/>
    <tableColumn id="1043" xr3:uid="{F07D8ED8-5744-4474-9DD2-C5E210F5D9E0}" name="Column1043"/>
    <tableColumn id="1044" xr3:uid="{535CFDF3-03F4-4B0A-9F2F-676F1B374083}" name="Column1044"/>
    <tableColumn id="1045" xr3:uid="{18D5D34E-E16B-4A68-AA91-856D67DD12F1}" name="Column1045"/>
    <tableColumn id="1046" xr3:uid="{66EBBCE2-A0BF-49C6-B35D-71EDADFFDD41}" name="Column1046"/>
    <tableColumn id="1047" xr3:uid="{AD4C71D0-FAF4-4B01-B2F4-AEB9444D4B72}" name="Column1047"/>
    <tableColumn id="1048" xr3:uid="{805DB57C-535A-4374-9F1C-817FE3785E7E}" name="Column1048"/>
    <tableColumn id="1049" xr3:uid="{DAA5A339-842D-4CA2-88D2-9935CFF6A8A2}" name="Column1049"/>
    <tableColumn id="1050" xr3:uid="{B5CC20BA-7D72-40BA-96D9-B9AA651B438E}" name="Column1050"/>
    <tableColumn id="1051" xr3:uid="{6EB81852-1541-4946-B544-8143FE286360}" name="Column1051"/>
    <tableColumn id="1052" xr3:uid="{93BBB1A9-1F4E-4F36-9B88-46247AEE8326}" name="Column1052"/>
    <tableColumn id="1053" xr3:uid="{395C36BD-2B70-48E1-8B0A-4BDB0715B02E}" name="Column1053"/>
    <tableColumn id="1054" xr3:uid="{5D2BE9B1-ECDD-4118-9021-03DF59C8A6E8}" name="Column1054"/>
    <tableColumn id="1055" xr3:uid="{C0A57520-A98E-470F-9BD0-784CA3C5CBEC}" name="Column1055"/>
    <tableColumn id="1056" xr3:uid="{6A1D984E-B68A-4D65-B81D-CAB05D889F59}" name="Column1056"/>
    <tableColumn id="1057" xr3:uid="{A4FB40D3-25F8-4CB2-A3C8-B3FD69065411}" name="Column1057"/>
    <tableColumn id="1058" xr3:uid="{1110ED42-EE28-471B-9D73-71796E1FBAFD}" name="Column1058"/>
    <tableColumn id="1059" xr3:uid="{EED47DEC-02BD-4037-A2FF-7E0918DFBBA5}" name="Column1059"/>
    <tableColumn id="1060" xr3:uid="{220C621D-4385-4C33-9270-5B189F95FC46}" name="Column1060"/>
    <tableColumn id="1061" xr3:uid="{00E9852E-979F-4EF1-B9A5-E5FEA0406281}" name="Column1061"/>
    <tableColumn id="1062" xr3:uid="{44CD5DDC-B2E1-4495-A9B4-5BC1F75DD2B1}" name="Column1062"/>
    <tableColumn id="1063" xr3:uid="{959ACE6F-CC3A-475E-8E5C-F13446E3ED44}" name="Column1063"/>
    <tableColumn id="1064" xr3:uid="{757DA3F4-325C-43E6-8F18-035BE643E4E1}" name="Column1064"/>
    <tableColumn id="1065" xr3:uid="{F7362EEB-FF83-4BC5-83B9-6CD919B7B637}" name="Column1065"/>
    <tableColumn id="1066" xr3:uid="{72C2FD83-7F61-4EAF-964D-DDA277D6D4B9}" name="Column1066"/>
    <tableColumn id="1067" xr3:uid="{CFCA56DB-D46E-423E-ACEE-ECBAC25FABC1}" name="Column1067"/>
    <tableColumn id="1068" xr3:uid="{397AA2F8-0DBF-44C3-9E25-371D7640916F}" name="Column1068"/>
    <tableColumn id="1069" xr3:uid="{C2F427CC-EC02-47A8-9BDC-73C7C1689211}" name="Column1069"/>
    <tableColumn id="1070" xr3:uid="{F9409546-8FB0-4EE9-93B5-4D89A745E56F}" name="Column1070"/>
    <tableColumn id="1071" xr3:uid="{9FD969E2-19A2-4617-8B43-AC8436A28B72}" name="Column1071"/>
    <tableColumn id="1072" xr3:uid="{295A5E7B-B0D9-4D15-9658-3226EBE1DAC0}" name="Column1072"/>
    <tableColumn id="1073" xr3:uid="{2B32CA79-9FBB-44D6-9A4C-388B305E65BB}" name="Column1073"/>
    <tableColumn id="1074" xr3:uid="{8903D267-04CB-408F-BEA7-3DC02A5DA579}" name="Column1074"/>
    <tableColumn id="1075" xr3:uid="{C8FA8A02-809C-424A-B6A1-021F75CC4F18}" name="Column1075"/>
    <tableColumn id="1076" xr3:uid="{78E4896A-C375-49A7-B481-6B1BE8ED8B78}" name="Column1076"/>
    <tableColumn id="1077" xr3:uid="{6774666B-381B-4ED9-8848-18DE192FE6E9}" name="Column1077"/>
    <tableColumn id="1078" xr3:uid="{789BFC85-A8A6-494B-B044-E15521DD57D4}" name="Column1078"/>
    <tableColumn id="1079" xr3:uid="{11A7BB44-624E-4AC7-8F3F-493FF2526C91}" name="Column1079"/>
    <tableColumn id="1080" xr3:uid="{9A299C2E-3450-412B-8499-DBF5476A97C9}" name="Column1080"/>
    <tableColumn id="1081" xr3:uid="{9F9307FC-CD0C-4F06-BA59-498AB9B7C6E1}" name="Column1081"/>
    <tableColumn id="1082" xr3:uid="{5AC6BBF3-46FF-4E95-83CB-BA533A6C408B}" name="Column1082"/>
    <tableColumn id="1083" xr3:uid="{22D18820-651B-40E2-BAA5-66543807D8F7}" name="Column1083"/>
    <tableColumn id="1084" xr3:uid="{9C5EB60F-1761-41D9-B296-D5F88FD00D65}" name="Column1084"/>
    <tableColumn id="1085" xr3:uid="{168027CB-EAC8-4B57-8330-4B2DE44EEE87}" name="Column1085"/>
    <tableColumn id="1086" xr3:uid="{BD9152CB-19B0-484B-9AAA-E47662199011}" name="Column1086"/>
    <tableColumn id="1087" xr3:uid="{56A9D4E9-D77C-441E-A0B1-797BEE65551A}" name="Column1087"/>
    <tableColumn id="1088" xr3:uid="{26AA4ED2-DE3D-4E7E-90D6-9466B95ECDF5}" name="Column1088"/>
    <tableColumn id="1089" xr3:uid="{BB5E4F87-C4BF-4DDE-BDEC-3FDF00E6B42F}" name="Column1089"/>
    <tableColumn id="1090" xr3:uid="{EE67CC16-945B-440A-BCF3-1C07097D92F5}" name="Column1090"/>
    <tableColumn id="1091" xr3:uid="{F70BAE35-D958-463B-9649-47BB1F8FDE35}" name="Column1091"/>
    <tableColumn id="1092" xr3:uid="{08B555E7-539C-419E-AAB1-617F11468161}" name="Column1092"/>
    <tableColumn id="1093" xr3:uid="{F5575EF8-FB8B-4B7A-8174-4F0E8300C537}" name="Column1093"/>
    <tableColumn id="1094" xr3:uid="{8477B650-117F-4DE0-8CC4-525C450AD30C}" name="Column1094"/>
    <tableColumn id="1095" xr3:uid="{75CD953F-17B1-49D5-8969-2401F31240CF}" name="Column1095"/>
    <tableColumn id="1096" xr3:uid="{2F642E0F-344D-4B85-940F-39F938B3A13F}" name="Column1096"/>
    <tableColumn id="1097" xr3:uid="{941C04D8-8790-49E6-9262-AD8AA923C993}" name="Column1097"/>
    <tableColumn id="1098" xr3:uid="{5C3D51CE-783C-4CD2-A07B-3A17B82B322F}" name="Column1098"/>
    <tableColumn id="1099" xr3:uid="{737B8381-60AE-4A55-A13C-5E9A4066D740}" name="Column1099"/>
    <tableColumn id="1100" xr3:uid="{FA384F62-571F-4D54-B763-7EDA89C43E7D}" name="Column1100"/>
    <tableColumn id="1101" xr3:uid="{23FF5E71-2C4D-4239-A91A-70DBAF30FCAD}" name="Column1101"/>
    <tableColumn id="1102" xr3:uid="{E10C7674-195E-4C07-946F-2970D2F56271}" name="Column1102"/>
    <tableColumn id="1103" xr3:uid="{496FD6C5-6318-43B7-AEDA-33597327040B}" name="Column1103"/>
    <tableColumn id="1104" xr3:uid="{74CE76FF-3CFD-4D45-84F3-0FDEDE6AF11F}" name="Column1104"/>
    <tableColumn id="1105" xr3:uid="{0FFB754C-7D43-4CE6-97DC-131CE820C351}" name="Column1105"/>
    <tableColumn id="1106" xr3:uid="{8E814E37-6C33-4934-905F-1ED35E811B5A}" name="Column1106"/>
    <tableColumn id="1107" xr3:uid="{B26C2003-D30B-42EC-8E3D-1529771C48AD}" name="Column1107"/>
    <tableColumn id="1108" xr3:uid="{1AA29EDE-CB44-4644-94E6-802D0A77BA6D}" name="Column1108"/>
    <tableColumn id="1109" xr3:uid="{87E57CA2-8368-4F6C-BBE7-2A8727DF86EF}" name="Column1109"/>
    <tableColumn id="1110" xr3:uid="{AA1F3800-046D-41DF-9FE5-8D8F19B8845F}" name="Column1110"/>
    <tableColumn id="1111" xr3:uid="{89C2E105-7FC2-4B8C-B93D-D0E1D52FF090}" name="Column1111"/>
    <tableColumn id="1112" xr3:uid="{44A3AC83-54AA-445E-87C4-93DA4674E82C}" name="Column1112"/>
    <tableColumn id="1113" xr3:uid="{9DD535AB-08E0-46F2-B4F3-F6B1E33E4406}" name="Column1113"/>
    <tableColumn id="1114" xr3:uid="{03593DE7-0904-4431-BE09-DC579CBCCC77}" name="Column1114"/>
    <tableColumn id="1115" xr3:uid="{3C376643-577E-4DF4-B9F3-8C60629F6EE2}" name="Column1115"/>
    <tableColumn id="1116" xr3:uid="{D5E25502-961E-46C5-99BF-B748EDD575BF}" name="Column1116"/>
    <tableColumn id="1117" xr3:uid="{206AE62D-85D1-462B-A030-8229D5281209}" name="Column1117"/>
    <tableColumn id="1118" xr3:uid="{2E03D5E1-0834-4081-AAE8-A9FA3D18A0A0}" name="Column1118"/>
    <tableColumn id="1119" xr3:uid="{B01CDD29-658A-4CD9-987C-AAA9A436006C}" name="Column1119"/>
    <tableColumn id="1120" xr3:uid="{103AE820-0FDB-4AC1-AB2D-8ECC16D63B9B}" name="Column1120"/>
    <tableColumn id="1121" xr3:uid="{A46C724B-E7AD-4135-830B-B9D1C6F3BFC5}" name="Column1121"/>
    <tableColumn id="1122" xr3:uid="{8B72EAA3-1160-4691-B233-E47558B808DB}" name="Column1122"/>
    <tableColumn id="1123" xr3:uid="{B9C95002-5481-4FCA-89B3-3F2B25DED0C7}" name="Column1123"/>
    <tableColumn id="1124" xr3:uid="{944E12BA-3D22-413C-BFD2-8381E2ACA75D}" name="Column1124"/>
    <tableColumn id="1125" xr3:uid="{3C33EAE5-2B68-4C25-9BEE-578BEFBE1968}" name="Column1125"/>
    <tableColumn id="1126" xr3:uid="{0CA75661-19B5-4B6A-B248-947320E8F100}" name="Column1126"/>
    <tableColumn id="1127" xr3:uid="{06C3E3DE-A64D-4370-9DC6-C4E3B9635ACE}" name="Column1127"/>
    <tableColumn id="1128" xr3:uid="{BA54774C-D471-482E-9375-9133CE8DEFFC}" name="Column1128"/>
    <tableColumn id="1129" xr3:uid="{A9B54B4A-9D4E-4C32-B7F5-4B80AC77982D}" name="Column1129"/>
    <tableColumn id="1130" xr3:uid="{AD9D21AF-942E-4723-B8A7-3C21109E87AC}" name="Column1130"/>
    <tableColumn id="1131" xr3:uid="{B7DED9DD-15FB-489F-AC29-5E170CAE683E}" name="Column1131"/>
    <tableColumn id="1132" xr3:uid="{E4BA7A9D-F697-4329-BC97-66EA3E51550B}" name="Column1132"/>
    <tableColumn id="1133" xr3:uid="{03383476-DF96-469E-8D51-1EFE39D75DDC}" name="Column1133"/>
    <tableColumn id="1134" xr3:uid="{B43477DA-3ED1-43B8-870C-800C9225388A}" name="Column1134"/>
    <tableColumn id="1135" xr3:uid="{1AB732E4-B402-4E11-817B-3F32BEC64BB8}" name="Column1135"/>
    <tableColumn id="1136" xr3:uid="{5102D9A4-39C3-4B28-8EA4-144DE81EB2EF}" name="Column1136"/>
    <tableColumn id="1137" xr3:uid="{16A4691D-A238-422F-B3A3-62E924939AD0}" name="Column1137"/>
    <tableColumn id="1138" xr3:uid="{9DADC8F6-84D8-4A5B-9327-FBEDACAE2A04}" name="Column1138"/>
    <tableColumn id="1139" xr3:uid="{A74E77A2-1E9C-49D6-B802-2BA937047752}" name="Column1139"/>
    <tableColumn id="1140" xr3:uid="{8B7C51A6-5688-425F-B5B8-E95806D9BAAB}" name="Column1140"/>
    <tableColumn id="1141" xr3:uid="{6E3EB6D8-D8DB-41E5-A5A2-D36FAA78F124}" name="Column1141"/>
    <tableColumn id="1142" xr3:uid="{1B6599E6-A0A8-42BF-BB84-277509085F9D}" name="Column1142"/>
    <tableColumn id="1143" xr3:uid="{B1C8A683-5D5D-480A-80C1-16C28F6DC119}" name="Column1143"/>
    <tableColumn id="1144" xr3:uid="{55170BD1-C185-4F68-B408-B005FD957526}" name="Column1144"/>
    <tableColumn id="1145" xr3:uid="{3BB2B8AA-BF19-4BAF-9069-EE54633B3CC1}" name="Column1145"/>
    <tableColumn id="1146" xr3:uid="{6E103A65-46D9-452D-BE0A-D5C10386DE18}" name="Column1146"/>
    <tableColumn id="1147" xr3:uid="{4C09D6D0-A0CD-4F54-8705-18565AF1275E}" name="Column1147"/>
    <tableColumn id="1148" xr3:uid="{3289E9B7-60C6-4203-82EF-199125205066}" name="Column1148"/>
    <tableColumn id="1149" xr3:uid="{1DB65998-5739-4A12-BCC8-C2E971C59FC5}" name="Column1149"/>
    <tableColumn id="1150" xr3:uid="{BD30DEB4-F062-415F-B65E-5A3C08C6C62A}" name="Column1150"/>
    <tableColumn id="1151" xr3:uid="{897800FC-CE1F-4999-8E00-C73C29085534}" name="Column1151"/>
    <tableColumn id="1152" xr3:uid="{A312620B-9699-4107-AD40-B9793F3897CC}" name="Column1152"/>
    <tableColumn id="1153" xr3:uid="{103191D4-677F-4427-990E-DF1305AF4ED8}" name="Column1153"/>
    <tableColumn id="1154" xr3:uid="{06EFE5AC-2089-43C2-96A6-CCFF64D78D9C}" name="Column1154"/>
    <tableColumn id="1155" xr3:uid="{692D4D87-7634-4E66-A383-559F78AAF624}" name="Column1155"/>
    <tableColumn id="1156" xr3:uid="{30B2462C-8B82-445C-8C56-D59021159FEC}" name="Column1156"/>
    <tableColumn id="1157" xr3:uid="{ED47CEBE-CE7E-4E22-9728-1628591E888A}" name="Column1157"/>
    <tableColumn id="1158" xr3:uid="{3465E766-2E8D-47B6-A616-8DD1496677A0}" name="Column1158"/>
    <tableColumn id="1159" xr3:uid="{7F25C9E8-1440-4E4F-BCC5-B48BA94BA596}" name="Column1159"/>
    <tableColumn id="1160" xr3:uid="{899DCC8C-B668-471D-AE9F-6615A2795F19}" name="Column1160"/>
    <tableColumn id="1161" xr3:uid="{327CAD9E-C484-4530-ADF3-50651F9C9F81}" name="Column1161"/>
    <tableColumn id="1162" xr3:uid="{DE2D662E-717E-4A07-BD6E-B5801ACF7F07}" name="Column1162"/>
    <tableColumn id="1163" xr3:uid="{7D405D0D-BE48-4841-9950-5F960DE5D017}" name="Column1163"/>
    <tableColumn id="1164" xr3:uid="{00E55564-0880-481F-ACFD-4F7876522F73}" name="Column1164"/>
    <tableColumn id="1165" xr3:uid="{5F925E68-0F23-49D9-9E19-793E1D483DC0}" name="Column1165"/>
    <tableColumn id="1166" xr3:uid="{CFE1A3A6-34F0-4585-A65B-8D0E9B0160E3}" name="Column1166"/>
    <tableColumn id="1167" xr3:uid="{FD59DF97-27E4-48F7-8597-1972962E2C1D}" name="Column1167"/>
    <tableColumn id="1168" xr3:uid="{27A94165-37CE-4807-858C-D5ADCF9DE9C3}" name="Column1168"/>
    <tableColumn id="1169" xr3:uid="{4347BE43-A12B-4C47-A4A8-0F9B9DC4B4C0}" name="Column1169"/>
    <tableColumn id="1170" xr3:uid="{D1B0BD83-EED4-42D7-8181-C197E6D261ED}" name="Column1170"/>
    <tableColumn id="1171" xr3:uid="{A0E7B75B-8ED8-42B1-9A4B-387D52E7CFA1}" name="Column1171"/>
    <tableColumn id="1172" xr3:uid="{04DF2613-41A6-49B0-8DB1-52626AC71D63}" name="Column1172"/>
    <tableColumn id="1173" xr3:uid="{2A957706-1C1C-4EA8-9FD4-F86E9EC0FDEE}" name="Column1173"/>
    <tableColumn id="1174" xr3:uid="{DD2376EA-08AA-46E8-AC3D-96A2011C5FBF}" name="Column1174"/>
    <tableColumn id="1175" xr3:uid="{16F5C7A4-E008-400B-AF6E-D2BB33A55AD7}" name="Column1175"/>
    <tableColumn id="1176" xr3:uid="{69F8FEBA-FF55-45AE-B491-33099D084D6D}" name="Column1176"/>
    <tableColumn id="1177" xr3:uid="{373A6E7E-368F-45E1-A652-7766B14AB691}" name="Column1177"/>
    <tableColumn id="1178" xr3:uid="{72A811A6-1715-4113-A3C4-475CD3924DC7}" name="Column1178"/>
    <tableColumn id="1179" xr3:uid="{0626F2CE-1CF0-4D5B-98FD-CA060F7473ED}" name="Column1179"/>
    <tableColumn id="1180" xr3:uid="{B1110A9F-51F0-48A9-9D6F-0E23EF5991E6}" name="Column1180"/>
    <tableColumn id="1181" xr3:uid="{199AB6ED-546D-4502-8017-858C8C10B865}" name="Column1181"/>
    <tableColumn id="1182" xr3:uid="{7CC94829-4F9A-4CF0-94B1-D3C529BFF66B}" name="Column1182"/>
    <tableColumn id="1183" xr3:uid="{2091ED6C-041E-4847-8E5B-FA1DFCF4068B}" name="Column1183"/>
    <tableColumn id="1184" xr3:uid="{1C521524-6635-4CBF-B90C-6435DB0AA6D5}" name="Column1184"/>
    <tableColumn id="1185" xr3:uid="{4C3FA745-6ACC-4422-83DE-CE40F7864792}" name="Column1185"/>
    <tableColumn id="1186" xr3:uid="{F7E5D8E7-4F56-4C46-8489-CC1BDE332FC9}" name="Column1186"/>
    <tableColumn id="1187" xr3:uid="{C3CFAEE6-9EF4-4C57-87C2-3ED09B6CDD7D}" name="Column1187"/>
    <tableColumn id="1188" xr3:uid="{DF69343B-B335-4163-AB35-CE8C77708099}" name="Column1188"/>
    <tableColumn id="1189" xr3:uid="{5F28217C-17A1-4045-B651-78F7B1833243}" name="Column1189"/>
    <tableColumn id="1190" xr3:uid="{6BB7CEED-B379-4660-A168-70BC3F9C9FCF}" name="Column1190"/>
    <tableColumn id="1191" xr3:uid="{4746176E-A095-4145-89C7-557FCE8CE798}" name="Column1191"/>
    <tableColumn id="1192" xr3:uid="{3292C98E-9256-4EDE-B305-2BE0268EFA8A}" name="Column1192"/>
    <tableColumn id="1193" xr3:uid="{C51548CC-4B23-475E-BAB7-B7E5E432E916}" name="Column1193"/>
    <tableColumn id="1194" xr3:uid="{34712F2D-469D-4CD4-8F0F-3A76D6FA8E34}" name="Column1194"/>
    <tableColumn id="1195" xr3:uid="{800E70CB-B590-42A4-B7C7-F371D41062C4}" name="Column1195"/>
    <tableColumn id="1196" xr3:uid="{64A8FE88-3237-412D-9DCE-316AB8208FD2}" name="Column1196"/>
    <tableColumn id="1197" xr3:uid="{5CA03ED9-4F37-4280-B8EC-E49710388E2F}" name="Column1197"/>
    <tableColumn id="1198" xr3:uid="{EE8D5A21-118D-48C5-87BA-FEAF5ECE12AC}" name="Column1198"/>
    <tableColumn id="1199" xr3:uid="{38BE1437-CBF7-4EE3-A87A-26ACC18EF67F}" name="Column1199"/>
    <tableColumn id="1200" xr3:uid="{D3336C26-AC77-4142-83B8-FB32544AD772}" name="Column1200"/>
    <tableColumn id="1201" xr3:uid="{C467E423-2C8A-4265-8E09-91D55EF097A4}" name="Column1201"/>
    <tableColumn id="1202" xr3:uid="{C62D249D-033C-4729-B3AB-4FA975D73CE9}" name="Column1202"/>
    <tableColumn id="1203" xr3:uid="{A06342E5-A8E6-44BD-B02E-E56D51EF9D83}" name="Column1203"/>
    <tableColumn id="1204" xr3:uid="{5A432F15-3619-41BC-A976-EFA1376C1FA4}" name="Column1204"/>
    <tableColumn id="1205" xr3:uid="{EA05A328-043D-4369-BB7A-46CFB35154FB}" name="Column1205"/>
    <tableColumn id="1206" xr3:uid="{9591BD87-269E-44D5-9995-19B1DAE054AE}" name="Column1206"/>
    <tableColumn id="1207" xr3:uid="{4E96308F-171A-4ADA-9EDC-744DBCA2C316}" name="Column1207"/>
    <tableColumn id="1208" xr3:uid="{79620D09-D3DC-421E-872B-1759339962F3}" name="Column1208"/>
    <tableColumn id="1209" xr3:uid="{FB76278F-12F0-4B35-88B8-15A220092476}" name="Column1209"/>
    <tableColumn id="1210" xr3:uid="{1197482F-585C-4274-B71F-A004DACF8C67}" name="Column1210"/>
    <tableColumn id="1211" xr3:uid="{49AD2208-A366-4AF2-A6B6-4395DA5E205A}" name="Column1211"/>
    <tableColumn id="1212" xr3:uid="{29BACCED-30F3-4291-A517-5AE9148BB8C5}" name="Column1212"/>
    <tableColumn id="1213" xr3:uid="{9D855BBB-AEFF-47C1-8920-C6C5CBC9B859}" name="Column1213"/>
    <tableColumn id="1214" xr3:uid="{82A75613-ADE2-482C-B21C-F0D48BF574AC}" name="Column1214"/>
    <tableColumn id="1215" xr3:uid="{867A065A-6FB6-40B6-9C6C-E0C893594000}" name="Column1215"/>
    <tableColumn id="1216" xr3:uid="{A4DE5C59-F44A-4A46-A10C-42310334AA1E}" name="Column1216"/>
    <tableColumn id="1217" xr3:uid="{10CA3982-83A6-4B97-8398-2A478408C67E}" name="Column1217"/>
    <tableColumn id="1218" xr3:uid="{114570F2-A635-487C-A78B-27E7015D1D94}" name="Column1218"/>
    <tableColumn id="1219" xr3:uid="{B4D764B4-5320-4E5B-9A2B-80D51379CD71}" name="Column1219"/>
    <tableColumn id="1220" xr3:uid="{5527C8FF-7093-443D-825A-6E7CB276B57C}" name="Column1220"/>
    <tableColumn id="1221" xr3:uid="{A47439C4-6BE9-434C-B505-50F2CCA93D3E}" name="Column1221"/>
    <tableColumn id="1222" xr3:uid="{8ACB737F-6603-451A-B1FB-93ADE450E52E}" name="Column1222"/>
    <tableColumn id="1223" xr3:uid="{FBBE4114-DC6D-4673-A6FA-28F91510DE52}" name="Column1223"/>
    <tableColumn id="1224" xr3:uid="{45E15DA0-44BF-428A-B8D6-48C16F799D90}" name="Column1224"/>
    <tableColumn id="1225" xr3:uid="{DF9BC7B2-F37A-41A6-B691-7BF6B433DD41}" name="Column1225"/>
    <tableColumn id="1226" xr3:uid="{D71E5342-CF92-40AF-BB29-D7CFFA815C5F}" name="Column1226"/>
    <tableColumn id="1227" xr3:uid="{69C9A6A6-0EFE-4E32-B452-0C8B38A73A73}" name="Column1227"/>
    <tableColumn id="1228" xr3:uid="{F400E652-34C4-4BAA-82E3-92443C5BCF94}" name="Column1228"/>
    <tableColumn id="1229" xr3:uid="{483379D3-107A-496C-BBDB-2EC66CDA8248}" name="Column1229"/>
    <tableColumn id="1230" xr3:uid="{5B134873-DE91-4E27-B82B-3C922D1DB929}" name="Column1230"/>
    <tableColumn id="1231" xr3:uid="{F5A9AB1A-8846-4CEC-BB41-05F7F6A05E77}" name="Column1231"/>
    <tableColumn id="1232" xr3:uid="{E9F1B01C-56B9-46E0-98F9-B5618CDACCEF}" name="Column1232"/>
    <tableColumn id="1233" xr3:uid="{50F1D82C-D923-4BD8-99DE-54037D2389D5}" name="Column1233"/>
    <tableColumn id="1234" xr3:uid="{8F78A338-1A44-468E-A283-8E3BF0B7F9CB}" name="Column1234"/>
    <tableColumn id="1235" xr3:uid="{D0CBDDD5-B36F-447C-8B60-1E6B45467D62}" name="Column1235"/>
    <tableColumn id="1236" xr3:uid="{6BEFCDBA-7F8D-42F3-89EF-DA865B88C755}" name="Column1236"/>
    <tableColumn id="1237" xr3:uid="{31CCDC17-785D-418D-86D1-BF1CB40D9F33}" name="Column1237"/>
    <tableColumn id="1238" xr3:uid="{E6D323A1-D4E3-466E-9F24-2B2D0F4A00DF}" name="Column1238"/>
    <tableColumn id="1239" xr3:uid="{8935B389-507C-474A-AAE6-380EAE1FBA91}" name="Column1239"/>
    <tableColumn id="1240" xr3:uid="{F618E591-CD5E-47A0-B4AC-94ECF2C982A5}" name="Column1240"/>
    <tableColumn id="1241" xr3:uid="{79041CCE-4A2F-458F-9853-DEC179BBDA59}" name="Column1241"/>
    <tableColumn id="1242" xr3:uid="{E5109189-6245-4B9B-B8F0-0C601E58EF61}" name="Column1242"/>
    <tableColumn id="1243" xr3:uid="{1622BDFF-9424-43DA-AC1E-69FFB0081769}" name="Column1243"/>
    <tableColumn id="1244" xr3:uid="{46620AE7-665B-4201-8601-4FB0A2F65AA9}" name="Column1244"/>
    <tableColumn id="1245" xr3:uid="{E3EA3CDC-B6E1-459B-8552-6D540C7CA41B}" name="Column1245"/>
    <tableColumn id="1246" xr3:uid="{26E0ED5D-DD42-495B-9559-A7CA0965DB5E}" name="Column1246"/>
    <tableColumn id="1247" xr3:uid="{7AEB13A7-5306-44F3-BE47-E846DEE77E1F}" name="Column1247"/>
    <tableColumn id="1248" xr3:uid="{047A05AD-19A3-4D1C-81F4-746BB2B24FA8}" name="Column1248"/>
    <tableColumn id="1249" xr3:uid="{6EA8157B-475F-44E7-820A-3A9735014945}" name="Column1249"/>
    <tableColumn id="1250" xr3:uid="{87052D38-CA05-4721-8106-8C360311A44F}" name="Column1250"/>
    <tableColumn id="1251" xr3:uid="{A5230A07-BB34-4A44-9F6E-F00874B08605}" name="Column1251"/>
    <tableColumn id="1252" xr3:uid="{C75E6A7C-4354-4A08-A7B9-3B9F12F35424}" name="Column1252"/>
    <tableColumn id="1253" xr3:uid="{33243B34-F7F0-4BF6-8908-FEC94B6B806B}" name="Column1253"/>
    <tableColumn id="1254" xr3:uid="{0C5A953D-DEC1-4362-8260-FCD4E671BC27}" name="Column1254"/>
    <tableColumn id="1255" xr3:uid="{A26B0907-A9CC-459A-A1F8-4DB02C116244}" name="Column1255"/>
    <tableColumn id="1256" xr3:uid="{D3E5DE53-60A9-4D38-93B1-09BEA09743BE}" name="Column1256"/>
    <tableColumn id="1257" xr3:uid="{52566F8F-9A96-42E2-A0B1-05F3082D1BB8}" name="Column1257"/>
    <tableColumn id="1258" xr3:uid="{0D3EB638-8C85-4ECD-A4A0-06B13FE1905C}" name="Column1258"/>
    <tableColumn id="1259" xr3:uid="{2F25EED0-E521-4E3C-A394-DD7F947683C3}" name="Column1259"/>
    <tableColumn id="1260" xr3:uid="{1A02C79B-296B-4BCE-83AB-805D10B90B76}" name="Column1260"/>
    <tableColumn id="1261" xr3:uid="{BD684842-1FD5-463C-BEF2-CA9219597A51}" name="Column1261"/>
    <tableColumn id="1262" xr3:uid="{10463D1E-1E22-4E53-821B-1193789101F9}" name="Column1262"/>
    <tableColumn id="1263" xr3:uid="{9169D95D-8D34-41D8-84B5-2EE05EDD42DC}" name="Column1263"/>
    <tableColumn id="1264" xr3:uid="{405A636C-244E-4201-8AC9-61BBDB241255}" name="Column1264"/>
    <tableColumn id="1265" xr3:uid="{38E75245-BA7E-40BE-BAD7-6778CF63A372}" name="Column1265"/>
    <tableColumn id="1266" xr3:uid="{F17B329B-3286-4B46-ADA9-ACE30FD8A9E3}" name="Column1266"/>
    <tableColumn id="1267" xr3:uid="{5D53391F-ED4B-42A9-A770-C436AEC5D828}" name="Column1267"/>
    <tableColumn id="1268" xr3:uid="{E2CE2300-C4D0-4029-B252-C37D9577103C}" name="Column1268"/>
    <tableColumn id="1269" xr3:uid="{2806AAF3-FB8A-4E03-B958-CF9E6B54A1BA}" name="Column1269"/>
    <tableColumn id="1270" xr3:uid="{63018A81-F61C-4281-9C6E-4C3FA5D4EEB3}" name="Column1270"/>
    <tableColumn id="1271" xr3:uid="{6A709A9F-43DC-43A7-B03B-0CF933805573}" name="Column1271"/>
    <tableColumn id="1272" xr3:uid="{1988BD26-D1BE-4827-A5DB-C5C8FF85CD4F}" name="Column1272"/>
    <tableColumn id="1273" xr3:uid="{7B537EEF-F3B7-4526-B970-95B2E66C87A9}" name="Column1273"/>
    <tableColumn id="1274" xr3:uid="{9418B279-A051-488B-849A-184639EE351E}" name="Column1274"/>
    <tableColumn id="1275" xr3:uid="{24E59C91-09A2-45E3-9A5C-E6F460D10D96}" name="Column1275"/>
    <tableColumn id="1276" xr3:uid="{6F9EE6B5-39E3-4FBE-9BDA-CCDD40B03B63}" name="Column1276"/>
    <tableColumn id="1277" xr3:uid="{D7E38089-9EFA-4EEA-BB05-E98085678AE3}" name="Column1277"/>
    <tableColumn id="1278" xr3:uid="{DF2C0683-6A00-45BF-A82F-69C177B26A72}" name="Column1278"/>
    <tableColumn id="1279" xr3:uid="{FE3A2309-58E7-48A3-BD3F-71FC2F7D88A4}" name="Column1279"/>
    <tableColumn id="1280" xr3:uid="{5A76A354-7177-4146-8A1D-C7FA1EAE1B66}" name="Column1280"/>
    <tableColumn id="1281" xr3:uid="{E3894A2F-007A-4642-8655-AF3B09B68444}" name="Column1281"/>
    <tableColumn id="1282" xr3:uid="{115A9CE9-A8BD-421D-9A7F-A4EFC78B33CC}" name="Column1282"/>
    <tableColumn id="1283" xr3:uid="{899A91A1-8760-4F27-89D4-3E2ECA36F31E}" name="Column1283"/>
    <tableColumn id="1284" xr3:uid="{0B67777C-0A33-4A48-8A96-E9DB06369CCA}" name="Column1284"/>
    <tableColumn id="1285" xr3:uid="{45441639-025E-4581-B452-BB5691E9D6C5}" name="Column1285"/>
    <tableColumn id="1286" xr3:uid="{465A8D66-8502-4388-BF35-FBD73C5BA724}" name="Column1286"/>
    <tableColumn id="1287" xr3:uid="{B3FAF09D-5403-4698-968D-70660C56A309}" name="Column1287"/>
    <tableColumn id="1288" xr3:uid="{FA828927-BC56-4E0E-BBB2-5DC62EC21919}" name="Column1288"/>
    <tableColumn id="1289" xr3:uid="{9B42C9EB-30BE-4421-87D1-A15549D28C2C}" name="Column1289"/>
    <tableColumn id="1290" xr3:uid="{291E56A3-3726-460C-B981-C7CF220B45FF}" name="Column1290"/>
    <tableColumn id="1291" xr3:uid="{1568D23F-02C0-42A3-B3F0-185C2124DA30}" name="Column1291"/>
    <tableColumn id="1292" xr3:uid="{FA3237F2-6316-4F91-85EF-721644C97291}" name="Column1292"/>
    <tableColumn id="1293" xr3:uid="{74F68376-0AFD-4D5A-829F-3B1697503BA9}" name="Column1293"/>
    <tableColumn id="1294" xr3:uid="{5F17190C-C3AB-4A83-A24E-632C47920A31}" name="Column1294"/>
    <tableColumn id="1295" xr3:uid="{28B0E573-C282-4F0D-91F6-D39AD129B896}" name="Column1295"/>
    <tableColumn id="1296" xr3:uid="{A622E392-D44F-4049-B5D3-9E3A755447B5}" name="Column1296"/>
    <tableColumn id="1297" xr3:uid="{9410D827-A972-48EB-949B-6E5773C3D171}" name="Column1297"/>
    <tableColumn id="1298" xr3:uid="{8F637874-7E0F-4797-AC08-707429B380A9}" name="Column1298"/>
    <tableColumn id="1299" xr3:uid="{54F82B2A-0AD2-4ABB-9F17-EC59F703254F}" name="Column1299"/>
    <tableColumn id="1300" xr3:uid="{3146FE24-6899-458F-AD97-53616158B096}" name="Column1300"/>
    <tableColumn id="1301" xr3:uid="{F5E6FF02-EF57-4844-BA6C-4CDB54092D55}" name="Column1301"/>
    <tableColumn id="1302" xr3:uid="{A1CC71B2-56B3-4B38-9643-58A1C16941F0}" name="Column1302"/>
    <tableColumn id="1303" xr3:uid="{5BEDCB62-0B4A-401A-B3BC-8F3B2BA21202}" name="Column1303"/>
    <tableColumn id="1304" xr3:uid="{F52E6650-8C1F-49C7-A512-FAD5C56E9CFB}" name="Column1304"/>
    <tableColumn id="1305" xr3:uid="{41385A50-3B87-466F-8435-76CB93D833FD}" name="Column1305"/>
    <tableColumn id="1306" xr3:uid="{D688D225-5E8B-4623-B51A-A76AF2B9DC24}" name="Column1306"/>
    <tableColumn id="1307" xr3:uid="{86F44A5F-7B38-4254-A769-14AD6B856FC6}" name="Column1307"/>
    <tableColumn id="1308" xr3:uid="{CB8A86B0-0C50-45BE-9951-7EAE734D2D61}" name="Column1308"/>
    <tableColumn id="1309" xr3:uid="{1A7FCA2C-766C-4702-9F0D-73DECCCB4496}" name="Column1309"/>
    <tableColumn id="1310" xr3:uid="{286735C0-D0B2-402C-9997-568FDBBED340}" name="Column1310"/>
    <tableColumn id="1311" xr3:uid="{875435CD-22F8-4F85-9FF1-CACC668493C5}" name="Column1311"/>
    <tableColumn id="1312" xr3:uid="{BF62EADE-F408-4361-910E-A063A85AEF74}" name="Column1312"/>
    <tableColumn id="1313" xr3:uid="{FA109237-0F54-4A91-9E42-3ABE89FDC2DF}" name="Column1313"/>
    <tableColumn id="1314" xr3:uid="{E0B4ADCF-BDF0-43D0-A694-A70FB0A99AB5}" name="Column1314"/>
    <tableColumn id="1315" xr3:uid="{90C0EFBF-E92F-49C0-BA84-6553F1E24557}" name="Column1315"/>
    <tableColumn id="1316" xr3:uid="{A1DD122B-20FC-4737-8E6B-CB1ACF0C3E57}" name="Column1316"/>
    <tableColumn id="1317" xr3:uid="{AF403A95-691F-49F5-8B9A-1A92CE1DC02F}" name="Column1317"/>
    <tableColumn id="1318" xr3:uid="{A6B876BD-4734-43E3-9182-C6F50E4DD552}" name="Column1318"/>
    <tableColumn id="1319" xr3:uid="{05373E69-2B64-4573-B204-E687621179BD}" name="Column1319"/>
    <tableColumn id="1320" xr3:uid="{DE442256-AFFC-4C87-8C41-220411D991F4}" name="Column1320"/>
    <tableColumn id="1321" xr3:uid="{BA23ACDD-74E6-468E-B73E-38C413E1767A}" name="Column1321"/>
    <tableColumn id="1322" xr3:uid="{F562E5F8-5298-4812-AE81-7A3705DDBA65}" name="Column1322"/>
    <tableColumn id="1323" xr3:uid="{75610DB6-5952-48EC-A40E-805E4E9953FC}" name="Column1323"/>
    <tableColumn id="1324" xr3:uid="{EC4003A3-0691-471F-A32C-6E4625019F08}" name="Column1324"/>
    <tableColumn id="1325" xr3:uid="{F2E4F8A2-35CA-48EF-B08B-E05A72D6B333}" name="Column1325"/>
    <tableColumn id="1326" xr3:uid="{5D995739-42EC-4965-A176-60A39A4A9CE0}" name="Column1326"/>
    <tableColumn id="1327" xr3:uid="{B56C4D3D-9796-440B-983B-9F9D5D38B75F}" name="Column1327"/>
    <tableColumn id="1328" xr3:uid="{9F7FA775-F421-4AE0-91C8-9DFA0193C2F6}" name="Column1328"/>
    <tableColumn id="1329" xr3:uid="{50B054E1-BE71-48E3-8AEE-E34E71FB530A}" name="Column1329"/>
    <tableColumn id="1330" xr3:uid="{A5DEC035-5854-4ADF-A691-0C6A62F5EADA}" name="Column1330"/>
    <tableColumn id="1331" xr3:uid="{85AA2116-3508-4673-BF2B-1D1E910695ED}" name="Column1331"/>
    <tableColumn id="1332" xr3:uid="{1DDCC887-1D3F-411A-A5A4-44FC9AC6E51E}" name="Column1332"/>
    <tableColumn id="1333" xr3:uid="{A71A64CA-7BB5-4564-9CB8-5C30E496FB6A}" name="Column1333"/>
    <tableColumn id="1334" xr3:uid="{2B33B3C6-148F-4074-A1A9-B5CFDE74FF10}" name="Column1334"/>
    <tableColumn id="1335" xr3:uid="{90138701-FE4B-4760-98BF-1B36FB04862C}" name="Column1335"/>
    <tableColumn id="1336" xr3:uid="{2D0C4871-F419-4EB0-BAD4-A1115FC82679}" name="Column1336"/>
    <tableColumn id="1337" xr3:uid="{01DCE075-E5BF-437B-B9C2-61BCA07F3A7A}" name="Column1337"/>
    <tableColumn id="1338" xr3:uid="{D44E61B9-02A7-4E27-A3B2-DD6918311725}" name="Column1338"/>
    <tableColumn id="1339" xr3:uid="{6059405D-6131-4E24-88A9-E34B36C478C3}" name="Column1339"/>
    <tableColumn id="1340" xr3:uid="{3F77C615-D3C1-4974-A3E6-F16D2C6B39E3}" name="Column1340"/>
    <tableColumn id="1341" xr3:uid="{2C131E3B-4033-4783-8389-E94FF2885735}" name="Column1341"/>
    <tableColumn id="1342" xr3:uid="{749C7661-AEE4-48BD-B338-5F3EDE38FD06}" name="Column1342"/>
    <tableColumn id="1343" xr3:uid="{679283CC-7907-47EF-88FE-F1A3057EDA19}" name="Column1343"/>
    <tableColumn id="1344" xr3:uid="{A15E7A3A-BFCD-487D-9719-897BE3F5A1C4}" name="Column1344"/>
    <tableColumn id="1345" xr3:uid="{BB09A5A6-9506-426B-BDC9-DB907A8A7910}" name="Column1345"/>
    <tableColumn id="1346" xr3:uid="{DD1E76D7-4E84-4AE7-8872-59F5ED5C4ECD}" name="Column1346"/>
    <tableColumn id="1347" xr3:uid="{9ABC2379-F3CA-4A82-BA90-890342FDCC49}" name="Column1347"/>
    <tableColumn id="1348" xr3:uid="{8FAD5153-FC2B-451F-9377-2DA662339518}" name="Column1348"/>
    <tableColumn id="1349" xr3:uid="{910DB49B-D1E6-4A53-A17A-352D756BBA42}" name="Column1349"/>
    <tableColumn id="1350" xr3:uid="{4CB776BE-6384-44FB-9132-3D7F8C8CD2D7}" name="Column1350"/>
    <tableColumn id="1351" xr3:uid="{718EBF23-DD7D-41FB-AA87-C67EDBC822A2}" name="Column1351"/>
    <tableColumn id="1352" xr3:uid="{3DFB39DD-F00F-4576-BF0F-D6981A462411}" name="Column1352"/>
    <tableColumn id="1353" xr3:uid="{8135EBBB-E5CB-4544-8EF8-7CF93BB9CADC}" name="Column1353"/>
    <tableColumn id="1354" xr3:uid="{02762992-16F7-4EA5-9168-01EDFAC3AB69}" name="Column1354"/>
    <tableColumn id="1355" xr3:uid="{F7BF3A95-5E2E-45FD-997C-E4EC60C08D40}" name="Column1355"/>
    <tableColumn id="1356" xr3:uid="{BBAF23AB-CEF6-46AF-A3FA-3CB541260B42}" name="Column1356"/>
    <tableColumn id="1357" xr3:uid="{0AFFED72-BD18-4DB1-8DC7-8CB6AF098A0D}" name="Column1357"/>
    <tableColumn id="1358" xr3:uid="{8A3C669E-FEA3-4F47-9380-8E598EFC3AEF}" name="Column1358"/>
    <tableColumn id="1359" xr3:uid="{965661B6-1538-42CC-BD90-65C557C1D663}" name="Column1359"/>
    <tableColumn id="1360" xr3:uid="{A75F8FBF-530C-4EDC-9C83-7BE5BFCE5651}" name="Column1360"/>
    <tableColumn id="1361" xr3:uid="{61EC72AC-BD67-4801-B0EC-980CF2907A78}" name="Column1361"/>
    <tableColumn id="1362" xr3:uid="{84C67543-153A-4976-9E13-933E00FFCC49}" name="Column1362"/>
    <tableColumn id="1363" xr3:uid="{14F29411-B26C-4EBF-B4C2-20533F48A728}" name="Column1363"/>
    <tableColumn id="1364" xr3:uid="{FD72055D-C418-452C-8B89-DB5D0C9EB42E}" name="Column1364"/>
    <tableColumn id="1365" xr3:uid="{DA7A4F9D-031F-4262-82D2-8C43C84F6B3B}" name="Column1365"/>
    <tableColumn id="1366" xr3:uid="{CBD13FE1-884A-4784-B525-5921AB17B37E}" name="Column1366"/>
    <tableColumn id="1367" xr3:uid="{66A13C8C-E6FD-44C2-B6C5-128F642CE240}" name="Column1367"/>
    <tableColumn id="1368" xr3:uid="{3C798690-DADB-446E-BFF7-6243EC9A6E99}" name="Column1368"/>
    <tableColumn id="1369" xr3:uid="{2A3DEEE4-205C-4496-862D-D9B7B2EB027A}" name="Column1369"/>
    <tableColumn id="1370" xr3:uid="{C6ED7765-F7A0-4C51-94A8-0B58399B56E5}" name="Column1370"/>
    <tableColumn id="1371" xr3:uid="{BBD2EEE3-D413-4F43-8CC9-72411AB51E64}" name="Column1371"/>
    <tableColumn id="1372" xr3:uid="{6A22030B-CA98-49C1-B28F-31A33CE022D1}" name="Column1372"/>
    <tableColumn id="1373" xr3:uid="{65C585C4-29BF-4160-A90A-6AFA464CE225}" name="Column1373"/>
    <tableColumn id="1374" xr3:uid="{0BFE09E4-ADBE-4E4C-B814-D59F1D433A07}" name="Column1374"/>
    <tableColumn id="1375" xr3:uid="{8863CD8B-588A-44EE-8C7A-AC7F3F625D34}" name="Column1375"/>
    <tableColumn id="1376" xr3:uid="{DABAE34F-5A3F-43FD-B760-EDA7E6759E65}" name="Column1376"/>
    <tableColumn id="1377" xr3:uid="{18545085-3479-4055-9B80-7096A46E7374}" name="Column1377"/>
    <tableColumn id="1378" xr3:uid="{7E3021DB-2651-4834-B1C3-EE45C8E6760E}" name="Column1378"/>
    <tableColumn id="1379" xr3:uid="{3EF6CA0F-78EE-474A-ACB0-E5641BA1E6D3}" name="Column1379"/>
    <tableColumn id="1380" xr3:uid="{C1112B9A-46A5-4020-8039-B3EDEA2EBCC3}" name="Column1380"/>
    <tableColumn id="1381" xr3:uid="{5C114AB5-28FE-43C4-922F-9E89E14534F1}" name="Column1381"/>
    <tableColumn id="1382" xr3:uid="{C995FC52-0B4A-4D8A-9CD6-C18332120212}" name="Column1382"/>
    <tableColumn id="1383" xr3:uid="{7523477A-561A-434B-A9ED-241EDC22EE37}" name="Column1383"/>
    <tableColumn id="1384" xr3:uid="{DB65437A-F9CB-40F5-A798-488A7FDCF9B0}" name="Column1384"/>
    <tableColumn id="1385" xr3:uid="{F3B8D44B-E2EB-40D3-9E24-5E1272441D4F}" name="Column1385"/>
    <tableColumn id="1386" xr3:uid="{CDB45BC0-C1B3-4E48-B952-7E005FE5DED7}" name="Column1386"/>
    <tableColumn id="1387" xr3:uid="{E5FD4905-2B1E-4DEB-8C19-9001B4D0F466}" name="Column1387"/>
    <tableColumn id="1388" xr3:uid="{91B579A5-12A4-4ADD-A065-9B4771D9429B}" name="Column1388"/>
    <tableColumn id="1389" xr3:uid="{FE9DFE2A-19A7-4CF7-A70A-A89FC23A4B4C}" name="Column1389"/>
    <tableColumn id="1390" xr3:uid="{B12E26DF-5C86-4B06-95C0-75C21181D829}" name="Column1390"/>
    <tableColumn id="1391" xr3:uid="{8846962C-87F1-4888-9D75-F2FD3BD6C07E}" name="Column1391"/>
    <tableColumn id="1392" xr3:uid="{A63637A7-8938-4500-8EB0-B5FB22484BCD}" name="Column1392"/>
    <tableColumn id="1393" xr3:uid="{0C655D4A-E8E8-4D93-9CAD-9C8D287BE855}" name="Column1393"/>
    <tableColumn id="1394" xr3:uid="{884ED570-C610-486E-A69B-C6818D336816}" name="Column1394"/>
    <tableColumn id="1395" xr3:uid="{E4EC9958-A895-4E56-A839-8E2A4CB25859}" name="Column1395"/>
    <tableColumn id="1396" xr3:uid="{EAE6DA5C-876A-4335-AC0E-76871D21670B}" name="Column1396"/>
    <tableColumn id="1397" xr3:uid="{D92175FD-898A-47C0-8D03-BBD5A1D94886}" name="Column1397"/>
    <tableColumn id="1398" xr3:uid="{0DE423AC-BEA6-47A5-A1EE-E2C7D1CF31BD}" name="Column1398"/>
    <tableColumn id="1399" xr3:uid="{408DD994-BCE6-4A83-82E4-8184AC75638A}" name="Column1399"/>
    <tableColumn id="1400" xr3:uid="{ACC66D24-0AAF-4A0D-92C3-1A36732EBB90}" name="Column1400"/>
    <tableColumn id="1401" xr3:uid="{71571CC5-F9FE-4488-A1E8-C9645E2733E6}" name="Column1401"/>
    <tableColumn id="1402" xr3:uid="{1DD80E80-CFB7-4093-A9A5-8F03A9FC5C9B}" name="Column1402"/>
    <tableColumn id="1403" xr3:uid="{FDA9D044-AB49-4F93-9BB6-A1A7DB55750A}" name="Column1403"/>
    <tableColumn id="1404" xr3:uid="{8D43B932-E0DB-4BDF-8269-14018D9C9D35}" name="Column1404"/>
    <tableColumn id="1405" xr3:uid="{0E9F09A4-8CD0-4F12-B7F0-DA664A2E6268}" name="Column1405"/>
    <tableColumn id="1406" xr3:uid="{92781C1A-FDF2-42B7-A8B9-E101C955F1E8}" name="Column1406"/>
    <tableColumn id="1407" xr3:uid="{DD7FD155-CA48-4DAE-81DF-F6238CF9537B}" name="Column1407"/>
    <tableColumn id="1408" xr3:uid="{63042DAA-9FE7-4165-BCA9-F87D85B1B2D1}" name="Column1408"/>
    <tableColumn id="1409" xr3:uid="{4A0A3D70-9E64-4A20-A01B-D9D9422D356F}" name="Column1409"/>
    <tableColumn id="1410" xr3:uid="{3520D8B9-2E86-4DBB-BCB7-69A87C0065CE}" name="Column1410"/>
    <tableColumn id="1411" xr3:uid="{9FC98157-B85E-45F9-A17D-524886AF024E}" name="Column1411"/>
    <tableColumn id="1412" xr3:uid="{60EAA78F-4EE2-41E5-B44F-E8D4F21C9403}" name="Column1412"/>
    <tableColumn id="1413" xr3:uid="{2D01A139-7F5E-404B-A256-B01A911156D1}" name="Column1413"/>
    <tableColumn id="1414" xr3:uid="{4086AA16-E3C5-475B-8C0B-C418A6A1399D}" name="Column1414"/>
    <tableColumn id="1415" xr3:uid="{860DC04D-19BD-4D57-BEDB-D29678723A8D}" name="Column1415"/>
    <tableColumn id="1416" xr3:uid="{A7FC712F-16C9-4746-94D4-86F91598D4CC}" name="Column1416"/>
    <tableColumn id="1417" xr3:uid="{3DA479C6-3B98-4BB8-A408-6007852BBC1D}" name="Column1417"/>
    <tableColumn id="1418" xr3:uid="{8E55DD50-BF49-477C-8AFA-70412B50C24A}" name="Column1418"/>
    <tableColumn id="1419" xr3:uid="{5FA88A30-0921-4208-A1AA-B3E55B6AEF64}" name="Column1419"/>
    <tableColumn id="1420" xr3:uid="{92A06DDB-433A-4373-AB41-743800065ADF}" name="Column1420"/>
    <tableColumn id="1421" xr3:uid="{AEB0F5C4-E2EA-400C-AD03-642A496D1362}" name="Column1421"/>
    <tableColumn id="1422" xr3:uid="{A9FAEC9C-D9A3-4088-9A70-24928FE1F3FE}" name="Column1422"/>
    <tableColumn id="1423" xr3:uid="{C633D5E1-0AB3-47FA-9D26-2AE96434C1A2}" name="Column1423"/>
    <tableColumn id="1424" xr3:uid="{B123CD8A-6E46-4B7F-939B-09226FE1A989}" name="Column1424"/>
    <tableColumn id="1425" xr3:uid="{C448C2F7-166A-4FB2-A820-70CE319D2EB1}" name="Column1425"/>
    <tableColumn id="1426" xr3:uid="{B335B9CF-EC8D-4F17-8CEC-F01A4941567C}" name="Column1426"/>
    <tableColumn id="1427" xr3:uid="{822CB220-CF8C-439F-9A2E-2A9788DA7D9E}" name="Column1427"/>
    <tableColumn id="1428" xr3:uid="{A9C89A35-9063-48B6-83FB-61CCDE6C14A7}" name="Column1428"/>
    <tableColumn id="1429" xr3:uid="{6279E54C-B042-4B63-835B-F4DECF8393F0}" name="Column1429"/>
    <tableColumn id="1430" xr3:uid="{4B510BBF-02A2-4503-8E42-B53CB5E694D7}" name="Column1430"/>
    <tableColumn id="1431" xr3:uid="{08BD2D06-9894-4A23-A20B-07F84BFFE985}" name="Column1431"/>
    <tableColumn id="1432" xr3:uid="{E2A3ECEE-7C9F-4DE8-876B-27DDC2EC607A}" name="Column1432"/>
    <tableColumn id="1433" xr3:uid="{6987169F-678B-4EFD-A559-6E9852BB152D}" name="Column1433"/>
    <tableColumn id="1434" xr3:uid="{BF2A8C9F-F77D-4C44-9CDF-101017E9C789}" name="Column1434"/>
    <tableColumn id="1435" xr3:uid="{2C4506C3-0E55-4844-9571-929A9D5B9B41}" name="Column1435"/>
    <tableColumn id="1436" xr3:uid="{72BF569E-9199-4B82-AB56-2CC518AE63DE}" name="Column1436"/>
    <tableColumn id="1437" xr3:uid="{267025D4-1241-4383-9851-749540C97522}" name="Column1437"/>
    <tableColumn id="1438" xr3:uid="{34698553-B3C1-46AC-A47D-13DBDF1DD81E}" name="Column1438"/>
    <tableColumn id="1439" xr3:uid="{7EA52B96-36D4-4398-9E54-6C1464434F7E}" name="Column1439"/>
    <tableColumn id="1440" xr3:uid="{D3FDEE08-6220-45F0-8C19-79A52FA71CB1}" name="Column1440"/>
    <tableColumn id="1441" xr3:uid="{69B9703F-B445-4D74-9A2F-66C7EDD520E5}" name="Column1441"/>
    <tableColumn id="1442" xr3:uid="{DD4B1442-67BD-4272-8D4E-0F6B329A3782}" name="Column1442"/>
    <tableColumn id="1443" xr3:uid="{5BBE8369-1A60-42A4-B171-D9C22DDE2628}" name="Column1443"/>
    <tableColumn id="1444" xr3:uid="{7179EA8A-3853-4078-9A30-DE3AE307FA04}" name="Column1444"/>
    <tableColumn id="1445" xr3:uid="{9BA1F7E2-036B-471D-BD4A-FC4906F37C55}" name="Column1445"/>
    <tableColumn id="1446" xr3:uid="{D68F7ED9-41A8-4BA8-89C7-314FA95E5E19}" name="Column1446"/>
    <tableColumn id="1447" xr3:uid="{911EDAFC-0B6E-490A-904E-B2570A455D35}" name="Column1447"/>
    <tableColumn id="1448" xr3:uid="{F19D0768-F297-4103-9B96-EBBFD0265C49}" name="Column1448"/>
    <tableColumn id="1449" xr3:uid="{1158B973-CBB8-4B5F-9D4C-3F6BEBEE2EFC}" name="Column1449"/>
    <tableColumn id="1450" xr3:uid="{00CEF335-DC67-4FE9-A93D-54EE4F867040}" name="Column1450"/>
    <tableColumn id="1451" xr3:uid="{4E4399C1-5727-4E00-91A3-A5951BAD18B0}" name="Column1451"/>
    <tableColumn id="1452" xr3:uid="{50F205C4-1431-41C9-BC61-48BD94594A4D}" name="Column1452"/>
    <tableColumn id="1453" xr3:uid="{C98368F1-4381-4BBA-ABDF-6454BEC3EC50}" name="Column1453"/>
    <tableColumn id="1454" xr3:uid="{6869577A-9A08-4EB7-9FC0-194A2F5EB9A3}" name="Column1454"/>
    <tableColumn id="1455" xr3:uid="{09A48273-3DB0-4016-8866-BE7165BF1C52}" name="Column1455"/>
    <tableColumn id="1456" xr3:uid="{250D6738-ED2B-4194-B09D-7EE3AC172542}" name="Column1456"/>
    <tableColumn id="1457" xr3:uid="{DB4E9613-12BB-41E7-AE4C-89D47439C634}" name="Column1457"/>
    <tableColumn id="1458" xr3:uid="{1610F1BF-EDF7-488A-AD8A-A1D1DE24A0E5}" name="Column1458"/>
    <tableColumn id="1459" xr3:uid="{5A615F8A-EB0D-42DB-B3D0-A89F935BB10B}" name="Column1459"/>
    <tableColumn id="1460" xr3:uid="{FA3286E3-36AD-4C60-915E-9822891FB679}" name="Column1460"/>
    <tableColumn id="1461" xr3:uid="{04366D6B-7F57-4DB9-955F-C8FCF18954A9}" name="Column1461"/>
    <tableColumn id="1462" xr3:uid="{4F011092-C038-4592-9242-058B3E5A8166}" name="Column1462"/>
    <tableColumn id="1463" xr3:uid="{C8CD168D-3B1A-463A-95E1-B4201C220106}" name="Column1463"/>
    <tableColumn id="1464" xr3:uid="{6BA5E3B0-6099-4A04-90BE-F31A3292A906}" name="Column1464"/>
    <tableColumn id="1465" xr3:uid="{BBF357AF-7E04-4D38-A8BC-7C05ECEE7C76}" name="Column1465"/>
    <tableColumn id="1466" xr3:uid="{2E5F4520-8DF0-4E9C-91C2-DD58BB9A9D32}" name="Column1466"/>
    <tableColumn id="1467" xr3:uid="{39F651DF-06CE-4A5D-9217-2743B93A2684}" name="Column1467"/>
    <tableColumn id="1468" xr3:uid="{F94F3B4F-6E82-4C66-A13F-2086A70D4C0D}" name="Column1468"/>
    <tableColumn id="1469" xr3:uid="{9873E900-793E-4144-AE96-DCD910D2B488}" name="Column1469"/>
    <tableColumn id="1470" xr3:uid="{53C9A8AA-93EA-4B8D-A53C-87418F8CAC71}" name="Column1470"/>
    <tableColumn id="1471" xr3:uid="{0BDAFD31-D1C8-4432-BA84-1A8A6E8EF584}" name="Column1471"/>
    <tableColumn id="1472" xr3:uid="{A0981C94-FC97-4379-A3AE-61929D86025D}" name="Column1472"/>
    <tableColumn id="1473" xr3:uid="{1F3ED674-3119-4A37-90E8-7F6B233D3EC0}" name="Column1473"/>
    <tableColumn id="1474" xr3:uid="{AE7C8F52-6758-44D1-AEEA-E9F753182C04}" name="Column1474"/>
    <tableColumn id="1475" xr3:uid="{5CF26B61-0993-4294-850A-48EB776F0FEA}" name="Column1475"/>
    <tableColumn id="1476" xr3:uid="{753ABD8F-5695-4A54-A9A1-17C9718D433A}" name="Column1476"/>
    <tableColumn id="1477" xr3:uid="{9924DA2D-EEE3-4375-8D44-58BA9C579030}" name="Column1477"/>
    <tableColumn id="1478" xr3:uid="{9F8FE895-9558-4A90-84AD-97243D4A8DF1}" name="Column1478"/>
    <tableColumn id="1479" xr3:uid="{312B4825-CA01-4AD7-B964-63FCF92E7318}" name="Column1479"/>
    <tableColumn id="1480" xr3:uid="{8266BC33-4416-44ED-A20B-F84F6605E8ED}" name="Column1480"/>
    <tableColumn id="1481" xr3:uid="{F72D3C5F-A3B4-48F0-99AD-7134DFA012A2}" name="Column1481"/>
    <tableColumn id="1482" xr3:uid="{C8F9A52D-9566-437E-80B1-DBAFF9D4C46E}" name="Column1482"/>
    <tableColumn id="1483" xr3:uid="{EA7CB193-56DD-45A0-BACE-46B66BFB9021}" name="Column1483"/>
    <tableColumn id="1484" xr3:uid="{80E6D672-5885-42C6-B9B1-8A85F971F30C}" name="Column1484"/>
    <tableColumn id="1485" xr3:uid="{877AB893-890B-4476-88D7-692B63DC6BAF}" name="Column1485"/>
    <tableColumn id="1486" xr3:uid="{F427D373-98DF-43F9-86E5-99B29EC98891}" name="Column1486"/>
    <tableColumn id="1487" xr3:uid="{D501986D-728D-491A-A495-3DA2E9338464}" name="Column1487"/>
    <tableColumn id="1488" xr3:uid="{E9917B1F-FC4A-4DA7-8C6E-46B727A59A05}" name="Column1488"/>
    <tableColumn id="1489" xr3:uid="{9CCDA4CE-D791-4405-BA68-0D80FC3A2224}" name="Column1489"/>
    <tableColumn id="1490" xr3:uid="{913C4473-2048-4FB6-A709-D7A6F66BE97C}" name="Column1490"/>
    <tableColumn id="1491" xr3:uid="{78829857-55C1-417E-8350-9F177F392B5E}" name="Column1491"/>
    <tableColumn id="1492" xr3:uid="{810E59C8-A368-4B61-BFFF-551B94EA3019}" name="Column1492"/>
    <tableColumn id="1493" xr3:uid="{1950B5D0-4A5E-4FDA-9D42-39AB6070DA7A}" name="Column1493"/>
    <tableColumn id="1494" xr3:uid="{10EC9474-4F27-424D-95C5-AE2E5B76DD0D}" name="Column1494"/>
    <tableColumn id="1495" xr3:uid="{1593A006-CACD-4A50-8C8B-884F5F4F098B}" name="Column1495"/>
    <tableColumn id="1496" xr3:uid="{A93E43C6-31BF-49DB-AC8A-21A637A1056F}" name="Column1496"/>
    <tableColumn id="1497" xr3:uid="{5211CBDF-193A-43F9-9D28-A081A9D20CB1}" name="Column1497"/>
    <tableColumn id="1498" xr3:uid="{C9BDA871-71DD-4AFF-A956-E83D50E0E7DB}" name="Column1498"/>
    <tableColumn id="1499" xr3:uid="{02299D3A-533E-4AA8-A196-8286E49FA3CD}" name="Column1499"/>
    <tableColumn id="1500" xr3:uid="{6560EDE4-7F1C-4DEA-8FC3-A386FD5CC76E}" name="Column1500"/>
    <tableColumn id="1501" xr3:uid="{337C3015-E97F-48F9-A222-D143FA96EC91}" name="Column1501"/>
    <tableColumn id="1502" xr3:uid="{7255149D-BC8B-4F80-A555-0B3A6EA9AE45}" name="Column1502"/>
    <tableColumn id="1503" xr3:uid="{1A8473CB-A086-47C5-9227-215E581B6144}" name="Column1503"/>
    <tableColumn id="1504" xr3:uid="{B0BDEA4F-B800-46A5-BF6F-1592569C8811}" name="Column1504"/>
    <tableColumn id="1505" xr3:uid="{3F7CEF03-8EAC-4BF9-A857-F14F9FEDEAE8}" name="Column1505"/>
    <tableColumn id="1506" xr3:uid="{D8B2419A-4C2A-452B-8FCD-3932FD3178F0}" name="Column1506"/>
    <tableColumn id="1507" xr3:uid="{219326AD-F87C-44EA-860F-8BE16B9F60C0}" name="Column1507"/>
    <tableColumn id="1508" xr3:uid="{3AD618CD-9984-4A1A-8D77-66752191687F}" name="Column1508"/>
    <tableColumn id="1509" xr3:uid="{84B614CE-60A7-4D12-975D-B866C9A82375}" name="Column1509"/>
    <tableColumn id="1510" xr3:uid="{ACDD5B43-876B-4FE8-8F01-7AA152F01FEA}" name="Column1510"/>
    <tableColumn id="1511" xr3:uid="{6B2BF895-98BD-4342-98F6-3AB8CF8B6B38}" name="Column1511"/>
    <tableColumn id="1512" xr3:uid="{CD65BA14-E6E6-458A-BD0A-E49B2A99B8E1}" name="Column1512"/>
    <tableColumn id="1513" xr3:uid="{C3560FD8-076D-4A76-B95C-F74F1E34DDD0}" name="Column1513"/>
    <tableColumn id="1514" xr3:uid="{BF8B26A2-721A-4C73-8688-411399708B06}" name="Column1514"/>
    <tableColumn id="1515" xr3:uid="{C8E171F6-8A17-44C2-9ABB-5698C7FA58C1}" name="Column1515"/>
    <tableColumn id="1516" xr3:uid="{E0A403DC-362A-410A-B266-DDDB9FE91070}" name="Column1516"/>
    <tableColumn id="1517" xr3:uid="{870826CB-C238-4FB7-9542-BC2383CEC8D4}" name="Column1517"/>
    <tableColumn id="1518" xr3:uid="{A12D01C7-76D3-4BA9-A9A0-1213DDBA51CB}" name="Column1518"/>
    <tableColumn id="1519" xr3:uid="{7C83F083-17CC-4B46-AFC1-541E7088C626}" name="Column1519"/>
    <tableColumn id="1520" xr3:uid="{DD19E794-5B3C-46BE-9BB2-F5FC48346DDB}" name="Column1520"/>
    <tableColumn id="1521" xr3:uid="{0943F365-886F-41FB-AA62-4FEB9EF4F123}" name="Column1521"/>
    <tableColumn id="1522" xr3:uid="{1C1D7B18-4F47-4A26-96FC-2D829506BC18}" name="Column1522"/>
    <tableColumn id="1523" xr3:uid="{54C89CC8-606E-4278-873A-51BD4CE5EF9F}" name="Column1523"/>
    <tableColumn id="1524" xr3:uid="{201B70AA-04DD-42AE-A172-55457A644D60}" name="Column1524"/>
    <tableColumn id="1525" xr3:uid="{E2C069B7-ADB9-4549-B343-CB9DA662C4A5}" name="Column1525"/>
    <tableColumn id="1526" xr3:uid="{2567D2AF-5AE4-4529-9784-408EDCB17CF0}" name="Column1526"/>
    <tableColumn id="1527" xr3:uid="{A9659C21-71D4-4457-9B4E-1B905B5B5147}" name="Column1527"/>
    <tableColumn id="1528" xr3:uid="{DE8D43BA-61B4-4630-B871-5D652AEF60A5}" name="Column1528"/>
    <tableColumn id="1529" xr3:uid="{292777E7-9357-4FB3-A60F-8EE2C0382001}" name="Column1529"/>
    <tableColumn id="1530" xr3:uid="{C0CF6273-99C8-41F6-B1DC-167DFFF207DF}" name="Column1530"/>
    <tableColumn id="1531" xr3:uid="{348F758A-48B7-48EC-805C-FFE9BDF38491}" name="Column1531"/>
    <tableColumn id="1532" xr3:uid="{7025374F-416F-46D0-A173-A60841524F50}" name="Column1532"/>
    <tableColumn id="1533" xr3:uid="{3DF84F22-4137-47EA-BD6B-48D90E44C9C3}" name="Column1533"/>
    <tableColumn id="1534" xr3:uid="{3ACDD0A4-E603-4BF3-8B41-7C8DCF4D83B4}" name="Column1534"/>
    <tableColumn id="1535" xr3:uid="{131CF751-D893-4BA1-BE9C-51A0E963D2A1}" name="Column1535"/>
    <tableColumn id="1536" xr3:uid="{CE6D4C98-C905-48AE-83AF-23005E0B9C16}" name="Column1536"/>
    <tableColumn id="1537" xr3:uid="{C4F21758-4D5B-4C4A-8073-6A99BF80054D}" name="Column1537"/>
    <tableColumn id="1538" xr3:uid="{387CFEBE-C8E8-421B-B068-E33576A083FB}" name="Column1538"/>
    <tableColumn id="1539" xr3:uid="{97A3D869-9691-4409-BB2E-7D3378200A68}" name="Column1539"/>
    <tableColumn id="1540" xr3:uid="{1B14B891-D399-41A8-A566-6146EAFC6C99}" name="Column1540"/>
    <tableColumn id="1541" xr3:uid="{D0A7840F-7EE4-4DD3-8405-728B0C09099F}" name="Column1541"/>
    <tableColumn id="1542" xr3:uid="{28688EF7-3383-410B-A49C-EFF4F03B8E1C}" name="Column1542"/>
    <tableColumn id="1543" xr3:uid="{49409F25-EAF5-4235-BEEC-7F9D276CA6C0}" name="Column1543"/>
    <tableColumn id="1544" xr3:uid="{6C3F9CE4-CC29-462D-B80D-7E62033845CE}" name="Column1544"/>
    <tableColumn id="1545" xr3:uid="{884FAF50-BA3E-42A2-B973-4F5C7A5A02DE}" name="Column1545"/>
    <tableColumn id="1546" xr3:uid="{52869A57-EE13-4896-99F0-4A4475355438}" name="Column1546"/>
    <tableColumn id="1547" xr3:uid="{EC5406F8-F51E-4202-A071-5D9598110D26}" name="Column1547"/>
    <tableColumn id="1548" xr3:uid="{85329FFE-F79E-41D9-8E54-1827DF35A825}" name="Column1548"/>
    <tableColumn id="1549" xr3:uid="{E3AC1F37-F4F0-4732-9F07-D95C1AFC7E3C}" name="Column1549"/>
    <tableColumn id="1550" xr3:uid="{E72161FC-E68F-40F7-AED6-D4D661EBDD9B}" name="Column1550"/>
    <tableColumn id="1551" xr3:uid="{6AD47F3B-361E-494E-B8DE-1B87042F4A38}" name="Column1551"/>
    <tableColumn id="1552" xr3:uid="{AE215FC3-54BD-4D25-9720-BD8041B4CEB5}" name="Column1552"/>
    <tableColumn id="1553" xr3:uid="{31F31892-2546-4DAC-A8BD-18D444FD305E}" name="Column1553"/>
    <tableColumn id="1554" xr3:uid="{1288FACF-6C95-4A42-80AB-59A97F380621}" name="Column1554"/>
    <tableColumn id="1555" xr3:uid="{E81185F7-ED36-4DA1-B128-C4C78442CB17}" name="Column1555"/>
    <tableColumn id="1556" xr3:uid="{024F4514-3F85-4418-AE99-C8A5BB1A5B02}" name="Column1556"/>
    <tableColumn id="1557" xr3:uid="{F4D9111E-5EA0-4F93-9CE6-535EDAD9A6C6}" name="Column1557"/>
    <tableColumn id="1558" xr3:uid="{F9084354-3481-454B-A92B-C05B8D80BC61}" name="Column1558"/>
    <tableColumn id="1559" xr3:uid="{24A24759-5C77-40AD-9285-F298898D2DEA}" name="Column1559"/>
    <tableColumn id="1560" xr3:uid="{BC3A76DA-9931-4332-A71F-B05BA3F1E410}" name="Column1560"/>
    <tableColumn id="1561" xr3:uid="{A80BFEC3-0A1A-4EC9-8B9C-48540F8C4365}" name="Column1561"/>
    <tableColumn id="1562" xr3:uid="{D31214BA-B004-4219-AEF1-7D058989CFF8}" name="Column1562"/>
    <tableColumn id="1563" xr3:uid="{C612A697-FA13-4A8B-A32E-E0B2E37F1678}" name="Column1563"/>
    <tableColumn id="1564" xr3:uid="{36AE6F6D-BB23-4CDF-898F-2DC3F1B9F371}" name="Column1564"/>
    <tableColumn id="1565" xr3:uid="{F15320B7-5379-4562-8F8E-170DBEE08943}" name="Column1565"/>
    <tableColumn id="1566" xr3:uid="{EA11D748-6BD3-4870-A144-30516C118D66}" name="Column1566"/>
    <tableColumn id="1567" xr3:uid="{FD746E6A-F4B8-4F6C-9516-038BA37CD742}" name="Column1567"/>
    <tableColumn id="1568" xr3:uid="{49D6C4E8-D07B-4A0F-BA60-2BD41A6EE157}" name="Column1568"/>
    <tableColumn id="1569" xr3:uid="{309B5641-5BA4-4F47-B437-22AF2CF5AD5B}" name="Column1569"/>
    <tableColumn id="1570" xr3:uid="{84412504-F6C7-4C65-93D5-3F0B9D20A8CC}" name="Column1570"/>
    <tableColumn id="1571" xr3:uid="{3FD692A5-B2FF-459F-B3CA-D24A3F49E7A8}" name="Column1571"/>
    <tableColumn id="1572" xr3:uid="{E10E25FD-4875-458D-B02E-3267F6D1E870}" name="Column1572"/>
    <tableColumn id="1573" xr3:uid="{A276CC87-48D3-475A-BBC5-7AC00C1256C5}" name="Column1573"/>
    <tableColumn id="1574" xr3:uid="{CE46FA16-E11F-4173-A1D2-925489C87F37}" name="Column1574"/>
    <tableColumn id="1575" xr3:uid="{5D7D5B96-1952-4EBA-A098-176EF1DE1F32}" name="Column1575"/>
    <tableColumn id="1576" xr3:uid="{892B8716-46B3-47F3-B333-76F1555DBB03}" name="Column1576"/>
    <tableColumn id="1577" xr3:uid="{44F89DE6-F868-4E52-B159-EBC398FE5B8E}" name="Column1577"/>
    <tableColumn id="1578" xr3:uid="{770A2965-B464-470D-956F-AC633673EDD9}" name="Column1578"/>
    <tableColumn id="1579" xr3:uid="{6D381D8B-7BBC-409B-BA27-760795FB3A96}" name="Column1579"/>
    <tableColumn id="1580" xr3:uid="{DB9B5C7B-7F8A-4178-86C5-F84A32EED56C}" name="Column1580"/>
    <tableColumn id="1581" xr3:uid="{1C3F21F9-1A7C-4C74-952D-B4291E731470}" name="Column1581"/>
    <tableColumn id="1582" xr3:uid="{8F5D7CD8-AF93-4A96-8A46-439D72F14D01}" name="Column1582"/>
    <tableColumn id="1583" xr3:uid="{16CE4FAA-7709-40F7-9743-DAEDA40DD017}" name="Column1583"/>
    <tableColumn id="1584" xr3:uid="{C947F374-805C-4D72-B7BF-5DEE017F7164}" name="Column1584"/>
    <tableColumn id="1585" xr3:uid="{73C0FC24-725C-475A-8A48-8F7C2D71D9EE}" name="Column1585"/>
    <tableColumn id="1586" xr3:uid="{30624FE9-2635-43FF-A032-2503219501D2}" name="Column1586"/>
    <tableColumn id="1587" xr3:uid="{42553E09-87D8-488E-A7CD-9142D1027FEF}" name="Column1587"/>
    <tableColumn id="1588" xr3:uid="{DAD76C97-D007-4E52-ADE5-FB8D2931B05B}" name="Column1588"/>
    <tableColumn id="1589" xr3:uid="{657E9AB7-115D-491B-B601-1B4CB81926AB}" name="Column1589"/>
    <tableColumn id="1590" xr3:uid="{CD20864E-EF6A-4349-A782-DDB8EA145547}" name="Column1590"/>
    <tableColumn id="1591" xr3:uid="{EE9BCD37-0A07-46FC-A76C-DC1C19CF6CEA}" name="Column1591"/>
    <tableColumn id="1592" xr3:uid="{B88C9768-72FD-4610-B9A4-DEBD42D81B2C}" name="Column1592"/>
    <tableColumn id="1593" xr3:uid="{944F909B-5A0B-40C5-B82F-735920EC9491}" name="Column1593"/>
    <tableColumn id="1594" xr3:uid="{192478DF-78AE-4FBE-B5A7-7E7BD95DB151}" name="Column1594"/>
    <tableColumn id="1595" xr3:uid="{18044012-3D24-482C-878C-37929D20F25E}" name="Column1595"/>
    <tableColumn id="1596" xr3:uid="{3E5787B5-E5B7-449A-B10C-F0A6D20F279C}" name="Column1596"/>
    <tableColumn id="1597" xr3:uid="{ADCD6E96-5F7D-49C0-8071-42986BF214CD}" name="Column1597"/>
    <tableColumn id="1598" xr3:uid="{E2703413-63BB-4CEB-B6BA-90DCE35C52BB}" name="Column1598"/>
    <tableColumn id="1599" xr3:uid="{2D7BEEC5-EE0C-431F-B976-507727D9887A}" name="Column1599"/>
    <tableColumn id="1600" xr3:uid="{1AF5201F-5022-48B3-AB6E-E7D595A6FBAB}" name="Column1600"/>
    <tableColumn id="1601" xr3:uid="{3D7ED058-2F71-45C0-9E8C-0C2FCFFC5AFA}" name="Column1601"/>
    <tableColumn id="1602" xr3:uid="{3AAE240C-3F23-45BA-B172-CFA5011464E1}" name="Column1602"/>
    <tableColumn id="1603" xr3:uid="{DC0A34A1-F66E-4B4C-810D-A7494D1DAB17}" name="Column1603"/>
    <tableColumn id="1604" xr3:uid="{0F9C5CC8-5B65-4B3D-AB6B-CBCD16F3FF11}" name="Column1604"/>
    <tableColumn id="1605" xr3:uid="{44FB5511-E024-450C-A55B-7185554C1270}" name="Column1605"/>
    <tableColumn id="1606" xr3:uid="{F030D3E5-7E1A-42D9-B2E3-1FD518AB7061}" name="Column1606"/>
    <tableColumn id="1607" xr3:uid="{6477F4B1-E19D-4425-924B-F4706D2904D6}" name="Column1607"/>
    <tableColumn id="1608" xr3:uid="{A8C1D48E-FA7C-47D1-9F61-CE7B202682AD}" name="Column1608"/>
    <tableColumn id="1609" xr3:uid="{E5401371-F6B9-42CC-A11C-26079C93F4AD}" name="Column1609"/>
    <tableColumn id="1610" xr3:uid="{F948FB7A-BB12-49A5-9BDB-4CD5FE5B11FB}" name="Column1610"/>
    <tableColumn id="1611" xr3:uid="{E852D075-8A85-443D-B1D5-3948FBA8ED9E}" name="Column1611"/>
    <tableColumn id="1612" xr3:uid="{02F6E125-E7D0-4EC1-AB6A-9A759189E269}" name="Column1612"/>
    <tableColumn id="1613" xr3:uid="{FB7423F0-32E3-4763-8736-B20A7CFF4CD1}" name="Column1613"/>
    <tableColumn id="1614" xr3:uid="{343AE2B1-B77B-4062-A689-C54C43C06DA4}" name="Column1614"/>
    <tableColumn id="1615" xr3:uid="{B88A9F8A-1D54-4A36-9186-F621B46D79F3}" name="Column1615"/>
    <tableColumn id="1616" xr3:uid="{D8A63B67-4E2C-4323-ABB9-F379C5D2BA5F}" name="Column1616"/>
    <tableColumn id="1617" xr3:uid="{6649384F-853A-4638-AA33-318306078832}" name="Column1617"/>
    <tableColumn id="1618" xr3:uid="{092CE92F-71CF-4C07-9A78-B2D95B6D1192}" name="Column1618"/>
    <tableColumn id="1619" xr3:uid="{B6D5DF89-09A1-4277-B03F-6947B6C24CFF}" name="Column1619"/>
    <tableColumn id="1620" xr3:uid="{4B59E2E2-6F72-4FF2-AA6B-2889395C6011}" name="Column1620"/>
    <tableColumn id="1621" xr3:uid="{0A00D5B8-87C5-4D5B-A30B-0D07AC03BA53}" name="Column1621"/>
    <tableColumn id="1622" xr3:uid="{1BCB5B45-B5D2-4C85-AD59-DF95DBC54E82}" name="Column1622"/>
    <tableColumn id="1623" xr3:uid="{68818C80-DEE5-4DC1-826A-24A00587D007}" name="Column1623"/>
    <tableColumn id="1624" xr3:uid="{06937AAB-F1B3-4B88-9011-76FFA5E513D7}" name="Column1624"/>
    <tableColumn id="1625" xr3:uid="{5DC3E114-EEC5-4C33-ACE8-201ACDEC8EC7}" name="Column1625"/>
    <tableColumn id="1626" xr3:uid="{056E8A4B-7B17-400F-BC1B-F9909FB3E060}" name="Column1626"/>
    <tableColumn id="1627" xr3:uid="{611D3E63-F8F4-436D-835A-8A3402874C41}" name="Column1627"/>
    <tableColumn id="1628" xr3:uid="{6FA33F36-7BF4-416C-B41E-242C3C57935C}" name="Column1628"/>
    <tableColumn id="1629" xr3:uid="{23758940-74F2-4C09-A61B-AAB5426D1823}" name="Column1629"/>
    <tableColumn id="1630" xr3:uid="{83C47635-B058-44F1-A318-FF7427390884}" name="Column1630"/>
    <tableColumn id="1631" xr3:uid="{70478683-ADBB-4BED-B770-4182FA63A492}" name="Column1631"/>
    <tableColumn id="1632" xr3:uid="{758483D3-24DA-4ABE-85E8-E6CD157DB7C3}" name="Column1632"/>
    <tableColumn id="1633" xr3:uid="{328429AF-8FE6-4361-BE33-6FBC0C205772}" name="Column1633"/>
    <tableColumn id="1634" xr3:uid="{0EC97EF3-6353-4EFA-AF8D-0342D64517D1}" name="Column1634"/>
    <tableColumn id="1635" xr3:uid="{B92BDB94-BFF1-44C4-9769-16204B6B3726}" name="Column1635"/>
    <tableColumn id="1636" xr3:uid="{1DDB5493-5526-4089-ADAA-22E6DFE941EB}" name="Column1636"/>
    <tableColumn id="1637" xr3:uid="{1A990588-F006-41AF-9AD9-D55CCF113493}" name="Column1637"/>
    <tableColumn id="1638" xr3:uid="{79DC5C5E-CBAE-4EDA-9CE0-8ABF505405DE}" name="Column1638"/>
    <tableColumn id="1639" xr3:uid="{2742B321-E091-42C7-9F1D-138EE9C14A20}" name="Column1639"/>
    <tableColumn id="1640" xr3:uid="{68AB297D-A97B-4FEE-912D-AF52BAFE61B9}" name="Column1640"/>
    <tableColumn id="1641" xr3:uid="{3752296F-B5AF-4E0C-AAF2-09AA7C07D3D6}" name="Column1641"/>
    <tableColumn id="1642" xr3:uid="{2A2EB0F7-220C-4161-A3CE-2B9208FD6286}" name="Column1642"/>
    <tableColumn id="1643" xr3:uid="{8DD66B7D-A58B-4478-9D71-C0BAD7D37486}" name="Column1643"/>
    <tableColumn id="1644" xr3:uid="{42FC25E6-6368-47FE-AA10-18BA523F55FE}" name="Column1644"/>
    <tableColumn id="1645" xr3:uid="{08433FD8-D858-402D-82AB-58D37839B8ED}" name="Column1645"/>
    <tableColumn id="1646" xr3:uid="{89779966-F3E2-4B46-90DB-5B328EB4B8E9}" name="Column1646"/>
    <tableColumn id="1647" xr3:uid="{B952E6F7-6FE5-40F4-880E-9BCC609AE224}" name="Column1647"/>
    <tableColumn id="1648" xr3:uid="{9254DBBA-2838-43A1-888E-76B4B0AE03A2}" name="Column1648"/>
    <tableColumn id="1649" xr3:uid="{81495E66-357C-4960-899E-E202F884A8DC}" name="Column1649"/>
    <tableColumn id="1650" xr3:uid="{C65CED44-8F97-4854-A30F-70000D8A5712}" name="Column1650"/>
    <tableColumn id="1651" xr3:uid="{8EE0127A-2E8F-47A4-B218-86BB247A94F4}" name="Column1651"/>
    <tableColumn id="1652" xr3:uid="{2F96E1E9-00A1-460B-BDC5-5D14CA9AE5D1}" name="Column1652"/>
    <tableColumn id="1653" xr3:uid="{8C7DBA6B-A6C9-441D-9CB2-F6E003184160}" name="Column1653"/>
    <tableColumn id="1654" xr3:uid="{76993E27-C5D0-4700-A184-335421391694}" name="Column1654"/>
    <tableColumn id="1655" xr3:uid="{B2BCFBCF-9640-4D3A-8BE0-1606D079F785}" name="Column1655"/>
    <tableColumn id="1656" xr3:uid="{771EE260-362D-4805-A51D-6CA451FEAB38}" name="Column1656"/>
    <tableColumn id="1657" xr3:uid="{27EEF9BC-1FAC-43B5-AB1C-DFFBE9B42CED}" name="Column1657"/>
    <tableColumn id="1658" xr3:uid="{53DB0C53-06F8-4B0C-9738-5E90C563B65E}" name="Column1658"/>
    <tableColumn id="1659" xr3:uid="{1DB02F5B-7334-440F-A5A3-DD015EFC22D4}" name="Column1659"/>
    <tableColumn id="1660" xr3:uid="{B894F66B-60C6-4D56-8198-C79A0E90F43C}" name="Column1660"/>
    <tableColumn id="1661" xr3:uid="{0F573395-D1DF-47FD-9613-A7A51435B1E4}" name="Column1661"/>
    <tableColumn id="1662" xr3:uid="{DFEAD34D-4C5C-489F-A6FC-F5C1E0897109}" name="Column1662"/>
    <tableColumn id="1663" xr3:uid="{C7436EB1-1263-453F-A86B-F81CA1727246}" name="Column1663"/>
    <tableColumn id="1664" xr3:uid="{3622A2AE-3A5C-4D6C-81E4-4CE609C4FD3D}" name="Column1664"/>
    <tableColumn id="1665" xr3:uid="{F7658CB1-0B9E-457F-9B9A-3B58420A9968}" name="Column1665"/>
    <tableColumn id="1666" xr3:uid="{29B7E718-0C2C-4EDA-86C3-B8267C6769FE}" name="Column1666"/>
    <tableColumn id="1667" xr3:uid="{89913349-98B9-4198-8B3F-ED310ED1E9FF}" name="Column1667"/>
    <tableColumn id="1668" xr3:uid="{48162A6F-D40D-4A94-BA5F-5A28FA606614}" name="Column1668"/>
    <tableColumn id="1669" xr3:uid="{E6E09B35-C086-41EB-BA49-F19C7ABA87DE}" name="Column1669"/>
    <tableColumn id="1670" xr3:uid="{186AA07A-75C3-4E65-BE95-6BF796AF899D}" name="Column1670"/>
    <tableColumn id="1671" xr3:uid="{83C3B4FC-2873-4503-850E-BE617DC117A7}" name="Column1671"/>
    <tableColumn id="1672" xr3:uid="{B0E0EC1C-E41D-4ECB-9AE9-F31850321347}" name="Column1672"/>
    <tableColumn id="1673" xr3:uid="{5697D2FD-9170-4EFF-AB6D-F05949FA3D84}" name="Column1673"/>
    <tableColumn id="1674" xr3:uid="{92B5D82C-4BEC-4F5F-B245-88314DC26241}" name="Column1674"/>
    <tableColumn id="1675" xr3:uid="{F9E3CD8B-AC0E-4292-9887-84C6D1F22CC2}" name="Column1675"/>
    <tableColumn id="1676" xr3:uid="{FB986055-FCDF-4CD4-8933-64E2C9D8E908}" name="Column1676"/>
    <tableColumn id="1677" xr3:uid="{A16BE9B2-E5C8-474F-B3FD-E22FC5B20808}" name="Column1677"/>
    <tableColumn id="1678" xr3:uid="{5D8A1C68-A6BB-4123-B0FC-DA1E32CF719F}" name="Column1678"/>
    <tableColumn id="1679" xr3:uid="{96129E3E-8E35-4FD1-8402-2B7D1B640B4A}" name="Column1679"/>
    <tableColumn id="1680" xr3:uid="{E89FCB49-0E73-4DB0-944B-B668B32295AC}" name="Column1680"/>
    <tableColumn id="1681" xr3:uid="{A8A920F4-04E3-49A7-9FE2-FA67E9AC7657}" name="Column1681"/>
    <tableColumn id="1682" xr3:uid="{4E92A450-2B18-4492-8070-EA75FC5176E8}" name="Column1682"/>
    <tableColumn id="1683" xr3:uid="{3633BD59-B7EE-42A3-9E07-F12F7B7F27E2}" name="Column1683"/>
    <tableColumn id="1684" xr3:uid="{4369B616-E468-4752-A866-B38CC58D2AF5}" name="Column1684"/>
    <tableColumn id="1685" xr3:uid="{55DEF98D-7FC0-40E4-A5FF-5E1647DBDC6A}" name="Column1685"/>
    <tableColumn id="1686" xr3:uid="{9B8EE53B-6E46-4876-AF72-5B5A5A9BF892}" name="Column1686"/>
    <tableColumn id="1687" xr3:uid="{D34BAA3B-F004-4445-B8E5-3941C43E3AE2}" name="Column1687"/>
    <tableColumn id="1688" xr3:uid="{2EAC0E62-10EB-4CCE-9052-8306D63205E8}" name="Column1688"/>
    <tableColumn id="1689" xr3:uid="{8DF2764D-5EEB-4EC0-839B-A0E7EFE9F0AD}" name="Column1689"/>
    <tableColumn id="1690" xr3:uid="{2631C727-F331-4EFB-AAD5-EA9986E696AF}" name="Column1690"/>
    <tableColumn id="1691" xr3:uid="{00183B90-7085-4B97-BF56-250F8B36ACBF}" name="Column1691"/>
    <tableColumn id="1692" xr3:uid="{8FF4DE53-6DC2-4642-BBA4-2C2EECE41412}" name="Column1692"/>
    <tableColumn id="1693" xr3:uid="{AAD5CD67-F0B1-46F1-89A1-FA11890FA5B3}" name="Column1693"/>
    <tableColumn id="1694" xr3:uid="{F1F248F0-B7EC-45A0-91F4-968216064D4A}" name="Column1694"/>
    <tableColumn id="1695" xr3:uid="{40C69E24-AF09-4AD6-A0E7-483A6F2E1BEE}" name="Column1695"/>
    <tableColumn id="1696" xr3:uid="{C188577D-9260-4556-AADE-B07B2FD9CED6}" name="Column1696"/>
    <tableColumn id="1697" xr3:uid="{74DE6A93-A5C8-4CB3-AAD9-30E402F58EAE}" name="Column1697"/>
    <tableColumn id="1698" xr3:uid="{66984F3A-E9E1-4D66-B911-C3616AFDC91B}" name="Column1698"/>
    <tableColumn id="1699" xr3:uid="{0A8BE2C6-FE97-452A-9D31-4EE512BC26BA}" name="Column1699"/>
    <tableColumn id="1700" xr3:uid="{69310550-D3E5-4DCB-9427-4CC9B5D09870}" name="Column1700"/>
    <tableColumn id="1701" xr3:uid="{C01B6D16-20CE-4984-ABB4-E3C4E6575821}" name="Column1701"/>
    <tableColumn id="1702" xr3:uid="{CA6BCCD5-FE0C-4144-8D77-ECD5434D4024}" name="Column1702"/>
    <tableColumn id="1703" xr3:uid="{39F95BD8-98A3-400A-8D38-EB35D40A04AA}" name="Column1703"/>
    <tableColumn id="1704" xr3:uid="{16295D57-4184-4699-AFCD-0D1B976DF941}" name="Column1704"/>
    <tableColumn id="1705" xr3:uid="{07DE8A55-9268-4CF8-85B1-501DD463A6B9}" name="Column1705"/>
    <tableColumn id="1706" xr3:uid="{16A37B32-5060-4F13-93AF-F13302E3B103}" name="Column1706"/>
    <tableColumn id="1707" xr3:uid="{4B59C1A4-695B-45D2-8C7A-E8995DD0A0D9}" name="Column1707"/>
    <tableColumn id="1708" xr3:uid="{49146632-C00A-4F7F-91E6-A079A2C93B38}" name="Column1708"/>
    <tableColumn id="1709" xr3:uid="{9A51583F-71A6-4866-9EED-447925E8B975}" name="Column1709"/>
    <tableColumn id="1710" xr3:uid="{79955AF8-7BFC-432A-BC00-49B1FE72968D}" name="Column1710"/>
    <tableColumn id="1711" xr3:uid="{FAA496E7-3DAE-4292-8F04-FA82A5429133}" name="Column1711"/>
    <tableColumn id="1712" xr3:uid="{2C2F8F49-02D4-4CD2-A256-457BCB7C2E49}" name="Column1712"/>
    <tableColumn id="1713" xr3:uid="{A41AFC06-AA7D-4053-8C1E-260C97A9FED5}" name="Column1713"/>
    <tableColumn id="1714" xr3:uid="{9ECCED83-4615-495A-A3CC-842D69643AFD}" name="Column1714"/>
    <tableColumn id="1715" xr3:uid="{D6B46F37-1B3C-42A1-A295-DE4E049776EB}" name="Column1715"/>
    <tableColumn id="1716" xr3:uid="{6FE6302E-32FB-4392-98FF-61F8354C2053}" name="Column1716"/>
    <tableColumn id="1717" xr3:uid="{C99B1FFC-4705-4A67-ADDC-90CB34EB706B}" name="Column1717"/>
    <tableColumn id="1718" xr3:uid="{C0B390A2-E8AC-4B60-87BA-3554C10C88F9}" name="Column1718"/>
    <tableColumn id="1719" xr3:uid="{34752DA6-F850-480A-A61E-FD61331AED20}" name="Column1719"/>
    <tableColumn id="1720" xr3:uid="{D04A3D40-25CF-4B76-AED4-1B2937295CCE}" name="Column1720"/>
    <tableColumn id="1721" xr3:uid="{05273E27-DB68-4403-9421-B6A137AC044D}" name="Column1721"/>
    <tableColumn id="1722" xr3:uid="{1E4A491A-5F76-4FDF-9BE3-68A0D8D2E316}" name="Column1722"/>
    <tableColumn id="1723" xr3:uid="{5958CA58-2466-4F92-BF2C-ECE55010ED35}" name="Column1723"/>
    <tableColumn id="1724" xr3:uid="{0D3F8F80-6CF6-4995-A8D9-FCA94E195CE1}" name="Column1724"/>
    <tableColumn id="1725" xr3:uid="{4EB86387-2C09-4915-BB36-9B02A25534F1}" name="Column1725"/>
    <tableColumn id="1726" xr3:uid="{03C98A02-EBC0-49BD-9150-A9B87D71D6CB}" name="Column1726"/>
    <tableColumn id="1727" xr3:uid="{03D1B138-3E88-4A0A-A000-08500C409CF7}" name="Column1727"/>
    <tableColumn id="1728" xr3:uid="{C1D61143-D51A-414B-A7FF-F64DD5C8A07F}" name="Column1728"/>
    <tableColumn id="1729" xr3:uid="{2C48AE49-8DD0-464E-A974-0618CACF5B54}" name="Column1729"/>
    <tableColumn id="1730" xr3:uid="{4C0D7416-EA7A-4C8F-BFEB-DA6471CE5D0E}" name="Column1730"/>
    <tableColumn id="1731" xr3:uid="{479E2344-62B5-4133-B232-C54BA9CD9681}" name="Column1731"/>
    <tableColumn id="1732" xr3:uid="{AD45264C-3E99-4C5E-85B5-F13029CC6E1B}" name="Column1732"/>
    <tableColumn id="1733" xr3:uid="{D4AC3833-9630-4B30-B526-028CEA9F7AE1}" name="Column1733"/>
    <tableColumn id="1734" xr3:uid="{5FB2728A-769C-447A-A4F8-BC9009703FFB}" name="Column1734"/>
    <tableColumn id="1735" xr3:uid="{07E38791-5582-4067-A0F4-DA9E6723B579}" name="Column1735"/>
    <tableColumn id="1736" xr3:uid="{0938104C-D071-4520-A88B-C402831FCCC0}" name="Column1736"/>
    <tableColumn id="1737" xr3:uid="{4FF0CCE9-B9DA-43D2-AED8-C5C87DA38616}" name="Column1737"/>
    <tableColumn id="1738" xr3:uid="{0B59E793-956B-45B5-8EB8-97FC97E98E48}" name="Column1738"/>
    <tableColumn id="1739" xr3:uid="{80CDB486-D0C4-4105-B70F-330DBA9FF9A3}" name="Column1739"/>
    <tableColumn id="1740" xr3:uid="{859A3240-DE7C-4018-9E4A-D5947AA3DF4C}" name="Column1740"/>
    <tableColumn id="1741" xr3:uid="{AB4864A3-BACD-43C0-82B6-96E53EC71D5B}" name="Column1741"/>
    <tableColumn id="1742" xr3:uid="{88B2F4F2-CBB6-4EFA-A2E6-3B84D79B9B58}" name="Column1742"/>
    <tableColumn id="1743" xr3:uid="{B8043D09-5FF0-4728-BDE2-66B8D3680753}" name="Column1743"/>
    <tableColumn id="1744" xr3:uid="{C85E780D-CB37-42A6-85A4-3BABD3D98C10}" name="Column1744"/>
    <tableColumn id="1745" xr3:uid="{52E97558-BAB7-446A-917C-A997ACF42550}" name="Column1745"/>
    <tableColumn id="1746" xr3:uid="{4032016A-B8E5-4C58-BED8-061F9C1F9AD1}" name="Column1746"/>
    <tableColumn id="1747" xr3:uid="{44AB9D55-F97A-4B9A-8890-73B7939D360D}" name="Column1747"/>
    <tableColumn id="1748" xr3:uid="{4ADBCEAC-1E3F-4B83-9CAB-120A683EB951}" name="Column1748"/>
    <tableColumn id="1749" xr3:uid="{7E165268-DB4E-49AD-8C45-FC087F20E863}" name="Column1749"/>
    <tableColumn id="1750" xr3:uid="{074F13EE-FEA9-4708-802C-B4DF97C7A4AE}" name="Column1750"/>
    <tableColumn id="1751" xr3:uid="{7A9BA102-223D-4E29-B52B-B7099D2FCD60}" name="Column1751"/>
    <tableColumn id="1752" xr3:uid="{764FB1F0-F323-485C-B99B-B6D7D3BE34A5}" name="Column1752"/>
    <tableColumn id="1753" xr3:uid="{7D80BC4C-74DA-4426-9FC0-19678409354A}" name="Column1753"/>
    <tableColumn id="1754" xr3:uid="{AEB6BAAA-C4CC-4751-AA8B-610245C5BDF6}" name="Column1754"/>
    <tableColumn id="1755" xr3:uid="{023B0026-09DF-40C0-9A7E-C6E530A53E8C}" name="Column1755"/>
    <tableColumn id="1756" xr3:uid="{AF5996DE-4EAA-4578-8F30-5A76427720F1}" name="Column1756"/>
    <tableColumn id="1757" xr3:uid="{11BB3060-B231-45C6-A761-ED8E9503AEC4}" name="Column1757"/>
    <tableColumn id="1758" xr3:uid="{18D47143-742F-4194-8559-71B58C92BEFB}" name="Column1758"/>
    <tableColumn id="1759" xr3:uid="{0188C4B4-05A4-4456-8F94-51A735161C6B}" name="Column1759"/>
    <tableColumn id="1760" xr3:uid="{D4109F61-A556-40F3-A60A-621D9839F5D1}" name="Column1760"/>
    <tableColumn id="1761" xr3:uid="{24242984-7A18-4E15-8301-8A6D171CA5E8}" name="Column1761"/>
    <tableColumn id="1762" xr3:uid="{5E63B087-E508-4254-90CD-01898A726DF0}" name="Column1762"/>
    <tableColumn id="1763" xr3:uid="{1E54B3BD-EA20-4F3D-99E5-9FBBB53B69F2}" name="Column1763"/>
    <tableColumn id="1764" xr3:uid="{09D8B764-ACCD-4B89-AC8F-C46D579E3F3F}" name="Column1764"/>
    <tableColumn id="1765" xr3:uid="{CB13DD2B-832A-4E9D-8FFD-E631553DB3A7}" name="Column1765"/>
    <tableColumn id="1766" xr3:uid="{928C570E-5357-4810-8D06-D796E3442542}" name="Column1766"/>
    <tableColumn id="1767" xr3:uid="{ABBE8422-1900-43B7-BF6E-68544D61B332}" name="Column1767"/>
    <tableColumn id="1768" xr3:uid="{1AB89EB5-3B83-47D5-86ED-A10DF80A3608}" name="Column1768"/>
    <tableColumn id="1769" xr3:uid="{032C8D9A-C2F6-49F9-BEF0-88661357BA47}" name="Column1769"/>
    <tableColumn id="1770" xr3:uid="{42AFE718-09DB-4684-B502-1FE319F01BF6}" name="Column1770"/>
    <tableColumn id="1771" xr3:uid="{C4AD2A08-9C37-4466-A104-5A5461586134}" name="Column1771"/>
    <tableColumn id="1772" xr3:uid="{CFADF53B-0701-4382-8C42-303A690202EA}" name="Column1772"/>
    <tableColumn id="1773" xr3:uid="{07ADA76B-3D5D-4B68-9A82-C027C9C06AAB}" name="Column1773"/>
    <tableColumn id="1774" xr3:uid="{91A85236-9B95-4B8F-8EEB-726B690E44D3}" name="Column1774"/>
    <tableColumn id="1775" xr3:uid="{660F9508-7A54-4068-97D1-965A03D0B5F2}" name="Column1775"/>
    <tableColumn id="1776" xr3:uid="{43665B24-1710-4006-84F3-50DD5D1AE906}" name="Column1776"/>
    <tableColumn id="1777" xr3:uid="{F4168494-31B3-48BC-9773-201E48DACDD0}" name="Column1777"/>
    <tableColumn id="1778" xr3:uid="{03E5A849-D9DA-428E-97D0-AD40BBE0D645}" name="Column1778"/>
    <tableColumn id="1779" xr3:uid="{36A97EBE-2DB0-4E59-A77F-3578AA923A7D}" name="Column1779"/>
    <tableColumn id="1780" xr3:uid="{E2A310E6-FBB5-472C-8574-273DED92E0D9}" name="Column1780"/>
    <tableColumn id="1781" xr3:uid="{F198E95C-CB20-4B42-B5DB-B042BFC3BE70}" name="Column1781"/>
    <tableColumn id="1782" xr3:uid="{E5C76C6E-8222-4E22-98AD-914A37B6A80F}" name="Column1782"/>
    <tableColumn id="1783" xr3:uid="{549BAB90-D275-45DB-8E84-4D571EFE4A72}" name="Column1783"/>
    <tableColumn id="1784" xr3:uid="{020C2CEE-2612-4FB9-A464-5397450B15C4}" name="Column1784"/>
    <tableColumn id="1785" xr3:uid="{164B1500-A3B2-4461-9730-B4A882E3B3AA}" name="Column1785"/>
    <tableColumn id="1786" xr3:uid="{3243FB4F-AD81-46C9-8891-9E651F32758C}" name="Column1786"/>
    <tableColumn id="1787" xr3:uid="{EF1B782D-6A02-439C-8F49-D79BEC822BB0}" name="Column1787"/>
    <tableColumn id="1788" xr3:uid="{A5B3732F-2CB8-403A-B1EC-3ADDFF7C2B63}" name="Column1788"/>
    <tableColumn id="1789" xr3:uid="{12BE6631-7B9D-4E33-9E7B-3BFD2BAB5306}" name="Column1789"/>
    <tableColumn id="1790" xr3:uid="{CE01453D-8CDF-4046-9936-0FD9FD3EB4C6}" name="Column1790"/>
    <tableColumn id="1791" xr3:uid="{D12E3793-5A74-4E7B-95EA-F0443A48ED97}" name="Column1791"/>
    <tableColumn id="1792" xr3:uid="{31DA0B6F-DBBC-42C8-BFA3-788EE646913C}" name="Column1792"/>
    <tableColumn id="1793" xr3:uid="{FF3AB0A9-3CA5-4B79-B703-7626BE445F29}" name="Column1793"/>
    <tableColumn id="1794" xr3:uid="{38AC4600-60F9-40D6-A18D-4946305A123D}" name="Column1794"/>
    <tableColumn id="1795" xr3:uid="{3382EFF3-FDCC-4360-BAE7-D69F865B962D}" name="Column1795"/>
    <tableColumn id="1796" xr3:uid="{C98DAA9C-CDA0-4C53-B380-F3ED96943D11}" name="Column1796"/>
    <tableColumn id="1797" xr3:uid="{B8418973-5C3F-41D9-B902-B2E590C58EA4}" name="Column1797"/>
    <tableColumn id="1798" xr3:uid="{11137D83-4683-4391-A84D-1D0D489E33B7}" name="Column1798"/>
    <tableColumn id="1799" xr3:uid="{6D98E9B8-2403-4DAB-B9E4-7976190666EB}" name="Column1799"/>
    <tableColumn id="1800" xr3:uid="{FC367939-F4A5-4A89-97AD-DFD4B3359A9A}" name="Column1800"/>
    <tableColumn id="1801" xr3:uid="{7D8B34FF-EBF7-497C-81D3-5CE89661729C}" name="Column1801"/>
    <tableColumn id="1802" xr3:uid="{66BB82FB-5AD6-4480-871E-45EE477022DB}" name="Column1802"/>
    <tableColumn id="1803" xr3:uid="{5ED77E35-E12B-4806-A184-30DD3EAD0314}" name="Column1803"/>
    <tableColumn id="1804" xr3:uid="{6E0C3474-12F5-428C-BCE3-3DDA45D24D4C}" name="Column1804"/>
    <tableColumn id="1805" xr3:uid="{583C0B45-A2FD-485D-B59D-C88C15B68853}" name="Column1805"/>
    <tableColumn id="1806" xr3:uid="{84C3F93D-321A-4601-80F1-81D1AD01804B}" name="Column1806"/>
    <tableColumn id="1807" xr3:uid="{7EF02480-3E91-4AA8-8CED-9D479D13A040}" name="Column1807"/>
    <tableColumn id="1808" xr3:uid="{D6699371-7972-453A-918C-C805D89D120C}" name="Column1808"/>
    <tableColumn id="1809" xr3:uid="{7CD0C701-ACE7-4B5D-AA02-BBFA4D4D8805}" name="Column1809"/>
    <tableColumn id="1810" xr3:uid="{2165BBA5-F88E-4D0A-B191-CDC87E0AA6A5}" name="Column1810"/>
    <tableColumn id="1811" xr3:uid="{CCDD9891-E570-4600-8BF4-1813CC66E7CC}" name="Column1811"/>
    <tableColumn id="1812" xr3:uid="{1F26AEBC-03D8-4664-92C6-CD3D81D09BD6}" name="Column1812"/>
    <tableColumn id="1813" xr3:uid="{F8438CDF-8C45-416F-9812-9A1A2DA85D81}" name="Column1813"/>
    <tableColumn id="1814" xr3:uid="{1713A7C2-5CFA-4D88-BEA3-C90FE86A44FD}" name="Column1814"/>
    <tableColumn id="1815" xr3:uid="{B4469DF4-2400-4097-AA24-BCDB5537DF4A}" name="Column1815"/>
    <tableColumn id="1816" xr3:uid="{4111D464-AF1E-4FE6-A0E6-7F4A4EC05105}" name="Column1816"/>
    <tableColumn id="1817" xr3:uid="{386F7CF2-462E-42F9-BEC9-6DDC298BA1C1}" name="Column1817"/>
    <tableColumn id="1818" xr3:uid="{5603CEEE-A6C3-434A-BD3D-2FB380EC4601}" name="Column1818"/>
    <tableColumn id="1819" xr3:uid="{99E47994-87F6-49F9-B96F-98B3C166075B}" name="Column1819"/>
    <tableColumn id="1820" xr3:uid="{C263B7DF-D3CA-4A66-9F0B-31FD42766C87}" name="Column1820"/>
    <tableColumn id="1821" xr3:uid="{77244161-C747-461F-913D-A9810D17FDCE}" name="Column1821"/>
    <tableColumn id="1822" xr3:uid="{F3610E58-4502-454A-A9AF-F46241D610D5}" name="Column1822"/>
    <tableColumn id="1823" xr3:uid="{19D6F29B-68EC-40C6-B558-FA1CE3713311}" name="Column1823"/>
    <tableColumn id="1824" xr3:uid="{04ACDD2D-83A2-4E35-B0DC-B2B7BEBE5B02}" name="Column1824"/>
    <tableColumn id="1825" xr3:uid="{49C5A9D8-2D99-4116-891F-AD9BF394444F}" name="Column1825"/>
    <tableColumn id="1826" xr3:uid="{75F7901C-3E4E-4086-804B-1EE3E7DD28BD}" name="Column1826"/>
    <tableColumn id="1827" xr3:uid="{9D72467F-859B-4E4F-97A7-1800720C40E0}" name="Column1827"/>
    <tableColumn id="1828" xr3:uid="{B86DA339-8896-4977-BBD7-C5E8B5F71E31}" name="Column1828"/>
    <tableColumn id="1829" xr3:uid="{482D9B61-3085-44FA-B28B-94A93297221B}" name="Column1829"/>
    <tableColumn id="1830" xr3:uid="{67C3F27D-4AAB-4029-96A2-30CB0F380600}" name="Column1830"/>
    <tableColumn id="1831" xr3:uid="{C7C0A30B-1FEE-4CA9-A05F-B1E2CC7D29BC}" name="Column1831"/>
    <tableColumn id="1832" xr3:uid="{D5F79E12-2A1F-4049-9E4C-5FC6EC50BECF}" name="Column1832"/>
    <tableColumn id="1833" xr3:uid="{441F5A26-F37E-4D61-8720-9ACEEB97FC2C}" name="Column1833"/>
    <tableColumn id="1834" xr3:uid="{16539F8D-F59E-41C1-900C-700F075E9475}" name="Column1834"/>
    <tableColumn id="1835" xr3:uid="{1473A295-FDE1-4287-B874-43EDE3F7E67F}" name="Column1835"/>
    <tableColumn id="1836" xr3:uid="{28DBAAB2-27AC-4557-87DD-E8EA4B8DCA4F}" name="Column1836"/>
    <tableColumn id="1837" xr3:uid="{537937A6-2685-4EA8-A673-6529A569716D}" name="Column1837"/>
    <tableColumn id="1838" xr3:uid="{44431A36-0C0E-47C8-81DC-057EA63C36A5}" name="Column1838"/>
    <tableColumn id="1839" xr3:uid="{EF16C2A0-111D-47AC-BFF9-1957AC1557FC}" name="Column1839"/>
    <tableColumn id="1840" xr3:uid="{ADE78F71-FBD3-4601-9758-D602EDB5CAAD}" name="Column1840"/>
    <tableColumn id="1841" xr3:uid="{1843B9AE-3A6A-4F54-B81A-2607997CE995}" name="Column1841"/>
    <tableColumn id="1842" xr3:uid="{8DDA16ED-BA4B-4685-90EA-A4D1635F2FE4}" name="Column1842"/>
    <tableColumn id="1843" xr3:uid="{98F21BC7-43BA-4ACB-A7A9-D58EB0E9EA94}" name="Column1843"/>
    <tableColumn id="1844" xr3:uid="{09CEAC13-C703-428D-87F6-DBA3971BD789}" name="Column1844"/>
    <tableColumn id="1845" xr3:uid="{E925BE78-D58E-462C-8A09-B296BB10F1EA}" name="Column1845"/>
    <tableColumn id="1846" xr3:uid="{C895CF42-A666-4796-B5FE-0F549DBE9208}" name="Column1846"/>
    <tableColumn id="1847" xr3:uid="{28EF51DF-00D7-46E1-BE56-8F1C25292A0A}" name="Column1847"/>
    <tableColumn id="1848" xr3:uid="{0AB46655-19B1-46E6-90DA-1CE1828493C6}" name="Column1848"/>
    <tableColumn id="1849" xr3:uid="{777B23CD-8CA8-4AA1-AB0B-2470F4CC1799}" name="Column1849"/>
    <tableColumn id="1850" xr3:uid="{85CB4024-BE8E-4D66-94E3-B1CA811F24E1}" name="Column1850"/>
    <tableColumn id="1851" xr3:uid="{0C634C5F-0F0B-4A03-9CC7-874519F70E05}" name="Column1851"/>
    <tableColumn id="1852" xr3:uid="{2ED6D35C-0A6A-4D1F-BFD6-1C66D52CE406}" name="Column1852"/>
    <tableColumn id="1853" xr3:uid="{0C113C54-16EA-40C8-B12D-979037E33C7E}" name="Column1853"/>
    <tableColumn id="1854" xr3:uid="{E11B23EC-FDCE-4020-A6C6-023F7D8765DF}" name="Column1854"/>
    <tableColumn id="1855" xr3:uid="{24416B39-E7B8-4AC3-BC6D-EEECFEBD3963}" name="Column1855"/>
    <tableColumn id="1856" xr3:uid="{EB02403B-53D0-4ADF-B042-D94D681CB90B}" name="Column1856"/>
    <tableColumn id="1857" xr3:uid="{787374F3-AE16-4BB3-ADAE-7CBC133DD5E7}" name="Column1857"/>
    <tableColumn id="1858" xr3:uid="{E1095898-52C7-4E8B-A181-877AFBFA63FF}" name="Column1858"/>
    <tableColumn id="1859" xr3:uid="{B7C1AE60-CD74-4B92-85AF-42877EDF7C20}" name="Column1859"/>
    <tableColumn id="1860" xr3:uid="{626F3274-3793-4B57-8C19-058125FCB351}" name="Column1860"/>
    <tableColumn id="1861" xr3:uid="{DEA2E31D-5BCC-4B97-80C5-6A3DF27945FF}" name="Column1861"/>
    <tableColumn id="1862" xr3:uid="{EF081A96-2646-4F3E-993F-2C401ED7A304}" name="Column1862"/>
    <tableColumn id="1863" xr3:uid="{5536550B-C682-4907-B0B0-2202690B6DD3}" name="Column1863"/>
    <tableColumn id="1864" xr3:uid="{B05382B5-96B3-4AF3-A678-C94FC5306E39}" name="Column1864"/>
    <tableColumn id="1865" xr3:uid="{D7367A21-2C3F-4B0B-AFE8-95C16D34823D}" name="Column1865"/>
    <tableColumn id="1866" xr3:uid="{17999C49-6708-4725-939E-DB936D58F958}" name="Column1866"/>
    <tableColumn id="1867" xr3:uid="{A617C35F-E343-4EA5-814E-20D11E0AF0B6}" name="Column1867"/>
    <tableColumn id="1868" xr3:uid="{25D34E52-AA15-4DB3-834B-A2BEEEBBFFAA}" name="Column1868"/>
    <tableColumn id="1869" xr3:uid="{BF3A66B1-CAE8-42D6-BF59-D05045F062AF}" name="Column1869"/>
    <tableColumn id="1870" xr3:uid="{0FE82570-5734-444A-87EF-9F5AA82E00F0}" name="Column1870"/>
    <tableColumn id="1871" xr3:uid="{536E8404-F73E-46A5-A72A-4E6BE3F5536A}" name="Column1871"/>
    <tableColumn id="1872" xr3:uid="{07C9062F-8BB0-4D2E-AD94-4EC3A10139C9}" name="Column1872"/>
    <tableColumn id="1873" xr3:uid="{0CACF765-4918-4BF6-85A4-0ABE7BBE7D48}" name="Column1873"/>
    <tableColumn id="1874" xr3:uid="{78E13569-5050-46CB-B326-19BA17A355FB}" name="Column1874"/>
    <tableColumn id="1875" xr3:uid="{7384C8F2-EBB2-49D7-840D-8957F7EC14D8}" name="Column1875"/>
    <tableColumn id="1876" xr3:uid="{68AD5549-65F5-4486-8DB4-2D4C37307C53}" name="Column1876"/>
    <tableColumn id="1877" xr3:uid="{03215E2A-5D04-4C4B-882B-2D5C7B8124D9}" name="Column1877"/>
    <tableColumn id="1878" xr3:uid="{B72BE39A-3F09-4847-8690-4724FFA210DB}" name="Column1878"/>
    <tableColumn id="1879" xr3:uid="{3E94F8A1-C3C9-4172-A83D-5B77DD8DFDD8}" name="Column1879"/>
    <tableColumn id="1880" xr3:uid="{0CFA2560-EA79-4FC6-8FD6-7BF3DF0251D5}" name="Column1880"/>
    <tableColumn id="1881" xr3:uid="{5B4CB16A-85C6-474A-B29D-BB0405DE83C1}" name="Column1881"/>
    <tableColumn id="1882" xr3:uid="{1039BB8C-12D0-4A1E-9BEB-524E39EDAF1F}" name="Column1882"/>
    <tableColumn id="1883" xr3:uid="{F73DB467-C48F-40E2-A643-2D91DB05C547}" name="Column1883"/>
    <tableColumn id="1884" xr3:uid="{111E4469-35B9-47ED-AB31-3445F192D42B}" name="Column1884"/>
    <tableColumn id="1885" xr3:uid="{133A8F8E-7B38-41DA-9232-990C97846E47}" name="Column1885"/>
    <tableColumn id="1886" xr3:uid="{7CECB489-6EBC-44DB-A1E6-070A01875829}" name="Column1886"/>
    <tableColumn id="1887" xr3:uid="{5B179EC0-7D4E-4C95-B23B-1CB45B0DAEE5}" name="Column1887"/>
    <tableColumn id="1888" xr3:uid="{415811BA-9659-420B-A4BA-A56A5ACEACB0}" name="Column1888"/>
    <tableColumn id="1889" xr3:uid="{196D67B0-668A-4475-AEFE-0913C998311F}" name="Column1889"/>
    <tableColumn id="1890" xr3:uid="{F06519F4-DA95-4322-A4DD-E69BC697CD44}" name="Column1890"/>
    <tableColumn id="1891" xr3:uid="{AB30BC6E-EE43-4B44-A4CC-6545B632ECF6}" name="Column1891"/>
    <tableColumn id="1892" xr3:uid="{50311D70-D1FD-4D34-B384-5A871BB5BEBF}" name="Column1892"/>
    <tableColumn id="1893" xr3:uid="{AD360684-AED8-4DAB-8660-F6D8DAD24124}" name="Column1893"/>
    <tableColumn id="1894" xr3:uid="{904A88CA-3B60-406E-9F6E-D3DDCA4986CB}" name="Column1894"/>
    <tableColumn id="1895" xr3:uid="{B0BBA9AE-7BF6-4515-AEF5-9C36B770EA0E}" name="Column1895"/>
    <tableColumn id="1896" xr3:uid="{0C9EDFF3-5DB0-4695-9FA6-A2FAB434B480}" name="Column1896"/>
    <tableColumn id="1897" xr3:uid="{E94795AD-A00D-4A2D-97EC-239BC661822C}" name="Column1897"/>
    <tableColumn id="1898" xr3:uid="{33CAD945-52FC-443C-973A-2531C6BAA0EF}" name="Column1898"/>
    <tableColumn id="1899" xr3:uid="{4D78BC5D-135B-4909-A712-E0AFC467086A}" name="Column1899"/>
    <tableColumn id="1900" xr3:uid="{50C09285-5B26-4288-8860-35619FAEEF1C}" name="Column1900"/>
    <tableColumn id="1901" xr3:uid="{AEA2D262-9A8A-43EE-8203-B2E8BAAB8377}" name="Column1901"/>
    <tableColumn id="1902" xr3:uid="{3BBCADEC-B6EA-4357-B074-A57F4CC42EAF}" name="Column1902"/>
    <tableColumn id="1903" xr3:uid="{9B4034FB-766A-4C0E-9205-F0DBCCDD4433}" name="Column1903"/>
    <tableColumn id="1904" xr3:uid="{5311920A-D48E-4CD5-8066-66FD1DAEC6BD}" name="Column1904"/>
    <tableColumn id="1905" xr3:uid="{8A9BFF70-3FEB-43F8-8806-A84695D9F0E2}" name="Column1905"/>
    <tableColumn id="1906" xr3:uid="{F6D1ABD8-36E9-4268-8A2B-907FFBE97D0A}" name="Column1906"/>
    <tableColumn id="1907" xr3:uid="{32EA3952-5C76-4943-B7D5-7EF0056F70E2}" name="Column1907"/>
    <tableColumn id="1908" xr3:uid="{B6060166-81F6-4B9D-989D-3843F068258A}" name="Column1908"/>
    <tableColumn id="1909" xr3:uid="{F2DF1B4A-4463-481C-8611-BDF60D3E2702}" name="Column1909"/>
    <tableColumn id="1910" xr3:uid="{215FA300-D473-4DD3-B367-2228366C4670}" name="Column1910"/>
    <tableColumn id="1911" xr3:uid="{424B81E9-38B5-4C51-84C4-16C1BE594A3A}" name="Column1911"/>
    <tableColumn id="1912" xr3:uid="{D95A1A75-C00B-4DEC-8FFE-68241E045E86}" name="Column1912"/>
    <tableColumn id="1913" xr3:uid="{A1CE921B-F054-4DD7-B071-E05B4A8A7A45}" name="Column1913"/>
    <tableColumn id="1914" xr3:uid="{0176D0FE-0057-4CE1-AF64-D43095A502F4}" name="Column1914"/>
    <tableColumn id="1915" xr3:uid="{143CBD51-8726-407A-AEE4-869AB51B3705}" name="Column1915"/>
    <tableColumn id="1916" xr3:uid="{15F0A929-04E6-47B6-B92B-D4D32C22B96F}" name="Column1916"/>
    <tableColumn id="1917" xr3:uid="{0D5AF41F-0576-42A0-BE63-A860CE11A7AD}" name="Column1917"/>
    <tableColumn id="1918" xr3:uid="{F684B4C7-03D1-400A-9B9D-9396F9574743}" name="Column1918"/>
    <tableColumn id="1919" xr3:uid="{73E228CF-4F33-4F09-8025-4E74F2225E86}" name="Column1919"/>
    <tableColumn id="1920" xr3:uid="{06D4E8CB-29D5-4377-8DC9-3EDB832ADB98}" name="Column1920"/>
    <tableColumn id="1921" xr3:uid="{3BAF3850-7856-459C-9A6E-605B86BEF6D4}" name="Column1921"/>
    <tableColumn id="1922" xr3:uid="{4E8776DA-53D8-452B-AE54-57672D640300}" name="Column1922"/>
    <tableColumn id="1923" xr3:uid="{53FAA9FE-7CF7-4166-B0F1-B046CEC3659C}" name="Column1923"/>
    <tableColumn id="1924" xr3:uid="{27F84255-5F2D-4295-801D-F9C6C9E8B42C}" name="Column1924"/>
    <tableColumn id="1925" xr3:uid="{6D4694C1-D0DF-4855-B914-F0D2C62D6F11}" name="Column1925"/>
    <tableColumn id="1926" xr3:uid="{8C7009FF-0981-4CC7-AD0D-53BE65943B6E}" name="Column1926"/>
    <tableColumn id="1927" xr3:uid="{9F18DA1A-1E58-4520-B63D-549FA83F7292}" name="Column1927"/>
    <tableColumn id="1928" xr3:uid="{766933A3-9F93-47BE-93AD-042AD91DD12B}" name="Column1928"/>
    <tableColumn id="1929" xr3:uid="{C4976DB3-63C4-468B-B764-189D8817E9A1}" name="Column1929"/>
    <tableColumn id="1930" xr3:uid="{F9746155-93F1-4E07-A694-AE84811552E3}" name="Column1930"/>
    <tableColumn id="1931" xr3:uid="{BC147F2F-C4A1-4180-B195-2B5BA2CD82F2}" name="Column1931"/>
    <tableColumn id="1932" xr3:uid="{7138969F-2DEF-4619-95FB-37ADF30D6C38}" name="Column1932"/>
    <tableColumn id="1933" xr3:uid="{9B6EF626-C69A-4400-93E9-A3774CD7CFCB}" name="Column1933"/>
    <tableColumn id="1934" xr3:uid="{BF832FE0-E44A-4316-A688-8060256E7CA6}" name="Column1934"/>
    <tableColumn id="1935" xr3:uid="{79A117C5-A6BB-430D-90DA-770E162F15FA}" name="Column1935"/>
    <tableColumn id="1936" xr3:uid="{7D7EDBCF-3AE2-41AE-BC86-D1C9892577A5}" name="Column1936"/>
    <tableColumn id="1937" xr3:uid="{1F33C306-9FBB-49B8-B461-7543FE55BD4A}" name="Column1937"/>
    <tableColumn id="1938" xr3:uid="{79CD1FFE-83AE-412D-8A3F-FE19294D95A1}" name="Column1938"/>
    <tableColumn id="1939" xr3:uid="{E2FEA7F6-DB01-4227-A07A-5EFF9BA73A47}" name="Column1939"/>
    <tableColumn id="1940" xr3:uid="{216701A6-FAD9-46FC-97ED-D862F0CE0969}" name="Column1940"/>
    <tableColumn id="1941" xr3:uid="{AB6A85A1-CD8C-42DB-AD13-A1A96F14D9CF}" name="Column1941"/>
    <tableColumn id="1942" xr3:uid="{68A5C834-99CB-4A8A-A40A-AD1FB5173EB0}" name="Column1942"/>
    <tableColumn id="1943" xr3:uid="{A32E6A39-4D9B-4ED4-8ACF-DFD624F6FB6F}" name="Column1943"/>
    <tableColumn id="1944" xr3:uid="{B4226877-0AE1-45A8-A707-D5342C17F367}" name="Column1944"/>
    <tableColumn id="1945" xr3:uid="{5AA704F8-F33B-4FBF-B868-92332FC972F9}" name="Column1945"/>
    <tableColumn id="1946" xr3:uid="{6BF212DF-C9B0-41F1-9C6A-EE275DD77B01}" name="Column1946"/>
    <tableColumn id="1947" xr3:uid="{45BF3CD9-DB17-4B98-9F32-1C03A44EA1E6}" name="Column1947"/>
    <tableColumn id="1948" xr3:uid="{B9AF0B92-3547-46A2-A217-53292505C1D3}" name="Column1948"/>
    <tableColumn id="1949" xr3:uid="{FF3A7E92-B7E7-4777-A9BD-B322FA000B01}" name="Column1949"/>
    <tableColumn id="1950" xr3:uid="{C67C9A6B-161A-428F-8B1D-2B7097638384}" name="Column1950"/>
    <tableColumn id="1951" xr3:uid="{000BBAA4-9370-4981-A74A-34F21B0E092B}" name="Column1951"/>
    <tableColumn id="1952" xr3:uid="{CDA23569-023C-46D5-89CA-06CA6DCC09E4}" name="Column1952"/>
    <tableColumn id="1953" xr3:uid="{6E77BA72-75AE-4CCB-8D97-249882D296E4}" name="Column1953"/>
    <tableColumn id="1954" xr3:uid="{A7ACE6AD-7291-420B-83B8-7747246A35D5}" name="Column1954"/>
    <tableColumn id="1955" xr3:uid="{D675D417-716D-46F0-BAFE-E024B254EA75}" name="Column1955"/>
    <tableColumn id="1956" xr3:uid="{417A4BF5-E046-45BC-B357-020A3131EC44}" name="Column1956"/>
    <tableColumn id="1957" xr3:uid="{1179273C-5830-4247-A4AF-60B9DE48280B}" name="Column1957"/>
    <tableColumn id="1958" xr3:uid="{617F40A7-408E-4707-AFD6-9DC1F2F86547}" name="Column1958"/>
    <tableColumn id="1959" xr3:uid="{034F431A-0BCD-4605-9228-B075BF625893}" name="Column1959"/>
    <tableColumn id="1960" xr3:uid="{3742C3B3-8752-4FEF-A2FE-206A9DC19C64}" name="Column1960"/>
    <tableColumn id="1961" xr3:uid="{82166C49-B9B3-4B54-92E5-167C07F7CD0A}" name="Column1961"/>
    <tableColumn id="1962" xr3:uid="{562D5339-07B9-42A8-BCEC-BED252B3F27F}" name="Column1962"/>
    <tableColumn id="1963" xr3:uid="{FA2052A9-5553-45B5-BD52-FC13DB3F48EF}" name="Column1963"/>
    <tableColumn id="1964" xr3:uid="{3482250A-2C7F-4159-A714-ABC20B22E6E6}" name="Column1964"/>
    <tableColumn id="1965" xr3:uid="{6509947E-C3C5-43DC-AEF3-6BEFD4E7F66F}" name="Column1965"/>
    <tableColumn id="1966" xr3:uid="{604005AC-AF2E-42B3-BBDF-FE75B8AB32C2}" name="Column1966"/>
    <tableColumn id="1967" xr3:uid="{4F323AB4-902C-43D4-BC17-83FA56479913}" name="Column1967"/>
    <tableColumn id="1968" xr3:uid="{68085E6E-EEE0-423F-A878-A4968BA6CFB8}" name="Column1968"/>
    <tableColumn id="1969" xr3:uid="{F4CE49CC-BA06-4730-A18E-85ABC00F9899}" name="Column1969"/>
    <tableColumn id="1970" xr3:uid="{45A4AABB-3184-4429-96D4-A7C4293BEEED}" name="Column1970"/>
    <tableColumn id="1971" xr3:uid="{F80712EF-3FAD-4152-B655-52D03051B83B}" name="Column1971"/>
    <tableColumn id="1972" xr3:uid="{17CC4177-278C-4668-A0A1-BA2402135194}" name="Column1972"/>
    <tableColumn id="1973" xr3:uid="{A8505E10-A591-4D26-BA09-70E624B26F19}" name="Column1973"/>
    <tableColumn id="1974" xr3:uid="{2C650957-42F9-44E8-BB5C-5891A1EA8436}" name="Column1974"/>
    <tableColumn id="1975" xr3:uid="{7EFA3D24-FA85-4678-A846-CF7ED5FDF27F}" name="Column1975"/>
    <tableColumn id="1976" xr3:uid="{7481BEB7-2F2F-4ABC-A48E-893E12C7EFB2}" name="Column1976"/>
    <tableColumn id="1977" xr3:uid="{55C10663-B086-4CC3-9E38-D3778F284314}" name="Column1977"/>
    <tableColumn id="1978" xr3:uid="{47B673F7-F1B8-4214-88BE-5A3C94929888}" name="Column1978"/>
    <tableColumn id="1979" xr3:uid="{85C73A7B-53AB-40F3-ADC4-C9933B55AC32}" name="Column1979"/>
    <tableColumn id="1980" xr3:uid="{80AB2FB7-20AD-450F-BC30-CF3AE6FFF8B8}" name="Column1980"/>
    <tableColumn id="1981" xr3:uid="{59A8C1E2-05BB-446A-B728-BC0102A36EAE}" name="Column1981"/>
    <tableColumn id="1982" xr3:uid="{2DBCDF49-1BDD-4659-8AA3-8A9E7D743176}" name="Column1982"/>
    <tableColumn id="1983" xr3:uid="{6200F4C9-6E04-424B-958D-F5CE86441A10}" name="Column1983"/>
    <tableColumn id="1984" xr3:uid="{C1F1D589-722E-45E0-9F73-55EAAABE19FB}" name="Column1984"/>
    <tableColumn id="1985" xr3:uid="{CB4AB0CA-1AFD-43C7-9002-F340E613C750}" name="Column1985"/>
    <tableColumn id="1986" xr3:uid="{26E78B9A-D78E-4425-BE2D-88FA2FC1E18F}" name="Column1986"/>
    <tableColumn id="1987" xr3:uid="{F84CB80D-E693-4310-9988-911A67AEA1D2}" name="Column1987"/>
    <tableColumn id="1988" xr3:uid="{00EC983A-7A22-423E-9B44-A52EBAEB51B1}" name="Column1988"/>
    <tableColumn id="1989" xr3:uid="{CAA28F7F-8C46-4187-8BA9-14367B9044EE}" name="Column1989"/>
    <tableColumn id="1990" xr3:uid="{B4293C3E-FD25-4EE4-8A2B-6D27CE82DB45}" name="Column1990"/>
    <tableColumn id="1991" xr3:uid="{D2DD86D2-0C2F-4CD4-9439-CC105257E6EA}" name="Column1991"/>
    <tableColumn id="1992" xr3:uid="{BD97F99B-D43D-4386-9209-EEAFC47FECA3}" name="Column1992"/>
    <tableColumn id="1993" xr3:uid="{CE08558B-1418-42BA-9219-01D2450C5B73}" name="Column1993"/>
    <tableColumn id="1994" xr3:uid="{6527B78C-358F-4EA0-B1A1-34ABAC09C1C7}" name="Column1994"/>
    <tableColumn id="1995" xr3:uid="{FD7C791C-BEA7-4F1A-8889-03D7BC182950}" name="Column1995"/>
    <tableColumn id="1996" xr3:uid="{950DD379-FFBF-4CD2-8D1F-56E4C8FE77BC}" name="Column1996"/>
    <tableColumn id="1997" xr3:uid="{B72AC9B0-353B-4423-A19A-F1C63320EB82}" name="Column1997"/>
    <tableColumn id="1998" xr3:uid="{0F44983E-CB52-4052-95E2-01BE74CDCF0B}" name="Column1998"/>
    <tableColumn id="1999" xr3:uid="{3766B0FF-76A9-482F-9266-C16D2E52A0DF}" name="Column1999"/>
    <tableColumn id="2000" xr3:uid="{6D7448BF-A225-4650-B807-2507BCAA23C7}" name="Column2000"/>
    <tableColumn id="2001" xr3:uid="{70A14174-B80C-4FE5-9E2A-4BA49DDC8F43}" name="Column2001"/>
    <tableColumn id="2002" xr3:uid="{1D1491E5-6AFD-4362-8B38-4FB18BF4DC8E}" name="Column2002"/>
    <tableColumn id="2003" xr3:uid="{A512C49F-6EB7-473B-A75E-824E74DB5F70}" name="Column2003"/>
    <tableColumn id="2004" xr3:uid="{975BE648-B864-4BB3-87D3-63A52766CE0C}" name="Column2004"/>
    <tableColumn id="2005" xr3:uid="{DFA70C2D-4E5B-4BAF-8BF9-F4178C2A1E87}" name="Column2005"/>
    <tableColumn id="2006" xr3:uid="{6FDEDB57-FF95-4B39-9409-53E9FB621FC8}" name="Column2006"/>
    <tableColumn id="2007" xr3:uid="{2589A241-4577-4E6E-B5DF-E6854817CFDD}" name="Column2007"/>
    <tableColumn id="2008" xr3:uid="{043F794D-A9C6-408E-A9ED-3E4DA03092A6}" name="Column2008"/>
    <tableColumn id="2009" xr3:uid="{9E9373FE-F1CF-449A-946A-988C0BB83E91}" name="Column2009"/>
    <tableColumn id="2010" xr3:uid="{5C0E81C5-9313-4A69-B97C-5BB4C7A453C5}" name="Column2010"/>
    <tableColumn id="2011" xr3:uid="{ACADBCE5-B9FA-4FB6-B256-CC98F2B01B6E}" name="Column2011"/>
    <tableColumn id="2012" xr3:uid="{51F227BB-E556-4750-8220-55400D3AB36C}" name="Column2012"/>
    <tableColumn id="2013" xr3:uid="{F4FCFCF1-B2AB-4AE4-A07D-B92AED0559CB}" name="Column2013"/>
    <tableColumn id="2014" xr3:uid="{59055164-AE47-4D98-BE8B-47B58FD52417}" name="Column2014"/>
    <tableColumn id="2015" xr3:uid="{4977AA6E-C5E1-428A-A431-95479956EC91}" name="Column2015"/>
    <tableColumn id="2016" xr3:uid="{F36DBAB8-25BE-40FF-ADA1-FDC5536A8EB8}" name="Column2016"/>
    <tableColumn id="2017" xr3:uid="{B407216F-8671-4C27-87F2-CBD9D0E0DAD2}" name="Column2017"/>
    <tableColumn id="2018" xr3:uid="{2D432633-37DC-4DBE-95CF-A5FD11EABFDD}" name="Column2018"/>
    <tableColumn id="2019" xr3:uid="{4D273195-B339-4861-AD4E-7358F6C32C5F}" name="Column2019"/>
    <tableColumn id="2020" xr3:uid="{1461C490-5D39-4A72-BA13-A1FD0C21A21A}" name="Column2020"/>
    <tableColumn id="2021" xr3:uid="{49D09192-F3A5-4636-9C10-4726436B5FC7}" name="Column2021"/>
    <tableColumn id="2022" xr3:uid="{80F64084-6941-4498-9B9E-016EE7B477AB}" name="Column2022"/>
    <tableColumn id="2023" xr3:uid="{369368BE-D17E-4D6C-B8E1-EE612841F290}" name="Column2023"/>
    <tableColumn id="2024" xr3:uid="{836D8823-E776-4DB6-8652-F086CC5A54BD}" name="Column2024"/>
    <tableColumn id="2025" xr3:uid="{F91EAB8B-35A4-4BEA-9A8D-5D48D58284F5}" name="Column2025"/>
    <tableColumn id="2026" xr3:uid="{C77E28FD-7F1D-4472-9674-550BB7F34068}" name="Column2026"/>
    <tableColumn id="2027" xr3:uid="{5124C453-B769-48BC-B6FD-AD5BC21ECE52}" name="Column2027"/>
    <tableColumn id="2028" xr3:uid="{1EDE7283-4C4F-4869-B252-01846AEC635B}" name="Column2028"/>
    <tableColumn id="2029" xr3:uid="{283CCA3E-5CC4-4273-A7B5-DF69D6871538}" name="Column2029"/>
    <tableColumn id="2030" xr3:uid="{9D29991C-5399-4A84-81CC-7275F6361F8D}" name="Column2030"/>
    <tableColumn id="2031" xr3:uid="{A29512B1-0C4B-4E53-94FA-B9550B0665CC}" name="Column2031"/>
    <tableColumn id="2032" xr3:uid="{CCA4158F-2246-4656-9404-0F248B2AAD66}" name="Column2032"/>
    <tableColumn id="2033" xr3:uid="{31A0B7C6-FB88-4068-8FD6-EAD40538E558}" name="Column2033"/>
    <tableColumn id="2034" xr3:uid="{BECD8F07-E5EF-4694-8A0D-BC89E9C05C5F}" name="Column2034"/>
    <tableColumn id="2035" xr3:uid="{9608A3F2-9F41-4CDE-924A-65222FAA0A71}" name="Column2035"/>
    <tableColumn id="2036" xr3:uid="{B12B3773-0CCC-458C-A382-99091D7C7122}" name="Column2036"/>
    <tableColumn id="2037" xr3:uid="{AC6BEE62-6FD0-4283-A44B-689FB66E3A38}" name="Column2037"/>
    <tableColumn id="2038" xr3:uid="{0E3A31B2-1F03-495B-9AA0-76A9AEE1DD31}" name="Column2038"/>
    <tableColumn id="2039" xr3:uid="{7DAEE26C-8FC3-4C6B-B407-0529FD532ADE}" name="Column2039"/>
    <tableColumn id="2040" xr3:uid="{0A0D6A01-9F56-49C0-8D69-79452A619A24}" name="Column2040"/>
    <tableColumn id="2041" xr3:uid="{D8FED03E-3210-43FC-811E-F9220471A8D5}" name="Column2041"/>
    <tableColumn id="2042" xr3:uid="{86649E08-C555-4DF9-AA37-B1218C531C32}" name="Column2042"/>
    <tableColumn id="2043" xr3:uid="{E577CADF-0C84-40FF-89B2-83A937323653}" name="Column2043"/>
    <tableColumn id="2044" xr3:uid="{EDCA58CC-EC50-4A2D-8FC2-5536A526D464}" name="Column2044"/>
    <tableColumn id="2045" xr3:uid="{63914B2F-C6D0-470C-ADC0-8130D581EA12}" name="Column2045"/>
    <tableColumn id="2046" xr3:uid="{675D16D0-88FA-4933-AE10-4970C25A2F41}" name="Column2046"/>
    <tableColumn id="2047" xr3:uid="{10CCC1A1-9F05-4CD5-BA7E-C5B0114C339B}" name="Column2047"/>
    <tableColumn id="2048" xr3:uid="{2F26703A-DD83-465A-BEEA-2781D206F1AC}" name="Column2048"/>
    <tableColumn id="2049" xr3:uid="{B3446113-086F-4D5E-B042-2DF0C3846FED}" name="Column2049"/>
    <tableColumn id="2050" xr3:uid="{FE496A27-288E-4974-B1C4-797F4F63BF07}" name="Column2050"/>
    <tableColumn id="2051" xr3:uid="{84BA3E84-0C78-4F6B-9A59-2C537619336F}" name="Column2051"/>
    <tableColumn id="2052" xr3:uid="{5A77481E-F720-4813-92B6-D59425981720}" name="Column2052"/>
    <tableColumn id="2053" xr3:uid="{7626F5C3-FC8D-4DF5-9FF9-19EAE5380706}" name="Column2053"/>
    <tableColumn id="2054" xr3:uid="{3C3C4832-C192-4CD0-B8E8-A2F1DB92AAB8}" name="Column2054"/>
    <tableColumn id="2055" xr3:uid="{753283FD-1D03-4877-A145-7FDD619CD563}" name="Column2055"/>
    <tableColumn id="2056" xr3:uid="{ECC30B6D-7591-4E86-B282-BE3F0F826300}" name="Column2056"/>
    <tableColumn id="2057" xr3:uid="{25F4135A-BABD-4329-BAF7-95BAD8B5A4CE}" name="Column2057"/>
    <tableColumn id="2058" xr3:uid="{B4F7BF46-0129-4DFF-9D74-3F64BCA4C777}" name="Column2058"/>
    <tableColumn id="2059" xr3:uid="{DB61E0F1-A6CE-47F8-B5AC-9E61044536A0}" name="Column2059"/>
    <tableColumn id="2060" xr3:uid="{331BCABB-BA0D-49F3-B5C3-41BE545C0F55}" name="Column2060"/>
    <tableColumn id="2061" xr3:uid="{0B2A2E0A-D1C2-4B02-9861-615BA9FA3604}" name="Column2061"/>
    <tableColumn id="2062" xr3:uid="{3931CA6A-8845-48FD-AA2A-9E9054D525E5}" name="Column2062"/>
    <tableColumn id="2063" xr3:uid="{BEA76ED8-C8BE-4CF2-AD58-F86CFE7ED842}" name="Column2063"/>
    <tableColumn id="2064" xr3:uid="{555D8D2F-194F-4ABA-A367-8A7EB60CFEC7}" name="Column2064"/>
    <tableColumn id="2065" xr3:uid="{C7AFE4F6-0392-4F88-B5AD-F4C80F9B516E}" name="Column2065"/>
    <tableColumn id="2066" xr3:uid="{116CF9F2-7E39-40F0-ABCD-D1B590E2115A}" name="Column2066"/>
    <tableColumn id="2067" xr3:uid="{86620EF2-092C-4417-8785-2503BC179F62}" name="Column2067"/>
    <tableColumn id="2068" xr3:uid="{A216ED57-3AA2-4584-BB74-39747ED0A276}" name="Column2068"/>
    <tableColumn id="2069" xr3:uid="{9266CDB3-0746-43C4-84CC-4E16775ABE6C}" name="Column2069"/>
    <tableColumn id="2070" xr3:uid="{2D5887CE-AAAC-4D0D-A9B3-6D346D17C3FD}" name="Column2070"/>
    <tableColumn id="2071" xr3:uid="{265B33B8-AC61-43E4-900A-48926E296284}" name="Column2071"/>
    <tableColumn id="2072" xr3:uid="{975F924E-C6C0-4B6A-BC33-2EE61C75E69D}" name="Column2072"/>
    <tableColumn id="2073" xr3:uid="{78E21BFB-B705-45F7-99C7-BD5608B9D4EE}" name="Column2073"/>
    <tableColumn id="2074" xr3:uid="{B07D5E60-38CB-49A1-86A0-797556813144}" name="Column2074"/>
    <tableColumn id="2075" xr3:uid="{BC17FB91-C7B6-4A91-8A41-BA1F41F8A8D4}" name="Column2075"/>
    <tableColumn id="2076" xr3:uid="{08CC4A6D-0C3C-4B59-88DB-F1157034AC62}" name="Column2076"/>
    <tableColumn id="2077" xr3:uid="{52B360E8-3377-44A3-9D7D-926D999C87F7}" name="Column2077"/>
    <tableColumn id="2078" xr3:uid="{49CE9F7F-9319-4510-AA17-A5BB90EA825B}" name="Column2078"/>
    <tableColumn id="2079" xr3:uid="{93BABB23-91F9-480C-A61E-E8F6D7AFAB97}" name="Column2079"/>
    <tableColumn id="2080" xr3:uid="{6EE15B5C-6FA4-4EE0-A97B-69805EEA8A93}" name="Column2080"/>
    <tableColumn id="2081" xr3:uid="{F806B189-E351-4B08-921B-C9ADCF816B5C}" name="Column2081"/>
    <tableColumn id="2082" xr3:uid="{BBE99EF4-0EB3-47F6-8190-199F03DE8CB4}" name="Column2082"/>
    <tableColumn id="2083" xr3:uid="{DA8E5E01-03A6-4FDF-86EB-4276E6A7C2F7}" name="Column2083"/>
    <tableColumn id="2084" xr3:uid="{1146C9EE-462D-4B59-A735-CDCC61941FD9}" name="Column2084"/>
    <tableColumn id="2085" xr3:uid="{0641BDBB-5E1B-4560-B357-4F74581DEE17}" name="Column2085"/>
    <tableColumn id="2086" xr3:uid="{0FEF9085-FFFA-414C-B8B3-694E59AAFD5B}" name="Column2086"/>
    <tableColumn id="2087" xr3:uid="{BE801104-DE7F-4768-B98C-F3A719255FF1}" name="Column2087"/>
    <tableColumn id="2088" xr3:uid="{BE5866DF-88D2-48F4-96E6-419D57615DEE}" name="Column2088"/>
    <tableColumn id="2089" xr3:uid="{21042CC3-5493-4618-8156-35A9041EB12C}" name="Column2089"/>
    <tableColumn id="2090" xr3:uid="{541DCE02-E737-4D23-9FB2-E659516F2C9D}" name="Column2090"/>
    <tableColumn id="2091" xr3:uid="{9487309F-5324-484A-9266-9B2DEDD3BBE9}" name="Column2091"/>
    <tableColumn id="2092" xr3:uid="{EFE94478-18A5-46DB-A738-1DAF093EBFC6}" name="Column2092"/>
    <tableColumn id="2093" xr3:uid="{8C0A39B1-2F21-4F91-B3FF-D29D17DEE6D2}" name="Column2093"/>
    <tableColumn id="2094" xr3:uid="{1D6FC4DB-C851-4BE3-BE0C-A60B045CD8DF}" name="Column2094"/>
    <tableColumn id="2095" xr3:uid="{ADDE2350-916A-444A-A51E-B1B86269E835}" name="Column2095"/>
    <tableColumn id="2096" xr3:uid="{4092AF5E-6E6E-4CDC-9DAE-D24B95451667}" name="Column2096"/>
    <tableColumn id="2097" xr3:uid="{15B500CA-33A7-46BC-8EDC-F241A0534F7E}" name="Column2097"/>
    <tableColumn id="2098" xr3:uid="{BB683E7B-6422-4550-B648-C085445CBAC8}" name="Column2098"/>
    <tableColumn id="2099" xr3:uid="{8AACAF06-5864-4C4A-946D-09137F4FBDA8}" name="Column2099"/>
    <tableColumn id="2100" xr3:uid="{E45FFD3E-9DE8-4F2D-8E69-CDCF7F3DA5E6}" name="Column2100"/>
    <tableColumn id="2101" xr3:uid="{AEBDFD0E-617F-4C45-B87E-41E0F6F83392}" name="Column2101"/>
    <tableColumn id="2102" xr3:uid="{2B5C098D-E82A-4D75-AEEB-9F39123BC4AA}" name="Column2102"/>
    <tableColumn id="2103" xr3:uid="{F462CA97-4074-4F65-89B9-0A1A69779EE7}" name="Column2103"/>
    <tableColumn id="2104" xr3:uid="{9E04C1EA-C8EC-472D-8985-2F606EF46382}" name="Column2104"/>
    <tableColumn id="2105" xr3:uid="{8987A00B-CBAF-400D-95D2-D20F76670D3D}" name="Column2105"/>
    <tableColumn id="2106" xr3:uid="{EAD29958-5E93-4B07-A949-31B447F8CF10}" name="Column2106"/>
    <tableColumn id="2107" xr3:uid="{C7AD3A55-D5FF-4DC3-98B6-C42A000B5B8D}" name="Column2107"/>
    <tableColumn id="2108" xr3:uid="{0A9DF954-D196-4000-8F48-62348F5039EB}" name="Column2108"/>
    <tableColumn id="2109" xr3:uid="{989DDD5A-30B4-4626-9707-25D751E3FB08}" name="Column2109"/>
    <tableColumn id="2110" xr3:uid="{F8C660F6-B449-44D4-8E4B-B1188D5046F5}" name="Column2110"/>
    <tableColumn id="2111" xr3:uid="{12EB3D31-CBBE-4CBD-804D-AE96422EDB75}" name="Column2111"/>
    <tableColumn id="2112" xr3:uid="{7C07D3F3-6CEC-46D2-B1DD-4360AD8DB76A}" name="Column2112"/>
    <tableColumn id="2113" xr3:uid="{CA4970A6-FDB5-49E4-9C07-34D05C7BC3F0}" name="Column2113"/>
    <tableColumn id="2114" xr3:uid="{A4A4E5A9-A4C6-4152-9A8C-71F89938F828}" name="Column2114"/>
    <tableColumn id="2115" xr3:uid="{AD5546C1-5AB6-4BEB-A295-636B3EA27115}" name="Column2115"/>
    <tableColumn id="2116" xr3:uid="{EF7FEE44-0C03-424E-A91D-99802AFC97D3}" name="Column2116"/>
    <tableColumn id="2117" xr3:uid="{BCC80BCD-3833-4A8D-99B9-7AD61FAC0EE7}" name="Column2117"/>
    <tableColumn id="2118" xr3:uid="{9B2D267B-F303-40DE-B45B-DB7596E114DE}" name="Column2118"/>
    <tableColumn id="2119" xr3:uid="{C0B44079-F373-4D3B-A880-684811FF8D2C}" name="Column2119"/>
    <tableColumn id="2120" xr3:uid="{0008A9F5-E940-432E-A65F-E9EC57342958}" name="Column2120"/>
    <tableColumn id="2121" xr3:uid="{61BE5187-5CCF-4B94-921E-B08344E7AE09}" name="Column2121"/>
    <tableColumn id="2122" xr3:uid="{FA842BFF-C24C-497C-BF68-64B0DE133EC8}" name="Column2122"/>
    <tableColumn id="2123" xr3:uid="{7502A44D-D0B3-43F4-8137-51A295A2F296}" name="Column2123"/>
    <tableColumn id="2124" xr3:uid="{FBDF1F80-9139-415C-95F0-115C8F0880EC}" name="Column2124"/>
    <tableColumn id="2125" xr3:uid="{FA028CDD-7A2A-43ED-AEE8-6FE107F5846A}" name="Column2125"/>
    <tableColumn id="2126" xr3:uid="{5EEE8048-686F-4982-A5BE-FFB2F2112179}" name="Column2126"/>
    <tableColumn id="2127" xr3:uid="{DA0A2BDA-6E67-4B63-8875-21EC98F54F67}" name="Column2127"/>
    <tableColumn id="2128" xr3:uid="{1D0310F7-8B3E-40B5-9FE0-E4A44ADE9319}" name="Column2128"/>
    <tableColumn id="2129" xr3:uid="{D9A44645-B965-489D-A434-BFB1D877B505}" name="Column2129"/>
    <tableColumn id="2130" xr3:uid="{AF4C110D-2995-4928-9F44-69AF1FC23CD5}" name="Column2130"/>
    <tableColumn id="2131" xr3:uid="{A8D10F92-587F-40E7-8407-FE17869FAC9E}" name="Column2131"/>
    <tableColumn id="2132" xr3:uid="{ECF10855-EE6B-4836-B216-9F46D186A18A}" name="Column2132"/>
    <tableColumn id="2133" xr3:uid="{6C57DE82-3790-4398-9E58-B9D9E2C55277}" name="Column2133"/>
    <tableColumn id="2134" xr3:uid="{61597C76-8128-47CE-9F80-6FB7D433CDA6}" name="Column2134"/>
    <tableColumn id="2135" xr3:uid="{BAF7EA6E-2ABC-4D01-9957-E619C493457C}" name="Column2135"/>
    <tableColumn id="2136" xr3:uid="{F7DBC674-5C49-440A-85B0-05A495BB6AC3}" name="Column2136"/>
    <tableColumn id="2137" xr3:uid="{5762E507-C827-4165-BB32-801A9943AF00}" name="Column2137"/>
    <tableColumn id="2138" xr3:uid="{13BD2E51-F665-4E08-9242-25786A1F0E46}" name="Column2138"/>
    <tableColumn id="2139" xr3:uid="{EF9A34E8-5831-46D3-8D7B-CC322BF8D689}" name="Column2139"/>
    <tableColumn id="2140" xr3:uid="{CC269976-6E28-4765-9B7B-72A7FD6E9B3A}" name="Column2140"/>
    <tableColumn id="2141" xr3:uid="{BA29CDB3-D38F-4396-BB68-A14079CC7B2B}" name="Column2141"/>
    <tableColumn id="2142" xr3:uid="{44138CA1-7AE9-4527-AD17-6ADFE3694CA1}" name="Column2142"/>
    <tableColumn id="2143" xr3:uid="{8D4832D6-248C-46FE-A5C0-3919CA9BB032}" name="Column2143"/>
    <tableColumn id="2144" xr3:uid="{0986C04A-13F3-4EA7-8F2D-D5C79F661637}" name="Column2144"/>
    <tableColumn id="2145" xr3:uid="{EFD5656F-0B52-4644-B05A-22F51DCD5695}" name="Column2145"/>
    <tableColumn id="2146" xr3:uid="{012BEE5B-0157-4C44-90EA-12966ECA0105}" name="Column2146"/>
    <tableColumn id="2147" xr3:uid="{C971C3C0-82CA-4393-8F6F-C5906085C316}" name="Column2147"/>
    <tableColumn id="2148" xr3:uid="{F6D15F81-DCF3-416E-98EF-77F3F72088C2}" name="Column2148"/>
    <tableColumn id="2149" xr3:uid="{A9508624-9C3B-4AE9-BA58-30910B7F3204}" name="Column2149"/>
    <tableColumn id="2150" xr3:uid="{645154A6-3D57-4E27-846E-64B36BE16C68}" name="Column2150"/>
    <tableColumn id="2151" xr3:uid="{3E4D3C3E-3066-4CB4-AE37-F01E85A6C64E}" name="Column2151"/>
    <tableColumn id="2152" xr3:uid="{D35081FB-09B4-4DA5-85FF-494CDC6B3A26}" name="Column2152"/>
    <tableColumn id="2153" xr3:uid="{B0B425EB-044C-4369-95B8-ED6DAC8AC6EF}" name="Column2153"/>
    <tableColumn id="2154" xr3:uid="{895F1EE7-2EC6-444A-B92F-97F846EDCB6D}" name="Column2154"/>
    <tableColumn id="2155" xr3:uid="{06164AFD-D751-4977-A42F-4D6815F41A6B}" name="Column2155"/>
    <tableColumn id="2156" xr3:uid="{9EEA8104-FC01-44F3-B55D-D9419DBA03FA}" name="Column2156"/>
    <tableColumn id="2157" xr3:uid="{2F68912C-BD9C-4F83-9F37-2680FE711687}" name="Column2157"/>
    <tableColumn id="2158" xr3:uid="{A8326B4C-5EA7-4DC7-BCAB-4AF72FE93D5F}" name="Column2158"/>
    <tableColumn id="2159" xr3:uid="{6AC25F08-174E-48D9-8A84-6342FF83D708}" name="Column2159"/>
    <tableColumn id="2160" xr3:uid="{05DB61E6-B140-4AA0-BEBD-5E6CA315028C}" name="Column2160"/>
    <tableColumn id="2161" xr3:uid="{A94C997A-072E-4B07-9235-93E7126807BC}" name="Column2161"/>
    <tableColumn id="2162" xr3:uid="{E3C5F3A0-77EB-4E68-82D0-F1A914CC0332}" name="Column2162"/>
    <tableColumn id="2163" xr3:uid="{777C7686-7947-47FB-9849-2BE4F5A3FAEC}" name="Column2163"/>
    <tableColumn id="2164" xr3:uid="{02FCFAD8-BAA2-4DE6-BEC0-ABBD16914596}" name="Column2164"/>
    <tableColumn id="2165" xr3:uid="{51E5FB3B-856C-433D-8D5E-A095AD807917}" name="Column2165"/>
    <tableColumn id="2166" xr3:uid="{E0503D5D-C96F-4B50-A202-24A5B90C8AC9}" name="Column2166"/>
    <tableColumn id="2167" xr3:uid="{28A8EE46-8A60-465F-BCA4-32093C9DAC05}" name="Column2167"/>
    <tableColumn id="2168" xr3:uid="{3AB71555-F2FC-492B-93D2-622F66C03B39}" name="Column2168"/>
    <tableColumn id="2169" xr3:uid="{001F5E66-11EF-4A1B-ABCE-3AC2C46A822D}" name="Column2169"/>
    <tableColumn id="2170" xr3:uid="{5DA75687-6B9A-4C7B-A313-C7C5FB70D054}" name="Column2170"/>
    <tableColumn id="2171" xr3:uid="{085F28A9-2B26-4A37-A42F-FD43FC510F05}" name="Column2171"/>
    <tableColumn id="2172" xr3:uid="{844EC87E-4A3D-4B6E-91E9-092C3597DFF1}" name="Column2172"/>
    <tableColumn id="2173" xr3:uid="{F6E693A6-B168-4347-B852-747EC63AC393}" name="Column2173"/>
    <tableColumn id="2174" xr3:uid="{2998BAA0-2636-4408-9D75-E7F7A7729EF6}" name="Column2174"/>
    <tableColumn id="2175" xr3:uid="{9069CBD3-CA82-4465-8A2D-FAA9A796F987}" name="Column2175"/>
    <tableColumn id="2176" xr3:uid="{AF12EED8-10E0-49FB-902D-4CAEC32A1453}" name="Column2176"/>
    <tableColumn id="2177" xr3:uid="{0836CE9F-60EA-4E09-9624-30036DE208DD}" name="Column2177"/>
    <tableColumn id="2178" xr3:uid="{485733E0-F458-463E-957D-3CA59357177E}" name="Column2178"/>
    <tableColumn id="2179" xr3:uid="{854BD4B8-D8D0-44DC-978B-577F036564DD}" name="Column2179"/>
    <tableColumn id="2180" xr3:uid="{7C2E3FC2-9B05-45A0-82F3-5D8994744DFE}" name="Column2180"/>
    <tableColumn id="2181" xr3:uid="{6A5652A8-3513-42F1-A82A-60C532EFE660}" name="Column2181"/>
    <tableColumn id="2182" xr3:uid="{68CD7C7A-362D-4E7C-ADD2-349F7BAE15C6}" name="Column2182"/>
    <tableColumn id="2183" xr3:uid="{1EB91E67-CB0E-42BC-8443-93BC3BDE6B55}" name="Column2183"/>
    <tableColumn id="2184" xr3:uid="{3B5F3CB7-7F75-46A4-B295-143F3885B3AB}" name="Column2184"/>
    <tableColumn id="2185" xr3:uid="{9A808472-801B-4ED1-B3AF-4E3CCCB205B1}" name="Column2185"/>
    <tableColumn id="2186" xr3:uid="{168CC8C1-C58F-4F95-84A6-0EFAFF94E757}" name="Column2186"/>
    <tableColumn id="2187" xr3:uid="{44789FD0-5D73-485A-BEF6-748AF94F63F8}" name="Column2187"/>
    <tableColumn id="2188" xr3:uid="{7AE284F2-5303-4859-933C-07940FE7A34B}" name="Column2188"/>
    <tableColumn id="2189" xr3:uid="{E1A552B3-9DCE-4F94-A4C2-999061A2897C}" name="Column2189"/>
    <tableColumn id="2190" xr3:uid="{1963C32B-8E6E-4C53-8761-DBBF6553940F}" name="Column2190"/>
    <tableColumn id="2191" xr3:uid="{50BA0FBB-2EE0-4FD5-A6ED-7B8BC1928DC9}" name="Column2191"/>
    <tableColumn id="2192" xr3:uid="{E0E37064-2E74-4ADF-BFF2-C9D7EC06FB8F}" name="Column2192"/>
    <tableColumn id="2193" xr3:uid="{87258023-F3A7-46C6-AFD4-4DD64C6B5297}" name="Column2193"/>
    <tableColumn id="2194" xr3:uid="{EF821940-FD7B-4F0A-9AFA-5A179A12BA6B}" name="Column2194"/>
    <tableColumn id="2195" xr3:uid="{9AF54978-FE26-4303-AAAE-BA22B9F8412E}" name="Column2195"/>
    <tableColumn id="2196" xr3:uid="{C9F95D97-43E2-4C14-8803-D8E876F5EC7F}" name="Column2196"/>
    <tableColumn id="2197" xr3:uid="{BA3FA803-E03A-4E28-B1E7-813B808A3556}" name="Column2197"/>
    <tableColumn id="2198" xr3:uid="{E9A93EC8-A603-4BBE-A882-FA12AACB4CA6}" name="Column2198"/>
    <tableColumn id="2199" xr3:uid="{47A1D196-8AFD-45D1-8D1B-E50899F1662B}" name="Column2199"/>
    <tableColumn id="2200" xr3:uid="{ECD90B93-C611-4625-AD83-7FC7462E286A}" name="Column2200"/>
    <tableColumn id="2201" xr3:uid="{67FE6DD8-2774-4685-83C1-9DCB5C4519CF}" name="Column2201"/>
    <tableColumn id="2202" xr3:uid="{118322E4-4D35-4965-992D-446B08EF2B17}" name="Column2202"/>
    <tableColumn id="2203" xr3:uid="{34724741-2134-4E05-A49E-216E6E18C408}" name="Column2203"/>
    <tableColumn id="2204" xr3:uid="{DF949A55-2B78-47D2-850F-5A28C31BB16D}" name="Column2204"/>
    <tableColumn id="2205" xr3:uid="{5F127161-5C82-463C-BB10-53950EC47078}" name="Column2205"/>
    <tableColumn id="2206" xr3:uid="{F61A9980-C4E1-43DF-857D-BF2260E51190}" name="Column2206"/>
    <tableColumn id="2207" xr3:uid="{B7E5256C-FC77-4580-8F4D-F6216E67126F}" name="Column2207"/>
    <tableColumn id="2208" xr3:uid="{E84E72B5-774D-4077-8A09-DFE764DE5319}" name="Column2208"/>
    <tableColumn id="2209" xr3:uid="{F11FF503-B1BA-4558-93DE-7FDF8C047A7A}" name="Column2209"/>
    <tableColumn id="2210" xr3:uid="{F06D2BA9-AE33-4702-8323-D49FB2147A21}" name="Column2210"/>
    <tableColumn id="2211" xr3:uid="{A660C02A-3350-411A-87CA-5F845D273D91}" name="Column2211"/>
    <tableColumn id="2212" xr3:uid="{817F4529-B0EF-41B6-8F81-6E19B11634F3}" name="Column2212"/>
    <tableColumn id="2213" xr3:uid="{11C84236-FD6A-426F-8FFE-F736ECB20AB3}" name="Column2213"/>
    <tableColumn id="2214" xr3:uid="{28C0B9C2-D4D9-496D-A5DC-FFD031C4238E}" name="Column2214"/>
    <tableColumn id="2215" xr3:uid="{0010DBC1-5217-44ED-B2A9-E5B6ACD6DDF7}" name="Column2215"/>
    <tableColumn id="2216" xr3:uid="{F7575B67-59AB-4E94-8CA1-1CCFB12446C3}" name="Column2216"/>
    <tableColumn id="2217" xr3:uid="{6DC5F697-0B38-473F-9794-7F9443FAAF1D}" name="Column2217"/>
    <tableColumn id="2218" xr3:uid="{78642BB7-5C49-4523-A43F-F1D4AB6F971F}" name="Column2218"/>
    <tableColumn id="2219" xr3:uid="{BD345251-8023-460A-B2F3-0C22B72C986E}" name="Column2219"/>
    <tableColumn id="2220" xr3:uid="{F15EC686-97FA-493B-892F-67545B4BF44A}" name="Column2220"/>
    <tableColumn id="2221" xr3:uid="{49899B89-B6C2-46D0-88EB-F096EC0FB9EA}" name="Column2221"/>
    <tableColumn id="2222" xr3:uid="{0CEA0158-7971-4FAB-A19B-AD032048612A}" name="Column2222"/>
    <tableColumn id="2223" xr3:uid="{9BDF6679-FA72-466B-8A9D-07192A1338DE}" name="Column2223"/>
    <tableColumn id="2224" xr3:uid="{869E1A84-BE39-4655-A9C7-696B191D586E}" name="Column2224"/>
    <tableColumn id="2225" xr3:uid="{6EC74391-651F-407E-A745-46FEACACA192}" name="Column2225"/>
    <tableColumn id="2226" xr3:uid="{D664BD20-6826-46DE-B29A-9AF37BA5E010}" name="Column2226"/>
    <tableColumn id="2227" xr3:uid="{F8EE9019-1E2D-4E2D-9B05-161DED922486}" name="Column2227"/>
    <tableColumn id="2228" xr3:uid="{253DEEC8-93B7-4739-A9C9-DD3E8CA47237}" name="Column2228"/>
    <tableColumn id="2229" xr3:uid="{E57AB480-98F2-4582-AA3C-75B0D7803CD7}" name="Column2229"/>
    <tableColumn id="2230" xr3:uid="{26425402-8BA5-48E5-B0C7-EFC964CCFEC8}" name="Column2230"/>
    <tableColumn id="2231" xr3:uid="{4A5E0FC4-F952-4A0F-AD9C-9005B205647A}" name="Column2231"/>
    <tableColumn id="2232" xr3:uid="{3EE9C2A5-4E80-4AF8-B27C-5945516DC07C}" name="Column2232"/>
    <tableColumn id="2233" xr3:uid="{A98B34F8-3A9B-466C-9964-22C8AA728AA6}" name="Column2233"/>
    <tableColumn id="2234" xr3:uid="{69933A14-B863-4AB0-AD76-14A093F1F706}" name="Column2234"/>
    <tableColumn id="2235" xr3:uid="{9D8B5549-FE97-41A0-B1DB-F3FCADCB9EF6}" name="Column2235"/>
    <tableColumn id="2236" xr3:uid="{BB0DB661-6A2D-4C12-A13B-A984FF8F493C}" name="Column2236"/>
    <tableColumn id="2237" xr3:uid="{7BC89294-82A6-44CE-BC5D-A22CFE56C684}" name="Column2237"/>
    <tableColumn id="2238" xr3:uid="{248330DD-2413-4D1E-8608-A31A5FAEF150}" name="Column2238"/>
    <tableColumn id="2239" xr3:uid="{C7FE633D-1DB9-4301-BC93-16BA5CC45B54}" name="Column2239"/>
    <tableColumn id="2240" xr3:uid="{7C9A9ACD-6C67-47E2-B180-C8B9D7ECB0CC}" name="Column2240"/>
    <tableColumn id="2241" xr3:uid="{1B70F1BB-E31B-475D-BD47-85F5BE9139FF}" name="Column2241"/>
    <tableColumn id="2242" xr3:uid="{EEC1563A-0C13-4F8F-8B02-55EBE94DC274}" name="Column2242"/>
    <tableColumn id="2243" xr3:uid="{868935B9-BA9F-43FF-92BC-1FECCD9D2E95}" name="Column2243"/>
    <tableColumn id="2244" xr3:uid="{BD45AF95-F5AA-48EF-A562-A23F7B43B464}" name="Column2244"/>
    <tableColumn id="2245" xr3:uid="{E3B1F275-17F9-4576-A9B2-B305CBD0A856}" name="Column2245"/>
    <tableColumn id="2246" xr3:uid="{E585F537-EAD1-4C19-9F6B-860626AB94F2}" name="Column2246"/>
    <tableColumn id="2247" xr3:uid="{4E2E29DA-F05B-43B3-A542-F22B9F8A7BDD}" name="Column2247"/>
    <tableColumn id="2248" xr3:uid="{8952958E-0B76-48B9-8677-7D78B7183E40}" name="Column2248"/>
    <tableColumn id="2249" xr3:uid="{FE145101-0E27-44A5-BCC5-F3CEEA208D35}" name="Column2249"/>
    <tableColumn id="2250" xr3:uid="{D41B8222-6DA6-4F56-BC22-DC1796DD9205}" name="Column2250"/>
    <tableColumn id="2251" xr3:uid="{062287E7-32DA-4299-986E-A56D8972E4C6}" name="Column2251"/>
    <tableColumn id="2252" xr3:uid="{70B47B6D-B550-46DD-85EA-0D1518E6994C}" name="Column2252"/>
    <tableColumn id="2253" xr3:uid="{99FF92D9-0CDB-4E8F-92C3-5DF60DBB6899}" name="Column2253"/>
    <tableColumn id="2254" xr3:uid="{F14D5F0F-B9FF-4021-B5EA-561973F39843}" name="Column2254"/>
    <tableColumn id="2255" xr3:uid="{736821D6-09C0-46FE-88EE-974EFDEE8655}" name="Column2255"/>
    <tableColumn id="2256" xr3:uid="{DD7CD699-A5CA-48E5-A8F3-5A8CC81D40B4}" name="Column2256"/>
    <tableColumn id="2257" xr3:uid="{4EA9FD6D-8AEF-4AF6-82D1-221F330CCBD5}" name="Column2257"/>
    <tableColumn id="2258" xr3:uid="{F60B5D77-EF6B-41A5-89F1-743F37188F49}" name="Column2258"/>
    <tableColumn id="2259" xr3:uid="{3F113B4A-0DF6-47A8-808F-70EC98333907}" name="Column2259"/>
    <tableColumn id="2260" xr3:uid="{80FB9903-5212-4167-894C-CFAB67E5FC88}" name="Column2260"/>
    <tableColumn id="2261" xr3:uid="{845492FB-6692-46E7-9B95-ADD0C41AE993}" name="Column2261"/>
    <tableColumn id="2262" xr3:uid="{6A564237-7ADB-4099-B877-B04168FA2598}" name="Column2262"/>
    <tableColumn id="2263" xr3:uid="{6D17ED43-6523-4BE5-9A07-D04CD92E2E1C}" name="Column2263"/>
    <tableColumn id="2264" xr3:uid="{311F6E98-F104-4893-962F-15653E7D3B18}" name="Column2264"/>
    <tableColumn id="2265" xr3:uid="{535BC8DD-206D-497C-8708-BF6076D6C1FC}" name="Column2265"/>
    <tableColumn id="2266" xr3:uid="{7D4DE52C-007D-4F71-9014-578C55BAE141}" name="Column2266"/>
    <tableColumn id="2267" xr3:uid="{EC445AA7-7A12-4A23-8189-5B3E74016E71}" name="Column2267"/>
    <tableColumn id="2268" xr3:uid="{F8882301-CF18-46D5-8AAB-79FE35EFD59C}" name="Column2268"/>
    <tableColumn id="2269" xr3:uid="{9D1CC9D3-804C-4A64-A786-BF88793FBF5D}" name="Column2269"/>
    <tableColumn id="2270" xr3:uid="{12F9F5A4-FBE7-4FB4-93DF-C52C1E024EF4}" name="Column2270"/>
    <tableColumn id="2271" xr3:uid="{11165287-995F-4DC5-BD60-870844CE61BC}" name="Column2271"/>
    <tableColumn id="2272" xr3:uid="{608FC98B-34E2-4220-B34E-2A46A55C4451}" name="Column2272"/>
    <tableColumn id="2273" xr3:uid="{9E49CA57-8DCA-4CF2-B424-50DAE4F063A7}" name="Column2273"/>
    <tableColumn id="2274" xr3:uid="{FAD98282-00B6-410B-A815-5F9319D716CF}" name="Column2274"/>
    <tableColumn id="2275" xr3:uid="{93F69BB5-C2E3-4606-99A3-8826B580BB72}" name="Column2275"/>
    <tableColumn id="2276" xr3:uid="{C8841AF1-3644-4822-B4C4-EA7532EBBEC6}" name="Column2276"/>
    <tableColumn id="2277" xr3:uid="{ECF54D90-882B-431B-ABB6-F92699109BF1}" name="Column2277"/>
    <tableColumn id="2278" xr3:uid="{28272734-0302-42C8-ABA9-7BACB4EA47B2}" name="Column2278"/>
    <tableColumn id="2279" xr3:uid="{FD273C17-D3DF-4378-A2EB-07A39067F31F}" name="Column2279"/>
    <tableColumn id="2280" xr3:uid="{3CE0ED65-CE18-4D98-B90E-215DC602F8BC}" name="Column2280"/>
    <tableColumn id="2281" xr3:uid="{8CD0DE3C-FA33-44B4-8978-54EB8841B8C2}" name="Column2281"/>
    <tableColumn id="2282" xr3:uid="{8E36B0EF-B771-46C6-B826-CEB1E537FF54}" name="Column2282"/>
    <tableColumn id="2283" xr3:uid="{DF92B8EE-6E04-4394-8689-503A248EFE1B}" name="Column2283"/>
    <tableColumn id="2284" xr3:uid="{B2EA888E-ADA9-4EB1-ADDD-24CFC81AFA03}" name="Column2284"/>
    <tableColumn id="2285" xr3:uid="{BC84A173-509E-45AA-851D-E93FB80067ED}" name="Column2285"/>
    <tableColumn id="2286" xr3:uid="{E1DEE558-EDDD-4DAF-B75B-75DA344A1CF9}" name="Column2286"/>
    <tableColumn id="2287" xr3:uid="{C7A59C7B-AC6E-4960-912E-E4F744240944}" name="Column2287"/>
    <tableColumn id="2288" xr3:uid="{CAD88C9C-CACA-425D-B7DB-DDACA54F677E}" name="Column2288"/>
    <tableColumn id="2289" xr3:uid="{BFCFB295-077A-4712-8108-364CBD8205DD}" name="Column2289"/>
    <tableColumn id="2290" xr3:uid="{27A021D4-A2D0-48E8-A49A-8FB9AA7269D2}" name="Column2290"/>
    <tableColumn id="2291" xr3:uid="{B969B28E-6C4F-4A2D-83DB-1101856774BF}" name="Column2291"/>
    <tableColumn id="2292" xr3:uid="{DEE0387A-DD32-42EC-A6BF-BBC02ED211AE}" name="Column2292"/>
    <tableColumn id="2293" xr3:uid="{562E6E31-2A48-4FA4-9D15-3EEE044C2C70}" name="Column2293"/>
    <tableColumn id="2294" xr3:uid="{841523E1-FC92-4A67-8064-2FFCFC7AECF1}" name="Column2294"/>
    <tableColumn id="2295" xr3:uid="{6EAE4F24-45EB-45C6-ACC2-223F3F01AA45}" name="Column2295"/>
    <tableColumn id="2296" xr3:uid="{3ECEAD02-1DB3-4D9B-A755-F348CCEFE83A}" name="Column2296"/>
    <tableColumn id="2297" xr3:uid="{DF26DC16-237E-4543-BA5C-102ED780EDCB}" name="Column2297"/>
    <tableColumn id="2298" xr3:uid="{415E81FD-278C-4B53-891D-A0469578EEE8}" name="Column2298"/>
    <tableColumn id="2299" xr3:uid="{2B900B8C-E44D-410E-84E0-929983023455}" name="Column2299"/>
    <tableColumn id="2300" xr3:uid="{DA4E4FB7-C0DE-4B8B-9226-20EAF96E6726}" name="Column2300"/>
    <tableColumn id="2301" xr3:uid="{EAC723B7-D3A1-4BD9-87EB-EF0209F5039A}" name="Column2301"/>
    <tableColumn id="2302" xr3:uid="{1AF279C4-826E-4564-9ABA-EE78525F608A}" name="Column2302"/>
    <tableColumn id="2303" xr3:uid="{83CB27AB-6D5B-4E32-96EC-13A24D9CC026}" name="Column2303"/>
    <tableColumn id="2304" xr3:uid="{7081C215-235E-4CA6-B4A7-44EF07599815}" name="Column2304"/>
    <tableColumn id="2305" xr3:uid="{864327F1-3E95-4B99-989A-B712708399F4}" name="Column2305"/>
    <tableColumn id="2306" xr3:uid="{A052BE07-93A0-4412-A7ED-DF2B897D34D5}" name="Column2306"/>
    <tableColumn id="2307" xr3:uid="{F4B54A58-0C19-4785-951B-65C8B5F6575B}" name="Column2307"/>
    <tableColumn id="2308" xr3:uid="{56C32B7F-880D-43C9-BD73-0C2DE107D0DA}" name="Column2308"/>
    <tableColumn id="2309" xr3:uid="{75734131-C1D8-44D9-A725-82C58C72A3E9}" name="Column2309"/>
    <tableColumn id="2310" xr3:uid="{E943C8C9-C30B-4154-B6EB-28167F5EE01C}" name="Column2310"/>
    <tableColumn id="2311" xr3:uid="{7453B937-DF15-4618-903C-07B2BC065C2F}" name="Column2311"/>
    <tableColumn id="2312" xr3:uid="{E98EAA50-CDCC-4855-9D27-8C44C5906B80}" name="Column2312"/>
    <tableColumn id="2313" xr3:uid="{A5AC57C9-85DE-4AEC-953F-C4D84D52211A}" name="Column2313"/>
    <tableColumn id="2314" xr3:uid="{2CA72B87-1359-4A88-BAD4-50D03279209A}" name="Column2314"/>
    <tableColumn id="2315" xr3:uid="{84560B94-68FA-4962-AE95-5A00C64DB5E8}" name="Column2315"/>
    <tableColumn id="2316" xr3:uid="{F2DCBE03-0135-4408-B3C5-CFB731F633CA}" name="Column2316"/>
    <tableColumn id="2317" xr3:uid="{FDF4BBF0-AB72-4B5E-AF04-BA1AB0227EA0}" name="Column2317"/>
    <tableColumn id="2318" xr3:uid="{7DE1B71F-CC42-4030-97D6-7C7D780E4BE5}" name="Column2318"/>
    <tableColumn id="2319" xr3:uid="{5238A9A2-705C-43A9-B801-ACB4ABB17F2A}" name="Column2319"/>
    <tableColumn id="2320" xr3:uid="{D6519B39-E2B3-45AC-A144-93554D6161FF}" name="Column2320"/>
    <tableColumn id="2321" xr3:uid="{7891D6C1-6E16-47B1-B943-343F55A018C4}" name="Column2321"/>
    <tableColumn id="2322" xr3:uid="{CF5B8C65-3F3E-4A5C-945D-204762E28A97}" name="Column2322"/>
    <tableColumn id="2323" xr3:uid="{74918603-3DE4-4B42-A738-7A5D45244061}" name="Column2323"/>
    <tableColumn id="2324" xr3:uid="{E5571B05-D64C-4559-A547-75EEA835EEAB}" name="Column2324"/>
    <tableColumn id="2325" xr3:uid="{46172730-C45B-4339-8136-C354EFB75C4A}" name="Column2325"/>
    <tableColumn id="2326" xr3:uid="{8CB0974D-9C82-4C5E-9D24-EDC89F055FEB}" name="Column2326"/>
    <tableColumn id="2327" xr3:uid="{C3F444EE-AEBA-4458-92BB-44106500F19B}" name="Column2327"/>
    <tableColumn id="2328" xr3:uid="{023D6F69-1BC4-4DCC-BE11-09599B24B193}" name="Column2328"/>
    <tableColumn id="2329" xr3:uid="{E3BA5C66-D4B3-4CDF-B477-6FBE62368810}" name="Column2329"/>
    <tableColumn id="2330" xr3:uid="{86277F6B-B52B-42D7-825E-D9E30C15BF1C}" name="Column2330"/>
    <tableColumn id="2331" xr3:uid="{64AEB945-9497-4B0C-961C-80FE8A0CE52F}" name="Column2331"/>
    <tableColumn id="2332" xr3:uid="{A7807383-B941-4E38-9407-05FB35C941DB}" name="Column2332"/>
    <tableColumn id="2333" xr3:uid="{46BC2330-8840-4D49-B1A4-590282516063}" name="Column2333"/>
    <tableColumn id="2334" xr3:uid="{44139AB0-94BB-4B5D-87F3-FFABA5D710F3}" name="Column2334"/>
    <tableColumn id="2335" xr3:uid="{BC80F390-3F28-4C6C-8F29-43F5EB1526D8}" name="Column2335"/>
    <tableColumn id="2336" xr3:uid="{BC755C04-894C-45A5-975C-08A3F36CE613}" name="Column2336"/>
    <tableColumn id="2337" xr3:uid="{C939E000-141E-471F-961B-9B65B4158424}" name="Column2337"/>
    <tableColumn id="2338" xr3:uid="{C696C958-9F9E-468D-B9CF-4A0E1CC127E8}" name="Column2338"/>
    <tableColumn id="2339" xr3:uid="{B2F0FB2F-EE5B-4EFC-802B-2ACA0C20C63E}" name="Column2339"/>
    <tableColumn id="2340" xr3:uid="{40739A32-3A8D-451D-B06C-96A03CC7221B}" name="Column2340"/>
    <tableColumn id="2341" xr3:uid="{119D471C-DF01-41E0-A557-66E2FE00A4F8}" name="Column2341"/>
    <tableColumn id="2342" xr3:uid="{DA392D63-5E23-4197-A13E-B2587942157D}" name="Column2342"/>
    <tableColumn id="2343" xr3:uid="{534A526D-01EC-4988-B442-1268C8DECDF3}" name="Column2343"/>
    <tableColumn id="2344" xr3:uid="{CBFDAA54-B374-443C-BB87-B938D7FB2CB1}" name="Column2344"/>
    <tableColumn id="2345" xr3:uid="{16A90324-35FF-462E-ABF5-11F753310F31}" name="Column2345"/>
    <tableColumn id="2346" xr3:uid="{13A402F5-E580-4118-A916-B7E8566F3CB0}" name="Column2346"/>
    <tableColumn id="2347" xr3:uid="{D9EC4F46-C562-41B0-8D62-FCDB922BFD39}" name="Column2347"/>
    <tableColumn id="2348" xr3:uid="{DF991490-B86B-428F-8A9F-85294B66B924}" name="Column2348"/>
    <tableColumn id="2349" xr3:uid="{7AC90621-5D23-4315-B333-5367A62AE4FE}" name="Column2349"/>
    <tableColumn id="2350" xr3:uid="{343B6A1E-6643-460F-B68A-CEFC67583A0A}" name="Column2350"/>
    <tableColumn id="2351" xr3:uid="{22008E3B-CE39-4202-B78B-34A28BC1DAAE}" name="Column2351"/>
    <tableColumn id="2352" xr3:uid="{5B3C2587-BFF5-478B-99E1-1ABB2EF9AE2F}" name="Column2352"/>
    <tableColumn id="2353" xr3:uid="{3201F198-8DB3-44F5-9773-15C7B2624BA7}" name="Column2353"/>
    <tableColumn id="2354" xr3:uid="{9DCF22E7-58BB-426C-A63A-6A6E12B77334}" name="Column2354"/>
    <tableColumn id="2355" xr3:uid="{5525993B-C704-45A4-BAA9-2B9A43CFF0AC}" name="Column2355"/>
    <tableColumn id="2356" xr3:uid="{6E5CB88E-9848-49ED-90D1-1D2DC719C8B1}" name="Column2356"/>
    <tableColumn id="2357" xr3:uid="{2ABC8E4B-DC12-4ADE-879D-DABDB0B95E4E}" name="Column2357"/>
    <tableColumn id="2358" xr3:uid="{383E5CC8-84F3-4C32-B58C-B77599F4B9F2}" name="Column2358"/>
    <tableColumn id="2359" xr3:uid="{76F3335C-8EC2-407D-8B30-F6390D0A8466}" name="Column2359"/>
    <tableColumn id="2360" xr3:uid="{11C5910D-2F61-40B1-AB9A-0A34A7A34B31}" name="Column2360"/>
    <tableColumn id="2361" xr3:uid="{DE9552BC-E08F-4932-AF9B-7FD78C017435}" name="Column2361"/>
    <tableColumn id="2362" xr3:uid="{B32AC2EF-4899-4C7F-90CA-D679A2EBCACA}" name="Column2362"/>
    <tableColumn id="2363" xr3:uid="{06F78F24-7630-45BE-97BE-EF5838B47778}" name="Column2363"/>
    <tableColumn id="2364" xr3:uid="{D5BE4A19-06C5-4285-B0E9-24B69C2FD562}" name="Column2364"/>
    <tableColumn id="2365" xr3:uid="{6150D93E-FCB2-4197-A349-46BF5B76957A}" name="Column2365"/>
    <tableColumn id="2366" xr3:uid="{66401476-503B-4922-8743-E1879DDF7D50}" name="Column2366"/>
    <tableColumn id="2367" xr3:uid="{6E79BF69-FD96-4705-B940-2E0E881423CC}" name="Column2367"/>
    <tableColumn id="2368" xr3:uid="{7CEF68B3-CB7E-4D37-9005-03BB1FB61BC1}" name="Column2368"/>
    <tableColumn id="2369" xr3:uid="{35CD1C14-0911-4ADD-B272-B7CD5BA594A9}" name="Column2369"/>
    <tableColumn id="2370" xr3:uid="{447B4C20-A2B0-4371-92B8-35702DDF8E4B}" name="Column2370"/>
    <tableColumn id="2371" xr3:uid="{91E5C71A-108B-4F59-815D-7F7A0D4FD4E9}" name="Column2371"/>
    <tableColumn id="2372" xr3:uid="{17111FCF-52D3-47B3-891D-EE805E4B9C8A}" name="Column2372"/>
    <tableColumn id="2373" xr3:uid="{302F3C75-E77B-4E9F-8CDF-1604CB50EB23}" name="Column2373"/>
    <tableColumn id="2374" xr3:uid="{FD8B7BAC-41C6-4690-993D-F1F9F9B6DC10}" name="Column2374"/>
    <tableColumn id="2375" xr3:uid="{8865DFBA-1816-40C1-A83D-088706899D9C}" name="Column2375"/>
    <tableColumn id="2376" xr3:uid="{BC4B77D5-3032-48DE-8A03-54B873009914}" name="Column2376"/>
    <tableColumn id="2377" xr3:uid="{6786F97D-1B1B-4C3B-8488-5B866FAF7660}" name="Column2377"/>
    <tableColumn id="2378" xr3:uid="{A6DB2BEA-4FBC-43AD-82BB-0A2FD21F7277}" name="Column2378"/>
    <tableColumn id="2379" xr3:uid="{3EAEB91A-FF00-4A0F-8159-683FAA1A1BC8}" name="Column2379"/>
    <tableColumn id="2380" xr3:uid="{9EF25F08-37CF-4CE0-A63E-13FC655DA3DF}" name="Column2380"/>
    <tableColumn id="2381" xr3:uid="{8026806D-F14B-4DEB-9F2B-7D965482E127}" name="Column2381"/>
    <tableColumn id="2382" xr3:uid="{9822F2B2-B32C-477D-8CA6-9419DECB6288}" name="Column2382"/>
    <tableColumn id="2383" xr3:uid="{62F19272-2D14-4226-A4EE-8AB0A4E626DE}" name="Column2383"/>
    <tableColumn id="2384" xr3:uid="{5E70B494-65FF-4EBB-BF29-E3DCC4309770}" name="Column2384"/>
    <tableColumn id="2385" xr3:uid="{C384F63C-CB6C-4CE7-9AC6-A2E0CAB5F1A2}" name="Column2385"/>
    <tableColumn id="2386" xr3:uid="{01DC43F0-FC6F-460B-ACFB-3924B2238CDB}" name="Column2386"/>
    <tableColumn id="2387" xr3:uid="{ACC0F45A-861F-4E67-910F-9BD5A995396E}" name="Column2387"/>
    <tableColumn id="2388" xr3:uid="{577ECF02-C406-4BD5-87E0-CF805727E7E5}" name="Column2388"/>
    <tableColumn id="2389" xr3:uid="{6055CD7D-DF3C-4206-9502-F7590AC23E47}" name="Column2389"/>
    <tableColumn id="2390" xr3:uid="{1AC15160-2965-48A4-98E5-54FF5AB79749}" name="Column2390"/>
    <tableColumn id="2391" xr3:uid="{4C64BBA3-8222-4EC5-88D3-C10194826AF8}" name="Column2391"/>
    <tableColumn id="2392" xr3:uid="{569AF9EA-3754-4947-8F06-F6E12D217CFA}" name="Column2392"/>
    <tableColumn id="2393" xr3:uid="{79306BFD-BF68-41BA-A4B0-92E582D0C0F3}" name="Column2393"/>
    <tableColumn id="2394" xr3:uid="{14CC4E69-9852-4C19-B333-7CA51F9BBDAE}" name="Column2394"/>
    <tableColumn id="2395" xr3:uid="{37BB5FD0-9CD9-4711-B4C4-28617A68C079}" name="Column2395"/>
    <tableColumn id="2396" xr3:uid="{503CF581-37D6-4269-A1D7-A42A6D36FEAF}" name="Column2396"/>
    <tableColumn id="2397" xr3:uid="{D529A03D-E786-4E96-A74B-E626C632C4D9}" name="Column2397"/>
    <tableColumn id="2398" xr3:uid="{99399FF9-6655-4C5C-BCB7-1D3BF1C57613}" name="Column2398"/>
    <tableColumn id="2399" xr3:uid="{6E82B46D-CA5B-4BE3-9039-1C58E71E187C}" name="Column2399"/>
    <tableColumn id="2400" xr3:uid="{E86B0D93-DB22-46EB-AEE2-8943FA800D6B}" name="Column2400"/>
    <tableColumn id="2401" xr3:uid="{F17E683A-4C1F-49C0-BEC5-C863B997EE66}" name="Column2401"/>
    <tableColumn id="2402" xr3:uid="{A910B393-648A-4E50-9664-C9E1568210CE}" name="Column2402"/>
    <tableColumn id="2403" xr3:uid="{367A5E97-AB13-41D4-8FE1-31FE99F71502}" name="Column2403"/>
    <tableColumn id="2404" xr3:uid="{26404629-A29A-49A1-9171-9A50A1692CB6}" name="Column2404"/>
    <tableColumn id="2405" xr3:uid="{81870182-E2D0-4F1A-BA58-98E80570ACD0}" name="Column2405"/>
    <tableColumn id="2406" xr3:uid="{3AE73AC1-B8D8-4B9E-9D0A-4B933EF15332}" name="Column2406"/>
    <tableColumn id="2407" xr3:uid="{56BFFB10-49CD-4961-AA0E-5ABF46849F6B}" name="Column2407"/>
    <tableColumn id="2408" xr3:uid="{B1A643BD-6882-4BE0-BDCB-B163FB84A0C9}" name="Column2408"/>
    <tableColumn id="2409" xr3:uid="{BF09FC8A-DF04-4D38-BC21-D71895A93F34}" name="Column2409"/>
    <tableColumn id="2410" xr3:uid="{50DC52F9-0779-4B20-B077-6802ED0A66CA}" name="Column2410"/>
    <tableColumn id="2411" xr3:uid="{C2A69988-AFFB-4C26-AA38-04186A799AB9}" name="Column2411"/>
    <tableColumn id="2412" xr3:uid="{F011D83E-F49D-4651-B127-564115A0FD21}" name="Column2412"/>
    <tableColumn id="2413" xr3:uid="{C22B8459-50D6-4E3D-9440-C6423B0EB353}" name="Column2413"/>
    <tableColumn id="2414" xr3:uid="{D4C65B63-36A8-43D8-AB03-5F33660ED48A}" name="Column2414"/>
    <tableColumn id="2415" xr3:uid="{7FEBD7A1-9FBC-48D8-B14E-E9F83ABE49EA}" name="Column2415"/>
    <tableColumn id="2416" xr3:uid="{8ED6A8AB-D718-4367-ABFF-FEBF20620F41}" name="Column2416"/>
    <tableColumn id="2417" xr3:uid="{3DF83662-80AC-413B-BFF4-618160078E0E}" name="Column2417"/>
    <tableColumn id="2418" xr3:uid="{FDAD349E-9624-4B17-B3A5-F80606D52863}" name="Column2418"/>
    <tableColumn id="2419" xr3:uid="{740F2E44-3197-48BF-AC95-DDE9BCAE5C44}" name="Column2419"/>
    <tableColumn id="2420" xr3:uid="{160FCB80-3A71-4340-BACA-4F8DEF8F12BD}" name="Column2420"/>
    <tableColumn id="2421" xr3:uid="{02C17BCF-679E-4CC8-AB98-E182C75C8CA8}" name="Column2421"/>
    <tableColumn id="2422" xr3:uid="{07BF58A8-0864-4596-AE05-A556A9B8E0A6}" name="Column2422"/>
    <tableColumn id="2423" xr3:uid="{4C3DAEDF-E06D-4B8D-8BE0-5C39BFDAC736}" name="Column2423"/>
    <tableColumn id="2424" xr3:uid="{C7BE87A9-D7A3-44C6-93BB-333DCF6E1B93}" name="Column2424"/>
    <tableColumn id="2425" xr3:uid="{130F78B9-9541-40CE-B4BD-A28F86DF4D8D}" name="Column2425"/>
    <tableColumn id="2426" xr3:uid="{9F0A6409-0BA8-44CE-910C-1A0E83D5BF76}" name="Column2426"/>
    <tableColumn id="2427" xr3:uid="{9D8B58C9-AAF5-466C-A056-20CFC2DE0C7D}" name="Column2427"/>
    <tableColumn id="2428" xr3:uid="{B22045F1-B409-48E1-BBD5-3B2393C2878E}" name="Column2428"/>
    <tableColumn id="2429" xr3:uid="{EC02460E-CAFC-4BAD-A47E-FEAF5ED397A8}" name="Column2429"/>
    <tableColumn id="2430" xr3:uid="{CFC20029-68B4-4B73-9871-1AF84312660C}" name="Column2430"/>
    <tableColumn id="2431" xr3:uid="{7C67E2DB-EBBF-492A-AA23-F25A29F828BA}" name="Column2431"/>
    <tableColumn id="2432" xr3:uid="{6196E393-3E52-4589-B615-C08A58114E68}" name="Column2432"/>
    <tableColumn id="2433" xr3:uid="{19CE0462-69DE-4AD7-966A-9DCC14398107}" name="Column2433"/>
    <tableColumn id="2434" xr3:uid="{766AABB1-8CF8-4EEE-998F-98FDB356AADF}" name="Column2434"/>
    <tableColumn id="2435" xr3:uid="{8374C050-9B9A-488D-A9E2-FE4326A2CAA0}" name="Column2435"/>
    <tableColumn id="2436" xr3:uid="{878B3FA0-DF8D-4B20-AD1C-FD464E8247F4}" name="Column2436"/>
    <tableColumn id="2437" xr3:uid="{5231F729-D06E-413E-B4E4-F4D120B432E2}" name="Column2437"/>
    <tableColumn id="2438" xr3:uid="{764F813B-7B92-416E-B514-51FAE7A2FEA9}" name="Column2438"/>
    <tableColumn id="2439" xr3:uid="{FA58E21C-D553-4FC9-AE9E-7FD54A149B68}" name="Column2439"/>
    <tableColumn id="2440" xr3:uid="{5A904C6E-8A12-4190-9225-D825DC8EFA81}" name="Column2440"/>
    <tableColumn id="2441" xr3:uid="{54C829A5-47C6-4638-87CB-989B7FC51CFB}" name="Column2441"/>
    <tableColumn id="2442" xr3:uid="{230770E4-0544-41CA-B74A-7C5DE83E5DBA}" name="Column2442"/>
    <tableColumn id="2443" xr3:uid="{0E192FDC-7E3A-4D20-A892-6AE165A4645D}" name="Column2443"/>
    <tableColumn id="2444" xr3:uid="{94E996C4-C7B8-4A20-8029-A484FCCFF782}" name="Column2444"/>
    <tableColumn id="2445" xr3:uid="{A4039669-4FA3-4258-8881-2B6C6895C6A7}" name="Column2445"/>
    <tableColumn id="2446" xr3:uid="{A6859435-27BE-4BBF-83AD-1CAB67893593}" name="Column2446"/>
    <tableColumn id="2447" xr3:uid="{8992A864-52DD-4423-9703-B21EA1E845ED}" name="Column2447"/>
    <tableColumn id="2448" xr3:uid="{C13A04C5-2B52-4015-9F2C-0F3F6D3A19EC}" name="Column2448"/>
    <tableColumn id="2449" xr3:uid="{5BE921C7-1AD1-43C6-81DD-73BB85A2315B}" name="Column2449"/>
    <tableColumn id="2450" xr3:uid="{8B3D6503-6B39-471C-A8F3-7F16C1DA4008}" name="Column2450"/>
    <tableColumn id="2451" xr3:uid="{26E41756-1C3A-42B6-B9CA-4834FEE5411F}" name="Column2451"/>
    <tableColumn id="2452" xr3:uid="{DFD3FFA6-9014-4CEB-B4B2-1DBC55CF0C72}" name="Column2452"/>
    <tableColumn id="2453" xr3:uid="{871BD359-8279-4AA5-9A4E-21228AB46A06}" name="Column2453"/>
    <tableColumn id="2454" xr3:uid="{0FCDF00B-8A7D-46CF-9293-9193C935D562}" name="Column2454"/>
    <tableColumn id="2455" xr3:uid="{BE379AF6-CA04-44DF-8E5C-BA1EFED4D556}" name="Column2455"/>
    <tableColumn id="2456" xr3:uid="{84C064AB-C6A9-47E6-8DA0-DC61FF801D8C}" name="Column2456"/>
    <tableColumn id="2457" xr3:uid="{686471FB-DB6B-4656-850E-59288FF6EC51}" name="Column2457"/>
    <tableColumn id="2458" xr3:uid="{0CE2F30B-A4CF-4AA1-BE63-B408AB8C2290}" name="Column2458"/>
    <tableColumn id="2459" xr3:uid="{BD32D306-6A51-4A9D-8185-A6F322DC2DB4}" name="Column2459"/>
    <tableColumn id="2460" xr3:uid="{3E9E9150-CE73-452B-982D-78628075BFA8}" name="Column2460"/>
    <tableColumn id="2461" xr3:uid="{7B4C3C31-C072-4B21-B718-00C6C2A51923}" name="Column2461"/>
    <tableColumn id="2462" xr3:uid="{99F06E18-6EDE-4AC6-9188-0BF00DB8E808}" name="Column2462"/>
    <tableColumn id="2463" xr3:uid="{98FC6831-C6CA-4D96-AEA9-47D273E36036}" name="Column2463"/>
    <tableColumn id="2464" xr3:uid="{8FD52776-E5D9-440C-8B54-AE18EA0FC92F}" name="Column2464"/>
    <tableColumn id="2465" xr3:uid="{E46C80AC-50C4-4F70-9F0D-7BFA6E726CF5}" name="Column2465"/>
    <tableColumn id="2466" xr3:uid="{2C98E548-EB46-4D45-9D44-E1942AEA1730}" name="Column2466"/>
    <tableColumn id="2467" xr3:uid="{1F57096E-EEE0-4D22-A891-FBD2AB80DDC5}" name="Column2467"/>
    <tableColumn id="2468" xr3:uid="{D625709E-68C9-4134-BB1D-D47428B6A764}" name="Column2468"/>
    <tableColumn id="2469" xr3:uid="{6809C876-6488-4FE8-BC99-55669C9BF3A7}" name="Column2469"/>
    <tableColumn id="2470" xr3:uid="{C597BC50-A6E4-4289-8C5B-F75E4BED86F4}" name="Column2470"/>
    <tableColumn id="2471" xr3:uid="{394F3363-DB1E-4FAE-8D39-0D1ADDAFD79B}" name="Column2471"/>
    <tableColumn id="2472" xr3:uid="{5C04688F-86AC-48B6-B72A-B9A99589A339}" name="Column2472"/>
    <tableColumn id="2473" xr3:uid="{D41A8627-58DA-4017-99E0-7CB297EE9DB5}" name="Column2473"/>
    <tableColumn id="2474" xr3:uid="{8DD677C2-B8A3-4687-9704-25014CD00DD7}" name="Column2474"/>
    <tableColumn id="2475" xr3:uid="{3500B4C8-078C-4DA4-85D4-1F45F4C021D6}" name="Column2475"/>
    <tableColumn id="2476" xr3:uid="{FC16C7A6-1A7C-4D45-88EB-6382ECA8D742}" name="Column2476"/>
    <tableColumn id="2477" xr3:uid="{258AEAAD-1A94-42C2-B23B-7B938F0AEAAB}" name="Column2477"/>
    <tableColumn id="2478" xr3:uid="{7E862EC2-CEE6-4311-8A0A-C4505DC6EC64}" name="Column2478"/>
    <tableColumn id="2479" xr3:uid="{9B67E820-D435-4076-A22E-B25E66C733A0}" name="Column2479"/>
    <tableColumn id="2480" xr3:uid="{8B6C804B-70D2-4AB1-BAAF-3BF0E9CC39DB}" name="Column2480"/>
    <tableColumn id="2481" xr3:uid="{5FD72795-8FA4-4FB2-9673-5D458CDB3C14}" name="Column2481"/>
    <tableColumn id="2482" xr3:uid="{B938D6B1-0E6D-44BE-8E40-43E189D366B1}" name="Column2482"/>
    <tableColumn id="2483" xr3:uid="{4F020010-E781-40E1-BF1A-D23CACF778C2}" name="Column2483"/>
    <tableColumn id="2484" xr3:uid="{8B2B1E4C-D18D-4D9D-B681-7AF0174F35DC}" name="Column2484"/>
    <tableColumn id="2485" xr3:uid="{3806F4E6-AC1D-49C0-ACC1-236AF41191F7}" name="Column2485"/>
    <tableColumn id="2486" xr3:uid="{8F7BD564-027B-4C6F-8BF5-0434887F6F1E}" name="Column2486"/>
    <tableColumn id="2487" xr3:uid="{DF12CB04-57FC-48A2-AD4F-B0EF3CF3EFB9}" name="Column2487"/>
    <tableColumn id="2488" xr3:uid="{3D20E16F-A4AD-4879-8D97-B0F2F7A882B6}" name="Column2488"/>
    <tableColumn id="2489" xr3:uid="{376CC8CC-1BB0-4B49-9AE5-893012C7696D}" name="Column2489"/>
    <tableColumn id="2490" xr3:uid="{5F499046-6C1C-4522-A008-295B8FFFC376}" name="Column2490"/>
    <tableColumn id="2491" xr3:uid="{EAC5C895-2E4A-45E3-A156-1D8FD406CC75}" name="Column2491"/>
    <tableColumn id="2492" xr3:uid="{6AFE0517-C369-4ADD-8D17-8F1E41B1E37D}" name="Column2492"/>
    <tableColumn id="2493" xr3:uid="{FBCD15AF-506F-4566-8AD7-6D3848744317}" name="Column2493"/>
    <tableColumn id="2494" xr3:uid="{8255B74E-05AB-4DFD-9674-AC7F91E079EB}" name="Column2494"/>
    <tableColumn id="2495" xr3:uid="{0AA6DE55-21F5-441D-9F9F-57531FD3BE38}" name="Column2495"/>
    <tableColumn id="2496" xr3:uid="{334FA15F-79D0-4871-B601-2327458C73F1}" name="Column2496"/>
    <tableColumn id="2497" xr3:uid="{690B0CDF-1801-4190-A156-53FF725399C7}" name="Column2497"/>
    <tableColumn id="2498" xr3:uid="{F264C6AF-3079-4DCB-9392-C1DE71E67FA6}" name="Column2498"/>
    <tableColumn id="2499" xr3:uid="{3F7215FE-1F2E-4D04-9D2B-056CFEEB91C3}" name="Column2499"/>
    <tableColumn id="2500" xr3:uid="{DC2F9C54-0943-4E50-B4CC-9FC866624632}" name="Column2500"/>
    <tableColumn id="2501" xr3:uid="{8DCD14FA-91FC-4D5B-9ABF-922F92EB8E96}" name="Column2501"/>
    <tableColumn id="2502" xr3:uid="{54F5CE8C-D952-43E5-A440-1C82036E796D}" name="Column2502"/>
    <tableColumn id="2503" xr3:uid="{99166774-4A79-4021-9687-E10D3AFDDAB1}" name="Column2503"/>
    <tableColumn id="2504" xr3:uid="{ED760D4E-58E8-4247-A6D4-C5CFD009561C}" name="Column2504"/>
    <tableColumn id="2505" xr3:uid="{1C607698-E126-4C19-B617-9A2CEC04E0E6}" name="Column2505"/>
    <tableColumn id="2506" xr3:uid="{8E6DDEC8-18F9-4BEF-8E2A-440AF3C03A16}" name="Column2506"/>
    <tableColumn id="2507" xr3:uid="{295142B7-6654-49FA-9B2B-685981F25421}" name="Column2507"/>
    <tableColumn id="2508" xr3:uid="{EF990EB8-8AD4-41EF-AA64-EDB7432F7511}" name="Column2508"/>
    <tableColumn id="2509" xr3:uid="{C12DEF65-8D9F-469D-96FD-E70E149D22E3}" name="Column2509"/>
    <tableColumn id="2510" xr3:uid="{6FB9CCF3-9D44-4D0B-8ECF-906DA9E21A4D}" name="Column2510"/>
    <tableColumn id="2511" xr3:uid="{123145FA-8440-4E7B-85A0-BA865A6AB777}" name="Column2511"/>
    <tableColumn id="2512" xr3:uid="{28067F49-BB8F-455F-B7AB-E5D2D1AC0EE0}" name="Column2512"/>
    <tableColumn id="2513" xr3:uid="{87FC4626-0021-4AF9-9C48-B75F2FFE6980}" name="Column2513"/>
    <tableColumn id="2514" xr3:uid="{8F79BC78-FB7E-4C01-9B39-61CA89DBDF06}" name="Column2514"/>
    <tableColumn id="2515" xr3:uid="{C50FB1B2-8EB5-4D7A-BD93-1E20C06FF5DD}" name="Column2515"/>
    <tableColumn id="2516" xr3:uid="{7F7F2702-37ED-4F1B-A5FD-E2B621769106}" name="Column2516"/>
    <tableColumn id="2517" xr3:uid="{C9EEFF17-4670-471C-961F-B32A003A9976}" name="Column2517"/>
    <tableColumn id="2518" xr3:uid="{771927F0-7BA8-43EB-8A4D-8CE10F40DFE1}" name="Column2518"/>
    <tableColumn id="2519" xr3:uid="{B3C883A7-4FCB-4965-A88A-0DDB6DD2181D}" name="Column2519"/>
    <tableColumn id="2520" xr3:uid="{D307E3BC-0D6A-4142-98D4-440D88BD1DAD}" name="Column2520"/>
    <tableColumn id="2521" xr3:uid="{24827D1F-8112-4D94-8035-28C39AB8727E}" name="Column2521"/>
    <tableColumn id="2522" xr3:uid="{4BFF401D-42AB-4267-A619-F6A80983AA0E}" name="Column2522"/>
    <tableColumn id="2523" xr3:uid="{BA2C069B-BA91-4A22-803F-FDD79CBC6A72}" name="Column2523"/>
    <tableColumn id="2524" xr3:uid="{57AAEF2B-FA07-43F5-9ADA-FBA83CB2F3C7}" name="Column2524"/>
    <tableColumn id="2525" xr3:uid="{E6DEB39A-1E10-4716-BC86-52830E999730}" name="Column2525"/>
    <tableColumn id="2526" xr3:uid="{9995DDFA-4EDA-49F9-933E-60D6ED8C8A7B}" name="Column2526"/>
    <tableColumn id="2527" xr3:uid="{5DBC2D3D-0A39-4539-8420-1BD44544FE31}" name="Column2527"/>
    <tableColumn id="2528" xr3:uid="{D5BFFAA5-F2F4-475C-83A0-B44679F37099}" name="Column2528"/>
    <tableColumn id="2529" xr3:uid="{445AA67E-6E25-4893-ACCC-46F2B4947005}" name="Column2529"/>
    <tableColumn id="2530" xr3:uid="{724E9CE7-7A5E-4ACF-B9E9-A8CC65A6CA8C}" name="Column2530"/>
    <tableColumn id="2531" xr3:uid="{160D53E4-E829-47C8-9B2A-5A2FB6C35511}" name="Column2531"/>
    <tableColumn id="2532" xr3:uid="{59BC64E2-28D3-429D-96B7-F177C463CA27}" name="Column2532"/>
    <tableColumn id="2533" xr3:uid="{46B7A6CA-1A76-4BAD-89C9-30745C74AA5B}" name="Column2533"/>
    <tableColumn id="2534" xr3:uid="{2E4C8F4F-0018-46BB-BC82-0351C14D0501}" name="Column2534"/>
    <tableColumn id="2535" xr3:uid="{665690AC-CBCF-4E54-BF8F-BC93D1FBB2E4}" name="Column2535"/>
    <tableColumn id="2536" xr3:uid="{C63D199C-8ACC-47B9-BF52-582E8C4CE4AF}" name="Column2536"/>
    <tableColumn id="2537" xr3:uid="{70724456-2098-4DEC-A4C8-63CD40DAE43A}" name="Column2537"/>
    <tableColumn id="2538" xr3:uid="{35D7329F-6D92-4859-9458-64479434EC2D}" name="Column2538"/>
    <tableColumn id="2539" xr3:uid="{AC5883DE-583B-415E-9D21-B4EA608D36D3}" name="Column2539"/>
    <tableColumn id="2540" xr3:uid="{EECB2550-B48B-4149-A375-39BC9B2D48F3}" name="Column2540"/>
    <tableColumn id="2541" xr3:uid="{237703A2-CA5D-495F-9422-B12FB35BBBCD}" name="Column2541"/>
    <tableColumn id="2542" xr3:uid="{214E5F5B-988D-47F2-95C8-7CDA11F22E3E}" name="Column2542"/>
    <tableColumn id="2543" xr3:uid="{D2E2BCBF-7BEB-4943-97F2-584D6FD3AE6B}" name="Column2543"/>
    <tableColumn id="2544" xr3:uid="{24AAACB5-1467-4952-872A-197F3D5D46D9}" name="Column2544"/>
    <tableColumn id="2545" xr3:uid="{B02DB9B9-6634-42EE-B653-1C60F80146FB}" name="Column2545"/>
    <tableColumn id="2546" xr3:uid="{50AFB0B0-35D7-4B18-96FD-9FB9D7A2F288}" name="Column2546"/>
    <tableColumn id="2547" xr3:uid="{912699A6-4CDA-4161-881C-C3EF7ACD378A}" name="Column2547"/>
    <tableColumn id="2548" xr3:uid="{9CB8A6E0-88BD-46DB-8794-B76D1902454F}" name="Column2548"/>
    <tableColumn id="2549" xr3:uid="{FA118452-0340-4AF6-A536-FEAC6F53AFBE}" name="Column2549"/>
    <tableColumn id="2550" xr3:uid="{2FB95C6A-3581-4B0D-BD3F-BCF8217C2CEA}" name="Column2550"/>
    <tableColumn id="2551" xr3:uid="{4363734F-B501-4E76-954D-5A29F5115F4C}" name="Column2551"/>
    <tableColumn id="2552" xr3:uid="{55E9F204-52DE-4570-8A28-43215050A457}" name="Column2552"/>
    <tableColumn id="2553" xr3:uid="{10590061-FD69-4712-852F-B86DB6BCA953}" name="Column2553"/>
    <tableColumn id="2554" xr3:uid="{77262BC3-BC34-4230-963C-0EAC11383405}" name="Column2554"/>
    <tableColumn id="2555" xr3:uid="{3301339B-5F20-425E-9FC1-E3C4A85C655B}" name="Column2555"/>
    <tableColumn id="2556" xr3:uid="{11380B5A-62AB-4502-B994-4323B2C86B62}" name="Column2556"/>
    <tableColumn id="2557" xr3:uid="{8B1A4198-8BCF-4E42-A3AE-721CBFBBA4C1}" name="Column2557"/>
    <tableColumn id="2558" xr3:uid="{CCE281E4-BC96-40F3-89EC-0C659FFBD42A}" name="Column2558"/>
    <tableColumn id="2559" xr3:uid="{74F92B56-7A8A-4DF6-B785-9B9E290A9FEB}" name="Column2559"/>
    <tableColumn id="2560" xr3:uid="{F8EF102D-524B-42DC-ABAB-640DA35B3B71}" name="Column2560"/>
    <tableColumn id="2561" xr3:uid="{76E73356-CC7B-4B7E-B052-B13BC997880E}" name="Column2561"/>
    <tableColumn id="2562" xr3:uid="{29B63749-2B75-4C41-AF50-CFBA6E842E5F}" name="Column2562"/>
    <tableColumn id="2563" xr3:uid="{EE62AA0A-90A8-4DB0-8D35-466594F722A1}" name="Column2563"/>
    <tableColumn id="2564" xr3:uid="{AA54DB16-E9A1-4712-AE9D-1DE573A947B8}" name="Column2564"/>
    <tableColumn id="2565" xr3:uid="{C9AE73B6-F040-4752-9864-A83EE8FA25F6}" name="Column2565"/>
    <tableColumn id="2566" xr3:uid="{E07556B8-C83A-4CB1-B158-E972913412C1}" name="Column2566"/>
    <tableColumn id="2567" xr3:uid="{8D3B0513-FD7E-41E6-B1F1-6628A13CA001}" name="Column2567"/>
    <tableColumn id="2568" xr3:uid="{66964F65-069B-4837-9D3F-B738D13C6288}" name="Column2568"/>
    <tableColumn id="2569" xr3:uid="{E3B7451E-834B-4FD3-A001-DB466ACC10A0}" name="Column2569"/>
    <tableColumn id="2570" xr3:uid="{83AF1DCF-A6B1-4B40-B9E3-5DD8D626F86D}" name="Column2570"/>
    <tableColumn id="2571" xr3:uid="{A8B1B6F4-DA53-4956-9F42-CD40A70253EA}" name="Column2571"/>
    <tableColumn id="2572" xr3:uid="{D156BC0B-0541-4EEA-8776-EAAB51A1D192}" name="Column2572"/>
    <tableColumn id="2573" xr3:uid="{8742B003-6366-459F-B84D-D8273D4E016A}" name="Column2573"/>
    <tableColumn id="2574" xr3:uid="{526E1214-5689-4475-8C2D-BA0ECBD1993D}" name="Column2574"/>
    <tableColumn id="2575" xr3:uid="{728AFDA1-8354-48F4-8562-08CD423D2413}" name="Column2575"/>
    <tableColumn id="2576" xr3:uid="{C56A864F-C084-4F73-8677-7057ABBA7249}" name="Column2576"/>
    <tableColumn id="2577" xr3:uid="{AB0B12EB-A460-490B-BE31-273D0C0D046A}" name="Column2577"/>
    <tableColumn id="2578" xr3:uid="{C153DD2A-E407-43A6-8365-D21E120C9CA3}" name="Column2578"/>
    <tableColumn id="2579" xr3:uid="{827CE843-D632-49A0-AEE2-22E9BBF95E0B}" name="Column2579"/>
    <tableColumn id="2580" xr3:uid="{B154651D-5AA6-4A19-B9A8-9999C3CB6C84}" name="Column2580"/>
    <tableColumn id="2581" xr3:uid="{04FC2693-D4F5-4C24-8AAF-7EBF638E6379}" name="Column2581"/>
    <tableColumn id="2582" xr3:uid="{201B523D-2247-40E8-BDE5-C3646EAF0AF0}" name="Column2582"/>
    <tableColumn id="2583" xr3:uid="{D943F378-74A6-46AD-9AB2-E032C5046D90}" name="Column2583"/>
    <tableColumn id="2584" xr3:uid="{2E64EF0F-BB06-4FA1-B6BF-8D700FA33283}" name="Column2584"/>
    <tableColumn id="2585" xr3:uid="{C4452AC0-4678-49F1-8F5B-24C86C8F21EC}" name="Column2585"/>
    <tableColumn id="2586" xr3:uid="{FA43C306-776D-4AAB-9302-1B0048ADED9C}" name="Column2586"/>
    <tableColumn id="2587" xr3:uid="{99F15E46-18A5-47E5-ACF5-0CBAD1801D84}" name="Column2587"/>
    <tableColumn id="2588" xr3:uid="{00F70B7C-E37D-44AF-B879-0A8E65DFDAEB}" name="Column2588"/>
    <tableColumn id="2589" xr3:uid="{30F8CF3B-C5E2-487E-8BC2-47F69434695D}" name="Column2589"/>
    <tableColumn id="2590" xr3:uid="{319E68EC-2186-49B3-BC4E-998DAE0C9F33}" name="Column2590"/>
    <tableColumn id="2591" xr3:uid="{1B464DB3-6D90-43B4-A763-D4A1C94211AA}" name="Column2591"/>
    <tableColumn id="2592" xr3:uid="{CEBD3C43-A36A-4FCF-9278-AC46067DBBBC}" name="Column2592"/>
    <tableColumn id="2593" xr3:uid="{9EBAED9C-E63E-4862-8059-4F66003189DC}" name="Column2593"/>
    <tableColumn id="2594" xr3:uid="{ED1174CA-B81A-4B27-9102-D256196ACE2C}" name="Column2594"/>
    <tableColumn id="2595" xr3:uid="{4D50D645-566E-4970-B9CC-143A5BB4B851}" name="Column2595"/>
    <tableColumn id="2596" xr3:uid="{330219CE-D6BC-4CBA-BECD-41A9165C90EC}" name="Column2596"/>
    <tableColumn id="2597" xr3:uid="{5C6BB08A-BBEF-424A-8682-35FE74035F81}" name="Column2597"/>
    <tableColumn id="2598" xr3:uid="{08DC27B3-E477-4498-AAE5-AC285786EDFB}" name="Column2598"/>
    <tableColumn id="2599" xr3:uid="{DD13734D-8177-466E-ABFA-321BE23ED4FC}" name="Column2599"/>
    <tableColumn id="2600" xr3:uid="{109AD5BB-AFDE-4E39-A2A4-49AA148E91D8}" name="Column2600"/>
    <tableColumn id="2601" xr3:uid="{61995504-D0B9-4D5D-B573-2C52A4B853F5}" name="Column2601"/>
    <tableColumn id="2602" xr3:uid="{3513D10C-8AC3-4EC4-87E4-EBE6A5A5558F}" name="Column2602"/>
    <tableColumn id="2603" xr3:uid="{5EC95C4F-EEFA-4689-ABE2-2CC363DDEA1F}" name="Column2603"/>
    <tableColumn id="2604" xr3:uid="{1485C903-49D8-44AC-A6A3-63D678504F24}" name="Column2604"/>
    <tableColumn id="2605" xr3:uid="{80A66BD4-6A14-431F-ACE0-3B8456425D92}" name="Column2605"/>
    <tableColumn id="2606" xr3:uid="{F67A24A6-B431-490A-B9D3-1A6C15D24DD5}" name="Column2606"/>
    <tableColumn id="2607" xr3:uid="{E4EA77ED-B521-455D-A078-BF1A615037A8}" name="Column2607"/>
    <tableColumn id="2608" xr3:uid="{D3707453-2932-4866-A660-A20703DA7001}" name="Column2608"/>
    <tableColumn id="2609" xr3:uid="{14C51580-614F-4A6A-9D5F-E54DEF60E080}" name="Column2609"/>
    <tableColumn id="2610" xr3:uid="{9F3319FA-AB40-439F-ABA4-FBF8565DDC39}" name="Column2610"/>
    <tableColumn id="2611" xr3:uid="{C32A7CBA-91A3-42C1-9D65-77798D17E757}" name="Column2611"/>
    <tableColumn id="2612" xr3:uid="{0FED90C7-D7D9-41A0-B0F0-1A877D738D99}" name="Column2612"/>
    <tableColumn id="2613" xr3:uid="{76CAB32D-7414-4300-A3DA-F706505E2D1E}" name="Column2613"/>
    <tableColumn id="2614" xr3:uid="{E0DAE764-F16F-4A70-985C-8C58856A7F10}" name="Column2614"/>
    <tableColumn id="2615" xr3:uid="{271BDE96-3A0B-4F20-A4C3-9F80C3561447}" name="Column2615"/>
    <tableColumn id="2616" xr3:uid="{B9FFA1FB-94F7-4158-8E68-E72C8A36056B}" name="Column2616"/>
    <tableColumn id="2617" xr3:uid="{39346245-55AC-4FF6-B564-16C3DF601F3D}" name="Column2617"/>
    <tableColumn id="2618" xr3:uid="{0D284254-DF5D-4CAC-83F9-F76D9D3FB92D}" name="Column2618"/>
    <tableColumn id="2619" xr3:uid="{36BC7CA9-9E57-412B-8A9C-55F34ABEE93F}" name="Column2619"/>
    <tableColumn id="2620" xr3:uid="{42DACC01-A49C-46CD-AA60-96A13910C2CC}" name="Column2620"/>
    <tableColumn id="2621" xr3:uid="{E2306717-578F-4FE1-AB90-D067CF67714A}" name="Column2621"/>
    <tableColumn id="2622" xr3:uid="{3D9131FB-B7CD-4EF3-A69E-9B57FC0A1BFA}" name="Column2622"/>
    <tableColumn id="2623" xr3:uid="{1502F72A-7BA0-4E33-B83F-A740B24BCEBA}" name="Column2623"/>
    <tableColumn id="2624" xr3:uid="{BCB06E3E-51AE-47CB-9B1A-14C98C7B82F0}" name="Column2624"/>
    <tableColumn id="2625" xr3:uid="{42696781-734D-4CBF-9384-A15C5B986425}" name="Column2625"/>
    <tableColumn id="2626" xr3:uid="{43AC36BE-96AF-4068-B0CA-2B8EDFD9A444}" name="Column2626"/>
    <tableColumn id="2627" xr3:uid="{E89F27D2-155B-4E54-9672-FE30F3A3563F}" name="Column2627"/>
    <tableColumn id="2628" xr3:uid="{8E2CD299-122A-4D1F-92E0-F0B3D0A5BF69}" name="Column2628"/>
    <tableColumn id="2629" xr3:uid="{4C119764-0C20-4938-803D-8B491574B11F}" name="Column2629"/>
    <tableColumn id="2630" xr3:uid="{2EC439C2-7892-42AA-8E4D-9DB94F120E1D}" name="Column2630"/>
    <tableColumn id="2631" xr3:uid="{9564DB14-CBC0-4E79-A7CD-4E48367C9D57}" name="Column2631"/>
    <tableColumn id="2632" xr3:uid="{703223EF-2003-4D89-8D78-143DAFDC542D}" name="Column2632"/>
    <tableColumn id="2633" xr3:uid="{BEC70967-2976-478C-9B16-70AEFF7A8BF9}" name="Column2633"/>
    <tableColumn id="2634" xr3:uid="{1D9BBA23-499A-4125-A1A4-3D616372FF2B}" name="Column2634"/>
    <tableColumn id="2635" xr3:uid="{04DE826D-E4E4-419B-848A-935546BC343E}" name="Column2635"/>
    <tableColumn id="2636" xr3:uid="{7812A9F3-6708-45D4-BE67-D73F9ACF83E8}" name="Column2636"/>
    <tableColumn id="2637" xr3:uid="{5D7645B7-7D65-4050-9079-5E6C41663B38}" name="Column2637"/>
    <tableColumn id="2638" xr3:uid="{92F5997D-289A-4989-B150-BBFBCE5D866E}" name="Column2638"/>
    <tableColumn id="2639" xr3:uid="{4E2BBE4B-D0BC-410D-A38C-48F113100E90}" name="Column2639"/>
    <tableColumn id="2640" xr3:uid="{8ED9EA95-4F70-442E-9405-6F3B76364F12}" name="Column2640"/>
    <tableColumn id="2641" xr3:uid="{A4D33E32-0A3B-4216-B556-E6E9BFBB2343}" name="Column2641"/>
    <tableColumn id="2642" xr3:uid="{431A1D1D-DFCB-4127-A0BD-2F541EBCC946}" name="Column2642"/>
    <tableColumn id="2643" xr3:uid="{E2FBADAD-A8EB-4F3B-9A2F-5C05A77F54AA}" name="Column2643"/>
    <tableColumn id="2644" xr3:uid="{3AEDBBF2-CEB2-4670-A74D-5E9A6D8D79F7}" name="Column2644"/>
    <tableColumn id="2645" xr3:uid="{8A9DEB20-F335-4EF9-98F2-308A5F5B6914}" name="Column2645"/>
    <tableColumn id="2646" xr3:uid="{97C5507D-8DB6-4BFC-8A7F-6C57382A8E0E}" name="Column2646"/>
    <tableColumn id="2647" xr3:uid="{258FAA86-2FA8-46BE-8763-E60D640D0F36}" name="Column2647"/>
    <tableColumn id="2648" xr3:uid="{20884CB7-FE77-41A9-AFDE-0440DA899A31}" name="Column2648"/>
    <tableColumn id="2649" xr3:uid="{5F68F08B-8A69-4E5F-A730-F6EF3B0893C8}" name="Column2649"/>
    <tableColumn id="2650" xr3:uid="{BEB68C4A-D16E-485B-AA1C-67473E39D449}" name="Column2650"/>
    <tableColumn id="2651" xr3:uid="{7BC830C8-FB34-46E6-9E15-E0B3FA411D1C}" name="Column2651"/>
    <tableColumn id="2652" xr3:uid="{D94B9871-895C-4974-86AD-D1909E4D6AA8}" name="Column2652"/>
    <tableColumn id="2653" xr3:uid="{67AD481B-A294-48F4-B681-682D7E662B5E}" name="Column2653"/>
    <tableColumn id="2654" xr3:uid="{27A29CC4-3956-4554-AC5B-2D6A79528D2D}" name="Column2654"/>
    <tableColumn id="2655" xr3:uid="{466E1D9E-0C3F-4073-BC08-CBFF433B4DFF}" name="Column2655"/>
    <tableColumn id="2656" xr3:uid="{026BD47C-D273-4A65-8A62-9D19485A00A9}" name="Column2656"/>
    <tableColumn id="2657" xr3:uid="{1CECC169-26B3-45AB-837A-23B5055C5ACD}" name="Column2657"/>
    <tableColumn id="2658" xr3:uid="{DA0FE13C-7AAA-4359-B800-06FADCB3264B}" name="Column2658"/>
    <tableColumn id="2659" xr3:uid="{58CF7958-DC78-46AD-AB70-CDA37CD6B992}" name="Column2659"/>
    <tableColumn id="2660" xr3:uid="{F4B4BB69-BCF7-4ABA-BAAF-A141F5825E44}" name="Column2660"/>
    <tableColumn id="2661" xr3:uid="{847B279E-DDBD-4751-9A88-EBC675773496}" name="Column2661"/>
    <tableColumn id="2662" xr3:uid="{180374D2-8671-4771-B924-0D0274D2D015}" name="Column2662"/>
    <tableColumn id="2663" xr3:uid="{EBC0D0A5-8FFE-4566-AF05-1369B9AB57F5}" name="Column2663"/>
    <tableColumn id="2664" xr3:uid="{E888E717-58BF-4284-82B6-B684FDB6FFA5}" name="Column2664"/>
    <tableColumn id="2665" xr3:uid="{E16FB47C-8A55-4166-B91F-85E31B6D5A07}" name="Column2665"/>
    <tableColumn id="2666" xr3:uid="{21A2D447-2BF4-495D-ADAE-92844703E4BA}" name="Column2666"/>
    <tableColumn id="2667" xr3:uid="{7571F15B-6A03-410A-8D0A-A1495139D476}" name="Column2667"/>
    <tableColumn id="2668" xr3:uid="{6946FDEE-37F9-4F23-9338-28D9FCB571FD}" name="Column2668"/>
    <tableColumn id="2669" xr3:uid="{5D35A63B-DF2B-45D6-9396-31C1419CB11C}" name="Column2669"/>
    <tableColumn id="2670" xr3:uid="{69C14701-963F-4FC4-B71C-A0E44261A693}" name="Column2670"/>
    <tableColumn id="2671" xr3:uid="{750982F0-2105-42AC-B6A8-BAA14384515A}" name="Column2671"/>
    <tableColumn id="2672" xr3:uid="{7FF5DA05-83F1-4802-9D2A-1339FCB833AA}" name="Column2672"/>
    <tableColumn id="2673" xr3:uid="{C5035258-3D38-4885-9868-7128464B4E62}" name="Column2673"/>
    <tableColumn id="2674" xr3:uid="{101FD0BD-94E4-4ECA-9579-C30A6AF0D5BC}" name="Column2674"/>
    <tableColumn id="2675" xr3:uid="{0DAD6D74-A4EA-46F5-B017-49C550CEB7B3}" name="Column2675"/>
    <tableColumn id="2676" xr3:uid="{70F3880D-A878-422F-BD75-B67B6F4333F4}" name="Column2676"/>
    <tableColumn id="2677" xr3:uid="{0CF41182-6350-4D95-B53B-BE3F48E2A5D9}" name="Column2677"/>
    <tableColumn id="2678" xr3:uid="{73778861-D33E-4306-BCE6-8D04071A6B5B}" name="Column2678"/>
    <tableColumn id="2679" xr3:uid="{5C88C7B3-A605-477E-AF63-9F72032CA7BC}" name="Column2679"/>
    <tableColumn id="2680" xr3:uid="{86F465D3-0C65-43EF-85CC-E371D5749D16}" name="Column2680"/>
    <tableColumn id="2681" xr3:uid="{705B7732-BCED-4877-9356-2F0A1435B4D2}" name="Column2681"/>
    <tableColumn id="2682" xr3:uid="{CEF106CE-45FD-49B5-B323-FA56BC4B7641}" name="Column2682"/>
    <tableColumn id="2683" xr3:uid="{5AD01A84-E184-4376-8F94-DA6500802402}" name="Column2683"/>
    <tableColumn id="2684" xr3:uid="{AFDCE60F-F359-4FD3-8374-347B7B39A0CE}" name="Column2684"/>
    <tableColumn id="2685" xr3:uid="{C05ACC04-F514-49FE-9325-CB5D0C630475}" name="Column2685"/>
    <tableColumn id="2686" xr3:uid="{ABAE6136-63F3-4432-A1EC-7F23D11E0D46}" name="Column2686"/>
    <tableColumn id="2687" xr3:uid="{3A5A652C-0B02-4FBB-9628-9A6947B0679D}" name="Column2687"/>
    <tableColumn id="2688" xr3:uid="{65486F1D-63A6-4424-8D53-4EB0AB9CD78D}" name="Column2688"/>
    <tableColumn id="2689" xr3:uid="{D76897F8-B94B-4E2F-9A12-E7ECC2C1EAAB}" name="Column2689"/>
    <tableColumn id="2690" xr3:uid="{A90F3216-092E-4BBC-8C9A-2B8DE99FE7A5}" name="Column2690"/>
    <tableColumn id="2691" xr3:uid="{A8CD65EF-5328-481A-8FE1-EF5AAE8890A4}" name="Column2691"/>
    <tableColumn id="2692" xr3:uid="{B2EB56B5-078B-4FF3-ACAE-AE0C40814834}" name="Column2692"/>
    <tableColumn id="2693" xr3:uid="{DD03E993-FD44-46AB-B3B5-28353ADF9880}" name="Column2693"/>
    <tableColumn id="2694" xr3:uid="{3E029602-0AA0-44EF-8924-8D72989F812B}" name="Column2694"/>
    <tableColumn id="2695" xr3:uid="{9BABCE43-0752-422F-9A90-9227C02A0DD4}" name="Column2695"/>
    <tableColumn id="2696" xr3:uid="{E06C836B-ABCF-40D4-B419-FB2D2A74AC5B}" name="Column2696"/>
    <tableColumn id="2697" xr3:uid="{14F27BE6-6490-4087-A8FB-08AC4F3621ED}" name="Column2697"/>
    <tableColumn id="2698" xr3:uid="{DBF76F4F-67BE-4CE7-AB5E-9FCA5BC8DDE3}" name="Column2698"/>
    <tableColumn id="2699" xr3:uid="{6C52C44C-1C25-49B6-B6DA-160044B1C0A0}" name="Column2699"/>
    <tableColumn id="2700" xr3:uid="{C83829A8-7B13-4C33-A549-2B5D62F8D643}" name="Column2700"/>
    <tableColumn id="2701" xr3:uid="{2C69C6EE-D3D2-4F58-856D-A2EFBB4712CA}" name="Column2701"/>
    <tableColumn id="2702" xr3:uid="{8B5794D5-1F77-475F-860C-9A29B250823F}" name="Column2702"/>
    <tableColumn id="2703" xr3:uid="{DBC466FD-49A0-45E6-9859-73C0220F2733}" name="Column2703"/>
    <tableColumn id="2704" xr3:uid="{6D68B3B3-5F55-4397-A996-CA3D952B47AC}" name="Column2704"/>
    <tableColumn id="2705" xr3:uid="{2A9E0366-5955-44AE-898C-8D3775CC0C16}" name="Column2705"/>
    <tableColumn id="2706" xr3:uid="{AF21A140-C30A-4928-BA5F-DF39E270C6F5}" name="Column2706"/>
    <tableColumn id="2707" xr3:uid="{CFB5EAC0-FD3B-4252-A22B-D67746A4C3E2}" name="Column2707"/>
    <tableColumn id="2708" xr3:uid="{09D280C3-77CB-4D26-ACE8-86DAB9BBCF62}" name="Column2708"/>
    <tableColumn id="2709" xr3:uid="{098C9805-73BD-4CC3-928C-E7AD5AC8B3C8}" name="Column2709"/>
    <tableColumn id="2710" xr3:uid="{ED4228EB-D1F1-4BC6-95BC-31F99AB88083}" name="Column2710"/>
    <tableColumn id="2711" xr3:uid="{8A172368-7A32-4724-B972-36EFF5331CCC}" name="Column2711"/>
    <tableColumn id="2712" xr3:uid="{B64FC770-563B-40C3-B554-5E763BC3138A}" name="Column2712"/>
    <tableColumn id="2713" xr3:uid="{8A626F0B-4F4D-468D-A354-FEEB42B3D435}" name="Column2713"/>
    <tableColumn id="2714" xr3:uid="{BF822FA8-125C-43F7-B016-A1A112854FEE}" name="Column2714"/>
    <tableColumn id="2715" xr3:uid="{49E69225-584E-47F2-88F7-A81AE8DA32F7}" name="Column2715"/>
    <tableColumn id="2716" xr3:uid="{F10C2219-DD46-4EBE-A760-B237CBA2095C}" name="Column2716"/>
    <tableColumn id="2717" xr3:uid="{DA085045-70AE-46DF-BBF5-BCB192511C66}" name="Column2717"/>
    <tableColumn id="2718" xr3:uid="{9AA4D2D0-8BDE-4A85-939D-D263266F80F8}" name="Column2718"/>
    <tableColumn id="2719" xr3:uid="{0765859C-ACD0-4064-A23D-C43C9D60BC3B}" name="Column2719"/>
    <tableColumn id="2720" xr3:uid="{901D0924-B5BC-4B18-B3D0-A90E639CD7E2}" name="Column2720"/>
    <tableColumn id="2721" xr3:uid="{A1B7CD36-36E3-416C-BE27-D6D71D61A57C}" name="Column2721"/>
    <tableColumn id="2722" xr3:uid="{37B68715-BB35-4D80-8000-26D128F94EC7}" name="Column2722"/>
    <tableColumn id="2723" xr3:uid="{8DC6396E-8BF4-4F49-AEE2-0D476AA785D6}" name="Column2723"/>
    <tableColumn id="2724" xr3:uid="{706E41DB-BD93-4E5B-A8BA-D0FB3BDD72B7}" name="Column2724"/>
    <tableColumn id="2725" xr3:uid="{EC067EC0-A3A7-48AE-BFD6-1D6D9AF136E5}" name="Column2725"/>
    <tableColumn id="2726" xr3:uid="{DE766268-CB88-49B3-B950-80854ED5CD0B}" name="Column2726"/>
    <tableColumn id="2727" xr3:uid="{04918396-299C-4554-9D37-204369FF237F}" name="Column2727"/>
    <tableColumn id="2728" xr3:uid="{88709E74-797C-45C0-BE61-5497E748F591}" name="Column2728"/>
    <tableColumn id="2729" xr3:uid="{9DBE95C7-81F2-475A-A0FB-0AAEEFB5834A}" name="Column2729"/>
    <tableColumn id="2730" xr3:uid="{583CB777-4ED3-4E8E-AABE-20C2BBDEDE45}" name="Column2730"/>
    <tableColumn id="2731" xr3:uid="{229099F5-759F-4F76-8736-8B205B8169DF}" name="Column2731"/>
    <tableColumn id="2732" xr3:uid="{0625CD45-3205-4F29-8A89-25F61C4573AA}" name="Column2732"/>
    <tableColumn id="2733" xr3:uid="{FDFF8FD6-4F81-4082-847E-B13CD5DD0072}" name="Column2733"/>
    <tableColumn id="2734" xr3:uid="{302451DC-E5F4-4D5E-AAFE-2D2C14AEFD3D}" name="Column2734"/>
    <tableColumn id="2735" xr3:uid="{E6736FCE-1DBC-4659-B0D7-882DD91E6DCF}" name="Column2735"/>
    <tableColumn id="2736" xr3:uid="{1513AC96-1976-42D7-852B-847607777EED}" name="Column2736"/>
    <tableColumn id="2737" xr3:uid="{B11A4698-A957-4B44-A6FA-F56E67E34235}" name="Column2737"/>
    <tableColumn id="2738" xr3:uid="{13569424-284A-46A0-91B6-D9F09955E733}" name="Column2738"/>
    <tableColumn id="2739" xr3:uid="{F8FC8A04-AA36-4EDD-872E-12746E7F4911}" name="Column2739"/>
    <tableColumn id="2740" xr3:uid="{2D5BF04D-BE3C-4889-AFBE-3A76B4326AC1}" name="Column2740"/>
    <tableColumn id="2741" xr3:uid="{F15FCF88-EE35-4B53-85CC-C974FDA0B521}" name="Column2741"/>
    <tableColumn id="2742" xr3:uid="{2DB539AF-322A-4482-B630-D60E2E58F95E}" name="Column2742"/>
    <tableColumn id="2743" xr3:uid="{DE3E08DD-BDAB-4DF9-9489-E532033F9CE4}" name="Column2743"/>
    <tableColumn id="2744" xr3:uid="{E21BB3EE-48F1-436E-B45F-4E41473619B5}" name="Column2744"/>
    <tableColumn id="2745" xr3:uid="{E14F9AB4-0809-4D9C-9769-37DAEED3BD16}" name="Column2745"/>
    <tableColumn id="2746" xr3:uid="{DA50C58E-0D69-407B-9272-A62CBAE725C1}" name="Column2746"/>
    <tableColumn id="2747" xr3:uid="{AB421C88-2B0A-404A-8F80-6AA524DD6470}" name="Column2747"/>
    <tableColumn id="2748" xr3:uid="{29183A6D-99FA-4625-90DF-79E752072EB2}" name="Column2748"/>
    <tableColumn id="2749" xr3:uid="{A8827372-BB7A-4299-8F44-E403FBD7CEA3}" name="Column2749"/>
    <tableColumn id="2750" xr3:uid="{F986DE77-FD8B-409F-88FD-816B89E9CA6E}" name="Column2750"/>
    <tableColumn id="2751" xr3:uid="{BB39951C-B4BB-4DB3-95F3-ADF5D2B371B9}" name="Column2751"/>
    <tableColumn id="2752" xr3:uid="{E356A39D-D1C6-4009-B125-654048924BDB}" name="Column2752"/>
    <tableColumn id="2753" xr3:uid="{3EE85DCF-1D1F-4608-90AD-930D5803D892}" name="Column2753"/>
    <tableColumn id="2754" xr3:uid="{380EC321-6316-43FD-9059-EAB961449B6D}" name="Column2754"/>
    <tableColumn id="2755" xr3:uid="{883F39C3-F77E-4D2F-A34D-2B5542A141A1}" name="Column2755"/>
    <tableColumn id="2756" xr3:uid="{9DF92221-C0AD-4361-B891-258DAF6123F1}" name="Column2756"/>
    <tableColumn id="2757" xr3:uid="{0B25C0AA-D36F-4558-91E6-EC0871C7CB40}" name="Column2757"/>
    <tableColumn id="2758" xr3:uid="{553A1FBF-BBF3-4E86-839C-402343AE17F5}" name="Column2758"/>
    <tableColumn id="2759" xr3:uid="{E16A98F1-44BB-4AF7-992C-C0157B2D19A4}" name="Column2759"/>
    <tableColumn id="2760" xr3:uid="{C4C8F957-EC98-4023-B81D-3537E88448E8}" name="Column2760"/>
    <tableColumn id="2761" xr3:uid="{6D16072E-A5E1-45A1-94BD-C8FBEBEB681A}" name="Column2761"/>
    <tableColumn id="2762" xr3:uid="{A9B697E9-3B3F-46CA-A094-1B31A2BE4458}" name="Column2762"/>
    <tableColumn id="2763" xr3:uid="{DBA8055B-FAA3-4E86-9D01-309AD4C24434}" name="Column2763"/>
    <tableColumn id="2764" xr3:uid="{1404F5AF-8792-4FD5-ACC1-AD32002C97F3}" name="Column2764"/>
    <tableColumn id="2765" xr3:uid="{FC500CF4-E0D2-4DAA-9EA3-8FDAE5D7390D}" name="Column2765"/>
    <tableColumn id="2766" xr3:uid="{C0307092-BD57-4DE7-9988-3441A267E8D9}" name="Column2766"/>
    <tableColumn id="2767" xr3:uid="{9F07CFC4-BB18-459E-905F-726D179A6AAD}" name="Column2767"/>
    <tableColumn id="2768" xr3:uid="{1B9CDD7B-3E02-454F-A42E-CE693B9B98B6}" name="Column2768"/>
    <tableColumn id="2769" xr3:uid="{C6428E7B-A97A-404E-ABD4-2DB6874025EE}" name="Column2769"/>
    <tableColumn id="2770" xr3:uid="{8C5823D7-D802-45C0-ACD9-2347382B0961}" name="Column2770"/>
    <tableColumn id="2771" xr3:uid="{270571D2-D13B-453A-A0ED-2020047BFC8C}" name="Column2771"/>
    <tableColumn id="2772" xr3:uid="{10F31916-D12D-4A55-9ABB-DEA3E77955A2}" name="Column2772"/>
    <tableColumn id="2773" xr3:uid="{E0A766F7-8CB5-4ED6-8CB6-E115FDF5E3C5}" name="Column2773"/>
    <tableColumn id="2774" xr3:uid="{DF87D8E5-A617-4FF7-AE5D-AD95BE5B9F62}" name="Column2774"/>
    <tableColumn id="2775" xr3:uid="{9D7DAA4D-309D-40BA-B3D7-F914E5EF0561}" name="Column2775"/>
    <tableColumn id="2776" xr3:uid="{2E413A81-DD1A-4AF8-8ED3-70A297317EC2}" name="Column2776"/>
    <tableColumn id="2777" xr3:uid="{BA108495-63AF-479B-AF7D-595943A58F9E}" name="Column2777"/>
    <tableColumn id="2778" xr3:uid="{6643BD7C-8990-4E5C-A121-77BA5256D43C}" name="Column2778"/>
    <tableColumn id="2779" xr3:uid="{7ED313F1-8FBA-4883-AF5E-D5B59D882213}" name="Column2779"/>
    <tableColumn id="2780" xr3:uid="{D45C8D39-F6A0-409A-B5AA-99D1D7CA3086}" name="Column2780"/>
    <tableColumn id="2781" xr3:uid="{725F7405-6404-4A65-A66E-2631E41F791D}" name="Column2781"/>
    <tableColumn id="2782" xr3:uid="{F543009A-27C5-4E4C-9104-6E3FE947E348}" name="Column2782"/>
    <tableColumn id="2783" xr3:uid="{8DA7EE6B-A302-46BC-9574-8D608769B8D9}" name="Column2783"/>
    <tableColumn id="2784" xr3:uid="{067456BD-04AF-4F3F-8D05-B4965F9F7A9B}" name="Column2784"/>
    <tableColumn id="2785" xr3:uid="{1E5979F4-D894-48E7-B64E-711046DD8665}" name="Column2785"/>
    <tableColumn id="2786" xr3:uid="{0192A6FF-417A-459F-BAF9-4F8A2E8AC668}" name="Column2786"/>
    <tableColumn id="2787" xr3:uid="{DE1B664A-885D-4522-B48A-788333C4EA01}" name="Column2787"/>
    <tableColumn id="2788" xr3:uid="{8C72E7BC-5AF9-4F5C-A2E4-2073D08E395E}" name="Column2788"/>
    <tableColumn id="2789" xr3:uid="{C1A3D220-3636-47BE-93AE-B885A03D12F1}" name="Column2789"/>
    <tableColumn id="2790" xr3:uid="{B4D05B0F-74BD-4521-9B7E-08B108C85CBD}" name="Column2790"/>
    <tableColumn id="2791" xr3:uid="{ABE241A4-BEE2-4F8D-8D43-E4D60F16F466}" name="Column2791"/>
    <tableColumn id="2792" xr3:uid="{49E2FA68-10A3-4C76-B1F7-8F60DB0F8CF7}" name="Column2792"/>
    <tableColumn id="2793" xr3:uid="{5E890243-4202-45B7-B528-EAF2F82C1088}" name="Column2793"/>
    <tableColumn id="2794" xr3:uid="{358F91F9-AB40-4503-A247-2C6145E97EF9}" name="Column2794"/>
    <tableColumn id="2795" xr3:uid="{DD39D00C-B6FE-4854-BD5D-23E4349ACA02}" name="Column2795"/>
    <tableColumn id="2796" xr3:uid="{0A604D2F-0A21-4FC3-8022-2A4A866F336B}" name="Column2796"/>
    <tableColumn id="2797" xr3:uid="{3EF0DD1B-025C-40FE-B555-BED7E1BA2982}" name="Column2797"/>
    <tableColumn id="2798" xr3:uid="{D65FBB31-7867-4B53-8B7D-7A7BA77DCB35}" name="Column2798"/>
    <tableColumn id="2799" xr3:uid="{E532DBA2-2FA7-41E6-8B79-34AEAC850E93}" name="Column2799"/>
    <tableColumn id="2800" xr3:uid="{557405BD-6560-42C7-8418-AF13F7B2AEF1}" name="Column2800"/>
    <tableColumn id="2801" xr3:uid="{A27281FA-947E-4D27-88CF-03F8C17FD61B}" name="Column2801"/>
    <tableColumn id="2802" xr3:uid="{CF2AF703-73B8-4742-8BA2-E3037431FA7E}" name="Column2802"/>
    <tableColumn id="2803" xr3:uid="{131DB517-6B73-4FA0-898D-ABE7D92B4B7B}" name="Column2803"/>
    <tableColumn id="2804" xr3:uid="{01914820-ADDE-4C68-9BDF-C57C07D089EB}" name="Column2804"/>
    <tableColumn id="2805" xr3:uid="{CC8DD380-AB40-4A39-A1A3-B2D119925F63}" name="Column2805"/>
    <tableColumn id="2806" xr3:uid="{EF185C39-4185-469F-9477-35E78D5816E6}" name="Column2806"/>
    <tableColumn id="2807" xr3:uid="{FD026213-7D25-4C14-A8C4-8498014250F2}" name="Column2807"/>
    <tableColumn id="2808" xr3:uid="{025640EA-4A98-4C6F-B933-4BFA49957AC8}" name="Column2808"/>
    <tableColumn id="2809" xr3:uid="{E1CF670C-B83C-462F-B7CD-AD3DCF6D438F}" name="Column2809"/>
    <tableColumn id="2810" xr3:uid="{96581A38-5FEE-41D1-B635-DBCC7F3AEBAA}" name="Column2810"/>
    <tableColumn id="2811" xr3:uid="{036A847F-8DF8-42B8-A688-4167A084118F}" name="Column2811"/>
    <tableColumn id="2812" xr3:uid="{A6F95DFE-4A03-4C52-8251-B63E99C5BB82}" name="Column2812"/>
    <tableColumn id="2813" xr3:uid="{062009C1-E81A-4DEF-A6E8-EFF260B0CE68}" name="Column2813"/>
    <tableColumn id="2814" xr3:uid="{E9941596-41D6-4636-AE95-85C4A36F3752}" name="Column2814"/>
    <tableColumn id="2815" xr3:uid="{EB90F26A-5B60-4603-B377-E05C68CB15B2}" name="Column2815"/>
    <tableColumn id="2816" xr3:uid="{133221CA-1A24-4A79-A4DB-908535AB5B92}" name="Column2816"/>
    <tableColumn id="2817" xr3:uid="{C473126D-CB4A-482F-B2E8-CA5D0AAF04F1}" name="Column2817"/>
    <tableColumn id="2818" xr3:uid="{DF2D8B56-DC04-495C-8682-E209318CF101}" name="Column2818"/>
    <tableColumn id="2819" xr3:uid="{BC76CF7E-F087-4019-A5D3-9A2B3B30F946}" name="Column2819"/>
    <tableColumn id="2820" xr3:uid="{17F8B123-EB36-47A9-A0E9-07B3ED82DA11}" name="Column2820"/>
    <tableColumn id="2821" xr3:uid="{68540D0C-553F-4872-AFA4-C48717E7FF86}" name="Column2821"/>
    <tableColumn id="2822" xr3:uid="{9352665A-72BA-4A37-9470-126F9702EA88}" name="Column2822"/>
    <tableColumn id="2823" xr3:uid="{C282D794-8FF1-4D39-8C31-D0E6B95AAEF7}" name="Column2823"/>
    <tableColumn id="2824" xr3:uid="{07DD67C4-9193-4FBE-8E37-DD891A7BF423}" name="Column2824"/>
    <tableColumn id="2825" xr3:uid="{F39D9C16-3930-4E42-959C-CC49C92DEB2D}" name="Column2825"/>
    <tableColumn id="2826" xr3:uid="{E994A578-276E-4232-BEB6-DB398A5D2E36}" name="Column2826"/>
    <tableColumn id="2827" xr3:uid="{23C770E7-E4D2-44ED-90B8-03E5DA195A65}" name="Column2827"/>
    <tableColumn id="2828" xr3:uid="{87637EB3-3183-486F-94F2-4B0D2CF061D8}" name="Column2828"/>
    <tableColumn id="2829" xr3:uid="{260FA0B8-FF51-4F9B-BCDD-E42861557553}" name="Column2829"/>
    <tableColumn id="2830" xr3:uid="{A6AE32C0-DF08-4D10-83EF-A2748B6F57F9}" name="Column2830"/>
    <tableColumn id="2831" xr3:uid="{E04B20C3-4DA2-44A9-BECA-61D020476364}" name="Column2831"/>
    <tableColumn id="2832" xr3:uid="{0F35322C-7C46-4A1F-BB67-49C77FB8EB2E}" name="Column2832"/>
    <tableColumn id="2833" xr3:uid="{40328EBE-B437-4E4E-987F-54DDB45767D8}" name="Column2833"/>
    <tableColumn id="2834" xr3:uid="{2C13D2CE-1D33-4A68-B529-B936D10FA620}" name="Column2834"/>
    <tableColumn id="2835" xr3:uid="{00EE838C-B420-4EA6-9AE3-9C5CD0F2A57A}" name="Column2835"/>
    <tableColumn id="2836" xr3:uid="{9A3D1FC8-8960-42A3-AD42-CBE27B180137}" name="Column2836"/>
    <tableColumn id="2837" xr3:uid="{A01FF557-0A79-41D0-81EE-A3D2B7F20E46}" name="Column2837"/>
    <tableColumn id="2838" xr3:uid="{84414B01-997B-433E-84CE-43957576C6CD}" name="Column2838"/>
    <tableColumn id="2839" xr3:uid="{2BDA8D97-C826-4C54-A73A-A07BEB39D1D2}" name="Column2839"/>
    <tableColumn id="2840" xr3:uid="{D160D82B-14AD-47EC-8EB3-0619A5E9C329}" name="Column2840"/>
    <tableColumn id="2841" xr3:uid="{82A77D82-61E1-4DF5-B667-8EE4B2857B62}" name="Column2841"/>
    <tableColumn id="2842" xr3:uid="{D19A5200-7B2E-43E7-B52A-CCE6483489C5}" name="Column2842"/>
    <tableColumn id="2843" xr3:uid="{59A5AE67-E4EE-4D71-AC25-EE283A4A3C94}" name="Column2843"/>
    <tableColumn id="2844" xr3:uid="{D6A9F259-A050-4538-A30D-F5FB796D2326}" name="Column2844"/>
    <tableColumn id="2845" xr3:uid="{3AD2CAAE-A1C8-477D-8388-F12493965BE6}" name="Column2845"/>
    <tableColumn id="2846" xr3:uid="{E17C63BD-8BC9-4316-81E6-721B6AEBC5CC}" name="Column2846"/>
    <tableColumn id="2847" xr3:uid="{7EF06C13-3F30-4ED9-81EC-35724A30AAEF}" name="Column2847"/>
    <tableColumn id="2848" xr3:uid="{51A55432-F58D-4D1E-922E-E06C962DE9B0}" name="Column2848"/>
    <tableColumn id="2849" xr3:uid="{6EE67BAD-6658-49F5-861A-99C62F4C2953}" name="Column2849"/>
    <tableColumn id="2850" xr3:uid="{0D01CD33-413F-4FE1-95B4-0108E0295462}" name="Column2850"/>
    <tableColumn id="2851" xr3:uid="{1B521968-699E-46E2-A3D6-2130B533C042}" name="Column2851"/>
    <tableColumn id="2852" xr3:uid="{0E267BCB-093E-408E-851A-017DF2745588}" name="Column2852"/>
    <tableColumn id="2853" xr3:uid="{4EF4FCA7-29AF-402F-9CB5-112CE064980D}" name="Column2853"/>
    <tableColumn id="2854" xr3:uid="{39816338-5796-462E-A7AC-78D587C2A7C2}" name="Column2854"/>
    <tableColumn id="2855" xr3:uid="{E7A0BE99-6884-455B-8CA0-75A3AD3157F6}" name="Column2855"/>
    <tableColumn id="2856" xr3:uid="{B3F2F349-AA41-46C4-A591-7818E2F4F483}" name="Column2856"/>
    <tableColumn id="2857" xr3:uid="{A037A7B0-8A8D-4E8D-B1FF-B609F7123EF7}" name="Column2857"/>
    <tableColumn id="2858" xr3:uid="{43C5C3B8-749C-4BFE-80D9-4CA26F17E570}" name="Column2858"/>
    <tableColumn id="2859" xr3:uid="{C88721A4-13CD-433E-A160-772B82E64ED3}" name="Column2859"/>
    <tableColumn id="2860" xr3:uid="{C530932F-9F2F-4B18-A47E-CDA97A2A88A4}" name="Column2860"/>
    <tableColumn id="2861" xr3:uid="{33D2F57F-7A9A-45AA-81CB-2D5A48938727}" name="Column2861"/>
    <tableColumn id="2862" xr3:uid="{78BE244F-148E-4ECB-A01C-A1ED4DD159C5}" name="Column2862"/>
    <tableColumn id="2863" xr3:uid="{795878DE-A613-4E8E-96A0-B304554FE9D3}" name="Column2863"/>
    <tableColumn id="2864" xr3:uid="{0276617F-647E-48F0-B418-28A908737120}" name="Column2864"/>
    <tableColumn id="2865" xr3:uid="{86D408FA-7E2A-4545-B3A3-DFCED35E931B}" name="Column2865"/>
    <tableColumn id="2866" xr3:uid="{1450BE7E-BA16-4AA5-9D77-17352BF3D547}" name="Column2866"/>
    <tableColumn id="2867" xr3:uid="{23E34EE8-8FAE-4272-BC32-B87B7A81A66D}" name="Column2867"/>
    <tableColumn id="2868" xr3:uid="{BE178D85-3504-4CC9-95EF-CA9B65500A2D}" name="Column2868"/>
    <tableColumn id="2869" xr3:uid="{F9254DB0-93BB-4FB0-B085-4A2E9F439E77}" name="Column2869"/>
    <tableColumn id="2870" xr3:uid="{6C3561BF-1E1B-4B09-A517-DE2C0A75FA91}" name="Column2870"/>
    <tableColumn id="2871" xr3:uid="{F1AEA85C-FDE7-40DB-89C8-648A42E934E2}" name="Column2871"/>
    <tableColumn id="2872" xr3:uid="{97B59085-A64B-456A-BEE3-7DE5405BAE86}" name="Column2872"/>
    <tableColumn id="2873" xr3:uid="{EBF97AD6-9CF0-472C-A89F-9785BE356DB5}" name="Column2873"/>
    <tableColumn id="2874" xr3:uid="{8086D94B-F7D7-47DE-9025-62B7F3E97272}" name="Column2874"/>
    <tableColumn id="2875" xr3:uid="{12756988-9B26-4986-B0F3-94F18C2A46FD}" name="Column2875"/>
    <tableColumn id="2876" xr3:uid="{34639EC6-9DBA-405E-B41C-C4911F7F412A}" name="Column2876"/>
    <tableColumn id="2877" xr3:uid="{6E6F3D68-409E-472D-8B4B-A013B1B79526}" name="Column2877"/>
    <tableColumn id="2878" xr3:uid="{CA674388-841D-4119-8224-06DB5D0F9765}" name="Column2878"/>
    <tableColumn id="2879" xr3:uid="{B373065C-B296-4194-A24E-E087222C1CF5}" name="Column2879"/>
    <tableColumn id="2880" xr3:uid="{87EB671A-B99D-454E-A332-1E5E9BBFC808}" name="Column2880"/>
    <tableColumn id="2881" xr3:uid="{36B475B3-7516-4F0D-A75F-0D0B982F77EE}" name="Column2881"/>
    <tableColumn id="2882" xr3:uid="{3E3B9F18-CC90-4D94-B895-A81B024B87B3}" name="Column2882"/>
    <tableColumn id="2883" xr3:uid="{FFF1AB74-A383-490E-AB9B-03B12B746E52}" name="Column2883"/>
    <tableColumn id="2884" xr3:uid="{3B39A337-92D5-4B73-9946-F3000C706ED4}" name="Column2884"/>
    <tableColumn id="2885" xr3:uid="{56D87BF9-3A2C-442B-9B87-782CC71F21EA}" name="Column2885"/>
    <tableColumn id="2886" xr3:uid="{8DC091FA-7A7D-417E-8ADC-3D2814501505}" name="Column2886"/>
    <tableColumn id="2887" xr3:uid="{60C0D099-0BA1-4254-B4E5-AAA8320F2907}" name="Column2887"/>
    <tableColumn id="2888" xr3:uid="{EBFA4BFE-410F-474D-84BC-8017E90F6492}" name="Column2888"/>
    <tableColumn id="2889" xr3:uid="{0CB94634-51D4-431E-94FA-A7DB24E31CCD}" name="Column2889"/>
    <tableColumn id="2890" xr3:uid="{858C4AA5-44E5-4F7E-B3D2-4C135EAB6B1A}" name="Column2890"/>
    <tableColumn id="2891" xr3:uid="{EB808122-68BD-4398-9C0C-52BC6C2F4A57}" name="Column2891"/>
    <tableColumn id="2892" xr3:uid="{F73AC47D-B8DA-4504-B873-D008AF4B9EC1}" name="Column2892"/>
    <tableColumn id="2893" xr3:uid="{FEF32C43-15A1-4FC7-B220-5A4F5DDFFBCF}" name="Column2893"/>
    <tableColumn id="2894" xr3:uid="{2FF7CF98-8798-435E-A334-422AECE7386E}" name="Column2894"/>
    <tableColumn id="2895" xr3:uid="{CF4D9A02-3777-4388-869D-B83D257F4593}" name="Column2895"/>
    <tableColumn id="2896" xr3:uid="{92FE7FF3-0A58-4735-BD49-D4199AEE446F}" name="Column2896"/>
    <tableColumn id="2897" xr3:uid="{61E5EF59-EEC2-4F4B-A4B4-46C151E0F6F5}" name="Column2897"/>
    <tableColumn id="2898" xr3:uid="{4E8CE27D-AA93-4411-AEA6-FDC3DC4633C7}" name="Column2898"/>
    <tableColumn id="2899" xr3:uid="{993B74E8-F3C6-4D7D-9282-FEE3BBB20FBA}" name="Column2899"/>
    <tableColumn id="2900" xr3:uid="{18D040D8-6D71-437B-845D-650313D74400}" name="Column2900"/>
    <tableColumn id="2901" xr3:uid="{DBFFFE2A-397F-4773-837C-FA7D60E56B50}" name="Column2901"/>
    <tableColumn id="2902" xr3:uid="{4F9B66F5-B058-431D-9B39-68773293DC90}" name="Column2902"/>
    <tableColumn id="2903" xr3:uid="{4FAB8D68-E625-442D-B5DA-56F757E9B02F}" name="Column2903"/>
    <tableColumn id="2904" xr3:uid="{EF1F5A1A-C52D-4C48-8F2F-9C0AD572B85F}" name="Column2904"/>
    <tableColumn id="2905" xr3:uid="{DD790294-1DC1-42C9-97D4-EDA8CDEC1AE1}" name="Column2905"/>
    <tableColumn id="2906" xr3:uid="{BADBB40C-35C4-42B0-92E7-A6884C870B8F}" name="Column2906"/>
    <tableColumn id="2907" xr3:uid="{B6211834-DE8F-46C6-92CB-2112AC6150B8}" name="Column2907"/>
    <tableColumn id="2908" xr3:uid="{CE44DC09-714D-478F-B300-66C75BD5D0A0}" name="Column2908"/>
    <tableColumn id="2909" xr3:uid="{041DB4E5-E85A-4495-8FA8-81D675F92221}" name="Column2909"/>
    <tableColumn id="2910" xr3:uid="{5B19E113-3387-4725-94B3-E9465ED62C00}" name="Column2910"/>
    <tableColumn id="2911" xr3:uid="{42F44C0B-4697-45E5-9EB3-EE9A00553588}" name="Column2911"/>
    <tableColumn id="2912" xr3:uid="{BD4B85E0-8C0F-4C73-A544-42C0D4F37697}" name="Column2912"/>
    <tableColumn id="2913" xr3:uid="{3E04E847-0C52-4560-BE73-643A47408FF5}" name="Column2913"/>
    <tableColumn id="2914" xr3:uid="{BD427861-2914-4F47-8991-EA69017DCF13}" name="Column2914"/>
    <tableColumn id="2915" xr3:uid="{A72BF92E-68FD-494A-A256-E28388A94996}" name="Column2915"/>
    <tableColumn id="2916" xr3:uid="{E3364812-BD0A-4505-97CC-461DB62FBD12}" name="Column2916"/>
    <tableColumn id="2917" xr3:uid="{61ECE273-47BF-4D97-B00A-4E761C6EB5CE}" name="Column2917"/>
    <tableColumn id="2918" xr3:uid="{D53D3B2C-102E-44E2-A9EF-C5374ABE070E}" name="Column2918"/>
    <tableColumn id="2919" xr3:uid="{6CB66C2E-AF97-4B4F-AA4B-B8060EFF5967}" name="Column2919"/>
    <tableColumn id="2920" xr3:uid="{1536AEC3-1355-4F61-AA5F-50876BAC0041}" name="Column2920"/>
    <tableColumn id="2921" xr3:uid="{8A83496C-9263-4277-AFAD-8A5F7BC532B8}" name="Column2921"/>
    <tableColumn id="2922" xr3:uid="{BC033CE8-F2CB-483F-B93C-75BFB0733930}" name="Column2922"/>
    <tableColumn id="2923" xr3:uid="{E4F4A601-A0C8-4BDA-A3D4-686FC80CFBF8}" name="Column2923"/>
    <tableColumn id="2924" xr3:uid="{D7316178-1B34-4CBE-904A-B0099AB95C52}" name="Column2924"/>
    <tableColumn id="2925" xr3:uid="{A9DF3711-1D0E-4BAB-856F-F1609E3DBBC7}" name="Column2925"/>
    <tableColumn id="2926" xr3:uid="{A0431C08-E8B7-491E-AE8A-70E60EF1DC73}" name="Column2926"/>
    <tableColumn id="2927" xr3:uid="{03FBFD65-2764-4263-B28E-0B8986B16BB3}" name="Column2927"/>
    <tableColumn id="2928" xr3:uid="{639E4C58-5A12-45C8-9D00-87D63E539A79}" name="Column2928"/>
    <tableColumn id="2929" xr3:uid="{E23ADA48-5E09-4DF5-A52D-DCA170C565A9}" name="Column2929"/>
    <tableColumn id="2930" xr3:uid="{79E5A397-B8B4-4456-AE12-22DD84215B35}" name="Column2930"/>
    <tableColumn id="2931" xr3:uid="{07698A4C-0BB9-4802-BB7C-AB2A6CAC79CE}" name="Column2931"/>
    <tableColumn id="2932" xr3:uid="{7DCCD48E-245C-4809-AC82-71F021C848EB}" name="Column2932"/>
    <tableColumn id="2933" xr3:uid="{EE5AC5D2-54BB-4F47-9D43-6F4BB5B7CF01}" name="Column2933"/>
    <tableColumn id="2934" xr3:uid="{7E1FFA00-DEE3-4D92-91E0-76C1E7F69A53}" name="Column2934"/>
    <tableColumn id="2935" xr3:uid="{CD24B6B0-5D7F-4C18-94ED-03ED26FE3CE0}" name="Column2935"/>
    <tableColumn id="2936" xr3:uid="{0A7B173E-7E69-4D41-AC23-D3DB0DD93835}" name="Column2936"/>
    <tableColumn id="2937" xr3:uid="{EB5B53FE-0FEA-4D52-BD45-89593DB0A1D0}" name="Column2937"/>
    <tableColumn id="2938" xr3:uid="{270A3B49-005B-4E2F-AC0C-F8F4690BD09D}" name="Column2938"/>
    <tableColumn id="2939" xr3:uid="{55195612-F5F6-4D09-82EF-EB5430FB5109}" name="Column2939"/>
    <tableColumn id="2940" xr3:uid="{E5BF3EC4-08C5-4D77-AB1E-FD7649F0BEFA}" name="Column2940"/>
    <tableColumn id="2941" xr3:uid="{E43390FE-2901-4B58-A2FB-630D63FCB6ED}" name="Column2941"/>
    <tableColumn id="2942" xr3:uid="{7F83164B-6039-4E2B-B15D-3B6C2E57E37C}" name="Column2942"/>
    <tableColumn id="2943" xr3:uid="{744B1924-8C14-41E8-8040-FE1CB0CADB21}" name="Column2943"/>
    <tableColumn id="2944" xr3:uid="{8FE86C15-F26B-43B4-87EF-22DDF68353C5}" name="Column2944"/>
    <tableColumn id="2945" xr3:uid="{A377C80F-7579-4F79-9ECC-2BD3BB6A62E2}" name="Column2945"/>
    <tableColumn id="2946" xr3:uid="{58AB47FA-FF69-495B-B61E-1A5FB5830AA6}" name="Column2946"/>
    <tableColumn id="2947" xr3:uid="{129B1D36-3E3C-44B2-859D-BE6934DD099B}" name="Column2947"/>
    <tableColumn id="2948" xr3:uid="{F1CA4019-7660-423E-88A8-4C7EE177FA56}" name="Column2948"/>
    <tableColumn id="2949" xr3:uid="{63FF7EA1-1AFD-4FA1-B8A3-E4E2A5B01C41}" name="Column2949"/>
    <tableColumn id="2950" xr3:uid="{1E679613-3001-40DB-B44F-CFEE93FE93A6}" name="Column2950"/>
    <tableColumn id="2951" xr3:uid="{EAD2B755-E4FB-4DB6-AE72-7D3CB6D75147}" name="Column2951"/>
    <tableColumn id="2952" xr3:uid="{0613BBF2-1D96-48B0-AA0A-F6EC84EF9E55}" name="Column2952"/>
    <tableColumn id="2953" xr3:uid="{AEF9AC8E-9E2E-428B-B6C2-2CD9A5842CB7}" name="Column2953"/>
    <tableColumn id="2954" xr3:uid="{9B58810C-056D-45D9-9A0C-7E8592942673}" name="Column2954"/>
    <tableColumn id="2955" xr3:uid="{24C66BBE-E657-4311-90F1-89BE48110818}" name="Column2955"/>
    <tableColumn id="2956" xr3:uid="{094B7D20-358F-4013-9274-516E43166042}" name="Column2956"/>
    <tableColumn id="2957" xr3:uid="{D6F4BEBC-085D-40B1-BEC3-D9E88808AC1C}" name="Column2957"/>
    <tableColumn id="2958" xr3:uid="{6064B59F-8C87-4681-BC3C-926680828239}" name="Column2958"/>
    <tableColumn id="2959" xr3:uid="{F95A885F-B389-4645-9419-3FE4D6FE5DD9}" name="Column2959"/>
    <tableColumn id="2960" xr3:uid="{55313A73-2EA9-4C08-AC27-24505D0F7763}" name="Column2960"/>
    <tableColumn id="2961" xr3:uid="{928E1BD1-80BE-4CD7-94CB-F925F0E61223}" name="Column2961"/>
    <tableColumn id="2962" xr3:uid="{8D45A2BB-ED9C-4277-837A-C61E9AE6A357}" name="Column2962"/>
    <tableColumn id="2963" xr3:uid="{6D538670-5D0B-4A50-8692-BA888073B84B}" name="Column2963"/>
    <tableColumn id="2964" xr3:uid="{4B729A22-33E2-4715-A470-6FD376BEF69F}" name="Column2964"/>
    <tableColumn id="2965" xr3:uid="{C6369C2D-EAE7-4E63-8DC6-1BC98864D267}" name="Column2965"/>
    <tableColumn id="2966" xr3:uid="{0D122B12-FF52-411A-AF94-8DD12914E961}" name="Column2966"/>
    <tableColumn id="2967" xr3:uid="{8BA8DC6C-6458-4F14-A5DE-03295A23AC61}" name="Column2967"/>
    <tableColumn id="2968" xr3:uid="{D5DB451B-543A-4DEA-AE16-B74F4B533581}" name="Column2968"/>
    <tableColumn id="2969" xr3:uid="{D9F637F6-791F-44D4-881E-D3904805FAE9}" name="Column2969"/>
    <tableColumn id="2970" xr3:uid="{F5688144-CB77-4521-94B1-FFA2982123F7}" name="Column2970"/>
    <tableColumn id="2971" xr3:uid="{61D1493D-1412-4449-A103-C53BAEB00E45}" name="Column2971"/>
    <tableColumn id="2972" xr3:uid="{280BF7F3-2F7C-4D4E-A41A-0EF65574B447}" name="Column2972"/>
    <tableColumn id="2973" xr3:uid="{07DDBB05-AD39-402F-8BF6-EB6FA85F2AAC}" name="Column2973"/>
    <tableColumn id="2974" xr3:uid="{C40D00DD-6C5B-4C4E-AC2A-C8A21A157EC6}" name="Column2974"/>
    <tableColumn id="2975" xr3:uid="{9718D7A9-77B9-4C21-BDFF-0D182E135EF1}" name="Column2975"/>
    <tableColumn id="2976" xr3:uid="{B969715F-DCE2-4FBF-BADB-CD4264837CF1}" name="Column2976"/>
    <tableColumn id="2977" xr3:uid="{5E45F70F-D028-44E3-8C00-4FF6E416638C}" name="Column2977"/>
    <tableColumn id="2978" xr3:uid="{60E3380E-04DE-43CE-9B1D-37345CA7C9AC}" name="Column2978"/>
    <tableColumn id="2979" xr3:uid="{45879A9B-CA19-46C0-AF33-A717ABA86A89}" name="Column2979"/>
    <tableColumn id="2980" xr3:uid="{0E58E909-C4C8-4765-AA06-BEA179EABA7C}" name="Column2980"/>
    <tableColumn id="2981" xr3:uid="{DD8D703A-C204-408A-8306-140ACB94EBFD}" name="Column2981"/>
    <tableColumn id="2982" xr3:uid="{3CB0BE14-3E72-4992-A9B5-00C1AD12EAF2}" name="Column2982"/>
    <tableColumn id="2983" xr3:uid="{3F733476-1483-4721-979B-F43BBBD21ED0}" name="Column2983"/>
    <tableColumn id="2984" xr3:uid="{DA4728CC-73E8-4014-8208-234AA9406B34}" name="Column2984"/>
    <tableColumn id="2985" xr3:uid="{BF1B71BC-216C-4E69-8C66-8D12598A4D02}" name="Column2985"/>
    <tableColumn id="2986" xr3:uid="{E4B129EA-ECD7-4233-A10B-DAFA72FACD1C}" name="Column2986"/>
    <tableColumn id="2987" xr3:uid="{9CAC05F2-330C-459A-BF9D-1B14D2DCED59}" name="Column2987"/>
    <tableColumn id="2988" xr3:uid="{9CB917AF-0971-47B6-BD48-E805AB47F55F}" name="Column2988"/>
    <tableColumn id="2989" xr3:uid="{0475AF10-444F-4A9A-8836-C1DD8A77BD51}" name="Column2989"/>
    <tableColumn id="2990" xr3:uid="{02ADA6BB-0614-4F7F-BEBA-2C030FDF7CF4}" name="Column2990"/>
    <tableColumn id="2991" xr3:uid="{AD3C62AA-39B5-453D-9659-A7B732622788}" name="Column2991"/>
    <tableColumn id="2992" xr3:uid="{915003A9-89DC-459F-B399-089C3531B54D}" name="Column2992"/>
    <tableColumn id="2993" xr3:uid="{09D48A31-7A96-4537-8C90-57B0086A1A68}" name="Column2993"/>
    <tableColumn id="2994" xr3:uid="{BB4EDD0E-3269-4F91-A4C9-ADB7A55FC493}" name="Column2994"/>
    <tableColumn id="2995" xr3:uid="{0E0F330D-4244-4803-80F0-61371AB70B4B}" name="Column2995"/>
    <tableColumn id="2996" xr3:uid="{4A28B9E9-6DAE-496F-AF85-8CC8AEE6EFAE}" name="Column2996"/>
    <tableColumn id="2997" xr3:uid="{2C3ED69B-F7D9-4CC1-A288-05F7C11A23AE}" name="Column2997"/>
    <tableColumn id="2998" xr3:uid="{A537106D-2B81-4730-B056-F00D838BDAAF}" name="Column2998"/>
    <tableColumn id="2999" xr3:uid="{0D451A5C-8841-4A32-A4DD-2FCEAC386759}" name="Column2999"/>
    <tableColumn id="3000" xr3:uid="{AD575998-A067-41B5-84D1-3FD648EA4FA0}" name="Column3000"/>
    <tableColumn id="3001" xr3:uid="{874B0344-B33C-45F3-8968-395CFFCF524D}" name="Column3001"/>
    <tableColumn id="3002" xr3:uid="{7FCBAF4C-1D00-4A3D-9F40-1F9B1F187C78}" name="Column3002"/>
    <tableColumn id="3003" xr3:uid="{7A93F54A-AB4E-44C3-BDC3-844D60A632FB}" name="Column3003"/>
    <tableColumn id="3004" xr3:uid="{980A86DA-08C7-4818-A9D4-03AC4F4114C2}" name="Column3004"/>
    <tableColumn id="3005" xr3:uid="{857CC3C8-1A3A-4F5A-8A2A-949D50DFCE8E}" name="Column3005"/>
    <tableColumn id="3006" xr3:uid="{334C9139-8D4E-4394-B5C4-BD39D8DADE93}" name="Column3006"/>
    <tableColumn id="3007" xr3:uid="{7C985051-2757-489B-B69E-D6F3E988B86E}" name="Column3007"/>
    <tableColumn id="3008" xr3:uid="{6403A29A-BBC3-475A-9F09-E6E21693CDDA}" name="Column3008"/>
    <tableColumn id="3009" xr3:uid="{A1EDE7D6-A56F-457B-998D-AA9B46C5CC30}" name="Column3009"/>
    <tableColumn id="3010" xr3:uid="{04527E2F-A919-4BE8-9269-782D01837F57}" name="Column3010"/>
    <tableColumn id="3011" xr3:uid="{2A7367A3-CDAF-49EB-91A5-E876483B3005}" name="Column3011"/>
    <tableColumn id="3012" xr3:uid="{E2809A11-A69D-4137-B975-5754F5D3DA9F}" name="Column3012"/>
    <tableColumn id="3013" xr3:uid="{35314EC6-5B72-49A6-BD5B-0C743138A090}" name="Column3013"/>
    <tableColumn id="3014" xr3:uid="{B646D8D6-0838-4A2C-9232-3A9972AEE8B6}" name="Column3014"/>
    <tableColumn id="3015" xr3:uid="{DC13CAAD-6D25-4EFD-8BCB-DC6E57DBDAA6}" name="Column3015"/>
    <tableColumn id="3016" xr3:uid="{0ACB530E-4DBA-4C5C-BC16-EEFE4E26FDE7}" name="Column3016"/>
    <tableColumn id="3017" xr3:uid="{69CF60B7-CBA5-42A8-A350-0F535CB49E6A}" name="Column3017"/>
    <tableColumn id="3018" xr3:uid="{6886307D-421F-496C-BA6A-7A69362DAE88}" name="Column3018"/>
    <tableColumn id="3019" xr3:uid="{0277778D-60F8-4398-86A7-E035D064EA05}" name="Column3019"/>
    <tableColumn id="3020" xr3:uid="{E50D90DB-BAC4-4501-A2C1-2A952EB922D2}" name="Column3020"/>
    <tableColumn id="3021" xr3:uid="{D5B6B7D9-8B1D-4490-9670-ECE729BB57D5}" name="Column3021"/>
    <tableColumn id="3022" xr3:uid="{8CC1AF88-EAA3-4B17-9C98-9B7F584120CD}" name="Column3022"/>
    <tableColumn id="3023" xr3:uid="{E75AF9FB-3B0F-4A80-8CED-C3674645DD41}" name="Column3023"/>
    <tableColumn id="3024" xr3:uid="{5F83D9A3-10F5-4F91-B326-FE3FEBD9642C}" name="Column3024"/>
    <tableColumn id="3025" xr3:uid="{7C364148-1764-4E37-9C58-CC6608AFF7D2}" name="Column3025"/>
    <tableColumn id="3026" xr3:uid="{30859C9B-CDF3-4D68-BB89-B9E41F0BBFF9}" name="Column3026"/>
    <tableColumn id="3027" xr3:uid="{ABD9C6FD-239A-4C03-85A2-70DAEFBC884B}" name="Column3027"/>
    <tableColumn id="3028" xr3:uid="{BFBF34E1-475B-4F15-A006-B64F5DDC16E4}" name="Column3028"/>
    <tableColumn id="3029" xr3:uid="{A7B43CF5-3277-4CA8-B926-7D698687C319}" name="Column3029"/>
    <tableColumn id="3030" xr3:uid="{1FA15B1E-CB59-4E7C-93BD-4486845C23A9}" name="Column3030"/>
    <tableColumn id="3031" xr3:uid="{966EA0FF-011E-4DC3-A944-1F76BD6DF614}" name="Column3031"/>
    <tableColumn id="3032" xr3:uid="{01583392-D381-4E76-A7E3-28146AD5AD82}" name="Column3032"/>
    <tableColumn id="3033" xr3:uid="{85517642-95CC-43B9-81F2-12106A847D0F}" name="Column3033"/>
    <tableColumn id="3034" xr3:uid="{7B9BDAB2-CB16-4CC2-9FAD-F45A06A22E16}" name="Column3034"/>
    <tableColumn id="3035" xr3:uid="{746C0D19-0A10-4929-A0C2-F7CB12839B89}" name="Column3035"/>
    <tableColumn id="3036" xr3:uid="{03C20219-E9EE-4CAA-844D-5055A51AB9B9}" name="Column3036"/>
    <tableColumn id="3037" xr3:uid="{C7640865-098F-4EC6-A9BC-B596755BAEC4}" name="Column3037"/>
    <tableColumn id="3038" xr3:uid="{4F719B93-068A-462B-A5B8-FF80AACCA78C}" name="Column3038"/>
    <tableColumn id="3039" xr3:uid="{4D8BBF07-75DF-46A3-8D3A-D469D05EAD88}" name="Column3039"/>
    <tableColumn id="3040" xr3:uid="{998E19AF-251F-48D9-9830-F1D702F8F0DE}" name="Column3040"/>
    <tableColumn id="3041" xr3:uid="{173E4215-7278-44F5-A240-9D7F09315C80}" name="Column3041"/>
    <tableColumn id="3042" xr3:uid="{8983B18D-A9A5-4092-AC2D-28F52EEA2ABE}" name="Column3042"/>
    <tableColumn id="3043" xr3:uid="{F194F70F-D69B-4CE0-8618-3AFE9ECCDFFC}" name="Column3043"/>
    <tableColumn id="3044" xr3:uid="{49758401-58D8-4331-8315-08E309BF66FA}" name="Column3044"/>
    <tableColumn id="3045" xr3:uid="{F2746226-C2C1-4D23-B561-1D15FCA3179E}" name="Column3045"/>
    <tableColumn id="3046" xr3:uid="{8ADCAFF3-97E4-468A-8639-C167FE16E0DD}" name="Column3046"/>
    <tableColumn id="3047" xr3:uid="{31F3B67E-64CF-429B-AEB0-1A1F29534CDC}" name="Column3047"/>
    <tableColumn id="3048" xr3:uid="{9D372729-F1AA-452C-80A2-771977D627E0}" name="Column3048"/>
    <tableColumn id="3049" xr3:uid="{C4348DD4-75E8-4798-BC1B-EE667C8E11AF}" name="Column3049"/>
    <tableColumn id="3050" xr3:uid="{46DA14AB-C7B6-4775-B666-B865E426415C}" name="Column3050"/>
    <tableColumn id="3051" xr3:uid="{5CD0DB17-5ABA-46E7-BDE6-18B6F30A2C15}" name="Column3051"/>
    <tableColumn id="3052" xr3:uid="{DFBE62FA-5224-41E8-B446-B22FCEEE9FE4}" name="Column3052"/>
    <tableColumn id="3053" xr3:uid="{1B211FC4-3831-4B74-9CED-A22093BD77C9}" name="Column3053"/>
    <tableColumn id="3054" xr3:uid="{7D1C91E0-39A1-4BF2-96CD-B4BD9A12DBB6}" name="Column3054"/>
    <tableColumn id="3055" xr3:uid="{7FF6BD1E-6873-4E8F-BEA9-1F1A295F3890}" name="Column3055"/>
    <tableColumn id="3056" xr3:uid="{E286A68C-32B6-4A08-86F1-04AB57B294B4}" name="Column3056"/>
    <tableColumn id="3057" xr3:uid="{3F10292B-CBE6-4F63-BD8F-14476417984D}" name="Column3057"/>
    <tableColumn id="3058" xr3:uid="{82AEBB50-0545-4092-B780-7D19E256A6C2}" name="Column3058"/>
    <tableColumn id="3059" xr3:uid="{3FF666B2-FBCE-4C3A-8485-A9F199198C69}" name="Column3059"/>
    <tableColumn id="3060" xr3:uid="{C38559B0-7C03-42A4-83B4-1D553899588C}" name="Column3060"/>
    <tableColumn id="3061" xr3:uid="{B987AAB9-F79B-4A2B-ADAE-08380D117DF9}" name="Column3061"/>
    <tableColumn id="3062" xr3:uid="{D13370E0-4BF6-4E85-8529-8401F8CAEF84}" name="Column3062"/>
    <tableColumn id="3063" xr3:uid="{572F8B51-7ED0-4BB1-B643-AE8B3BFC98A7}" name="Column3063"/>
    <tableColumn id="3064" xr3:uid="{5ADA31F4-7626-4554-8113-CD7BAF4FE878}" name="Column3064"/>
    <tableColumn id="3065" xr3:uid="{A68367B6-35A0-4365-86E1-2BE406B968C0}" name="Column3065"/>
    <tableColumn id="3066" xr3:uid="{CEB309D7-DE38-4E9B-94C7-963C01BF2032}" name="Column3066"/>
    <tableColumn id="3067" xr3:uid="{CC9FA3BA-F06B-4C6A-899E-2CC71A4BF76A}" name="Column3067"/>
    <tableColumn id="3068" xr3:uid="{CF5FB93E-BCF1-4E31-8B8B-856825DD4317}" name="Column3068"/>
    <tableColumn id="3069" xr3:uid="{E0CE43D0-6FD5-4271-B96F-344D74E74E1E}" name="Column3069"/>
    <tableColumn id="3070" xr3:uid="{8BE2A9CE-EF9C-4131-9B18-3DF455547A69}" name="Column3070"/>
    <tableColumn id="3071" xr3:uid="{6F3558CC-50B8-4149-B424-F74CD1EF8390}" name="Column3071"/>
    <tableColumn id="3072" xr3:uid="{7524709D-8CA0-45EE-B165-8A1237BBF0CB}" name="Column3072"/>
    <tableColumn id="3073" xr3:uid="{E2234A74-BB2B-4059-8D84-256F54A2C17C}" name="Column3073"/>
    <tableColumn id="3074" xr3:uid="{F1B966D3-85F5-4402-A2F4-5D1D579C8752}" name="Column3074"/>
    <tableColumn id="3075" xr3:uid="{C0B616AF-4CE6-4565-9EA6-6737A5DCA974}" name="Column3075"/>
    <tableColumn id="3076" xr3:uid="{5346EEDD-3C78-4C16-8725-CB951C431BD0}" name="Column3076"/>
    <tableColumn id="3077" xr3:uid="{15A68D92-EAFA-4375-A197-83F4B51C4B0F}" name="Column3077"/>
    <tableColumn id="3078" xr3:uid="{CB1FBF23-645E-4932-96DA-5B61D3781E55}" name="Column3078"/>
    <tableColumn id="3079" xr3:uid="{B3E56BA9-CC3F-44E8-AD67-0FA611F25D06}" name="Column3079"/>
    <tableColumn id="3080" xr3:uid="{E78F7B6E-7F2D-4F60-A3BA-64AB6DCD4B79}" name="Column3080"/>
    <tableColumn id="3081" xr3:uid="{76FEE74E-2811-473C-B25B-E6EEA924A59D}" name="Column3081"/>
    <tableColumn id="3082" xr3:uid="{518B0554-D04F-4C30-815C-4525B3C713D8}" name="Column3082"/>
    <tableColumn id="3083" xr3:uid="{4D0B97BB-CC49-4014-AA42-13B3315C0B0F}" name="Column3083"/>
    <tableColumn id="3084" xr3:uid="{7EF84F50-1941-44C8-8114-63B56CDE4110}" name="Column3084"/>
    <tableColumn id="3085" xr3:uid="{4B2568B4-82E3-45BA-9252-1A6335BBD847}" name="Column3085"/>
    <tableColumn id="3086" xr3:uid="{F38014C6-5A0C-4A43-AC34-3466E0149353}" name="Column3086"/>
    <tableColumn id="3087" xr3:uid="{349E724B-9ACF-4C5C-883F-735A5A8CABB5}" name="Column3087"/>
    <tableColumn id="3088" xr3:uid="{A8D701D3-58D0-4735-9A55-4B246E0604F7}" name="Column3088"/>
    <tableColumn id="3089" xr3:uid="{7BA9848C-46BD-44C3-ADD6-04470F65A615}" name="Column3089"/>
    <tableColumn id="3090" xr3:uid="{28A7013D-0A48-4D2B-93A2-E0092ACED5FA}" name="Column3090"/>
    <tableColumn id="3091" xr3:uid="{A8D132E6-983E-450F-9D4C-C326314EF570}" name="Column3091"/>
    <tableColumn id="3092" xr3:uid="{87CD2FCF-995D-4BA1-9D04-F22B1337B4C2}" name="Column3092"/>
    <tableColumn id="3093" xr3:uid="{8179058A-8DF3-4EAC-BAD5-A9BD3216DBA2}" name="Column3093"/>
    <tableColumn id="3094" xr3:uid="{621A2500-39EA-48B2-AB76-FD82EB1ECB4E}" name="Column3094"/>
    <tableColumn id="3095" xr3:uid="{E892F11D-F8B3-4114-BC98-839CDFABF5FB}" name="Column3095"/>
    <tableColumn id="3096" xr3:uid="{A26B516A-15EE-4039-9117-5E9455A38551}" name="Column3096"/>
    <tableColumn id="3097" xr3:uid="{86F52211-02E2-4F21-B5E6-7C778D13A5C3}" name="Column3097"/>
    <tableColumn id="3098" xr3:uid="{6E314655-A395-40F3-B843-C3287D615F6A}" name="Column3098"/>
    <tableColumn id="3099" xr3:uid="{9281BB2D-76CF-4AA0-A4B6-AA37CC755AF0}" name="Column3099"/>
    <tableColumn id="3100" xr3:uid="{067751D5-C3B0-45EE-8224-8D63CCD64410}" name="Column3100"/>
    <tableColumn id="3101" xr3:uid="{8410CFE9-8035-44A8-887C-47250CF9D81C}" name="Column3101"/>
    <tableColumn id="3102" xr3:uid="{087D35AE-BAA4-4D87-81C9-0FF1C8990FD3}" name="Column3102"/>
    <tableColumn id="3103" xr3:uid="{C6E98550-B375-484C-8BDA-F47A0B42EF47}" name="Column3103"/>
    <tableColumn id="3104" xr3:uid="{7E954F5F-3C3C-4BB0-B386-317227C7881D}" name="Column3104"/>
    <tableColumn id="3105" xr3:uid="{FB274812-B659-4320-BABD-06D353EC2A7D}" name="Column3105"/>
    <tableColumn id="3106" xr3:uid="{A5D9B3B8-5328-4A3B-9371-224EEF8DA115}" name="Column3106"/>
    <tableColumn id="3107" xr3:uid="{17379897-9B9D-4B80-B96E-70F40405C5FE}" name="Column3107"/>
    <tableColumn id="3108" xr3:uid="{42FDECBB-0157-4E88-94EB-58913E0E3C78}" name="Column3108"/>
    <tableColumn id="3109" xr3:uid="{3B7F65C5-C50F-44F1-889D-0F78C47210A3}" name="Column3109"/>
    <tableColumn id="3110" xr3:uid="{F5894066-8A55-49D7-9B37-B928FD3D56CA}" name="Column3110"/>
    <tableColumn id="3111" xr3:uid="{A380146B-86E4-4DAC-99BB-E9A3170A9A44}" name="Column3111"/>
    <tableColumn id="3112" xr3:uid="{9A9710F6-67F4-487D-A25E-272C7BF738F2}" name="Column3112"/>
    <tableColumn id="3113" xr3:uid="{09134886-E7DD-4658-A74A-B9D69F718628}" name="Column3113"/>
    <tableColumn id="3114" xr3:uid="{E0C0D404-7873-4D3B-9B0A-D1401B885F8E}" name="Column3114"/>
    <tableColumn id="3115" xr3:uid="{61573DDB-BA35-44FE-BA6D-17B4185C4A19}" name="Column3115"/>
    <tableColumn id="3116" xr3:uid="{023AE330-A649-4B5B-BBAC-98AB0ED9358B}" name="Column3116"/>
    <tableColumn id="3117" xr3:uid="{1E6A0018-444E-46B2-8DD9-B010FD12A2D9}" name="Column3117"/>
    <tableColumn id="3118" xr3:uid="{80394FE5-89B1-4B37-8255-EE17A36F04DC}" name="Column3118"/>
    <tableColumn id="3119" xr3:uid="{C8338758-A6D8-4BB3-B7C0-96C506E72119}" name="Column3119"/>
    <tableColumn id="3120" xr3:uid="{F180A7B2-FB78-45E8-9212-AE7D2288FEB3}" name="Column3120"/>
    <tableColumn id="3121" xr3:uid="{188FBA5F-ABFE-452E-A371-9D41A426686F}" name="Column3121"/>
    <tableColumn id="3122" xr3:uid="{01867A1E-FC75-4ECF-B25E-C3F65A3E2DE8}" name="Column3122"/>
    <tableColumn id="3123" xr3:uid="{0E201028-700C-4CC1-B889-063F859D84D5}" name="Column3123"/>
    <tableColumn id="3124" xr3:uid="{11A11EA4-FE1C-40CA-A2B9-E61BAEEB87F8}" name="Column3124"/>
    <tableColumn id="3125" xr3:uid="{E33D8C8B-A178-4772-ABF1-685751347552}" name="Column3125"/>
    <tableColumn id="3126" xr3:uid="{82EF9BA2-4738-40C6-B718-B73C0E397230}" name="Column3126"/>
    <tableColumn id="3127" xr3:uid="{5C84808A-D8E5-4FC5-B004-A69C12087116}" name="Column3127"/>
    <tableColumn id="3128" xr3:uid="{D6A52966-CC19-409D-8D9B-F7F82732F1D3}" name="Column3128"/>
    <tableColumn id="3129" xr3:uid="{18B40806-8396-42D9-9268-3DF1BE3DA489}" name="Column3129"/>
    <tableColumn id="3130" xr3:uid="{C90E8DDD-2157-4206-B987-2C5D9CBF7289}" name="Column3130"/>
    <tableColumn id="3131" xr3:uid="{5F2157F1-15DF-4F14-B948-00142E02CFA9}" name="Column3131"/>
    <tableColumn id="3132" xr3:uid="{E4A7ADBC-3CCC-49F9-AA9B-D0C5CCDFA91F}" name="Column3132"/>
    <tableColumn id="3133" xr3:uid="{B5D0D4DE-9F6F-4C46-8009-70B882B4C981}" name="Column3133"/>
    <tableColumn id="3134" xr3:uid="{6B422AE7-C4EA-4D53-A26E-F7099A52210F}" name="Column3134"/>
    <tableColumn id="3135" xr3:uid="{C371D589-4142-413B-8922-C5AB13CFD477}" name="Column3135"/>
    <tableColumn id="3136" xr3:uid="{D59A2732-E9A0-4BC4-98FE-64D90A5073EC}" name="Column3136"/>
    <tableColumn id="3137" xr3:uid="{7E07CDB1-56D8-466B-8D4A-C25900446443}" name="Column3137"/>
    <tableColumn id="3138" xr3:uid="{0EFD40BC-49F0-4E80-B6EE-5CBC84D22004}" name="Column3138"/>
    <tableColumn id="3139" xr3:uid="{4F3F009F-650D-4532-A44A-716E9E03B136}" name="Column3139"/>
    <tableColumn id="3140" xr3:uid="{EFAB27F4-795B-4DBD-85FF-877215F5A254}" name="Column3140"/>
    <tableColumn id="3141" xr3:uid="{CF3F5F17-9907-4AB2-85D0-46E479B26866}" name="Column3141"/>
    <tableColumn id="3142" xr3:uid="{F813F48D-2B26-4778-BC5A-E7C4DCFCB473}" name="Column3142"/>
    <tableColumn id="3143" xr3:uid="{429EA34C-C540-485C-AA55-F362C23D4BCE}" name="Column3143"/>
    <tableColumn id="3144" xr3:uid="{32D8E0F1-F185-4A34-83B9-14A07C8ADE75}" name="Column3144"/>
    <tableColumn id="3145" xr3:uid="{F7A39B8C-2331-4505-AB66-48EC7942BE0A}" name="Column3145"/>
    <tableColumn id="3146" xr3:uid="{66AB758F-8306-4553-B51D-F5ABE90A453A}" name="Column3146"/>
    <tableColumn id="3147" xr3:uid="{A6C3A63D-1F3C-493E-9170-F312BC1FD8AB}" name="Column3147"/>
    <tableColumn id="3148" xr3:uid="{C31EDE16-0DA0-4AFB-95C1-BE0AE7EE0F07}" name="Column3148"/>
    <tableColumn id="3149" xr3:uid="{C2C2DF73-60DB-430C-8EFF-2111472DBD12}" name="Column3149"/>
    <tableColumn id="3150" xr3:uid="{330998B4-DF0A-4007-808A-2DD758D8BA02}" name="Column3150"/>
    <tableColumn id="3151" xr3:uid="{3D7EE58F-1910-484D-84C6-26B47A5A06A8}" name="Column3151"/>
    <tableColumn id="3152" xr3:uid="{B89BF76C-9A17-411F-8F30-25BC0E89BC41}" name="Column3152"/>
    <tableColumn id="3153" xr3:uid="{F35AB179-55BF-4914-A8CA-99DE637F3ECF}" name="Column3153"/>
    <tableColumn id="3154" xr3:uid="{345BA6A7-E132-4946-B67F-DB0AC165766A}" name="Column3154"/>
    <tableColumn id="3155" xr3:uid="{BF7D4D08-911A-4353-A57B-3FC46E78DA07}" name="Column3155"/>
    <tableColumn id="3156" xr3:uid="{4B1F89F9-C010-4335-A5CF-B459B32AD2AB}" name="Column3156"/>
    <tableColumn id="3157" xr3:uid="{D98F1D4C-13C0-4424-BC46-0AC059EFB92F}" name="Column3157"/>
    <tableColumn id="3158" xr3:uid="{61DF6CA5-3623-48B7-957E-2EF3C74DB3F7}" name="Column3158"/>
    <tableColumn id="3159" xr3:uid="{91358CB2-9DF4-4DCC-9F4B-9060DB63E447}" name="Column3159"/>
    <tableColumn id="3160" xr3:uid="{81677736-ED46-4C3E-BDD5-0FB48432F687}" name="Column3160"/>
    <tableColumn id="3161" xr3:uid="{B6ED7036-6D70-4E18-B6A3-A97981F91747}" name="Column3161"/>
    <tableColumn id="3162" xr3:uid="{4B309BBF-F219-48BE-8711-4C2E6CCB9E39}" name="Column3162"/>
    <tableColumn id="3163" xr3:uid="{4F9E5C26-9E90-40CB-B95E-628F7B77E464}" name="Column3163"/>
    <tableColumn id="3164" xr3:uid="{3AB216E4-A91C-435D-AEF0-78F1FBFFD916}" name="Column3164"/>
    <tableColumn id="3165" xr3:uid="{60DAF128-0714-447F-B9FE-2BEA3C7968CD}" name="Column3165"/>
    <tableColumn id="3166" xr3:uid="{9C0FFA3F-B1B1-4DFE-932A-9194B28D547E}" name="Column3166"/>
    <tableColumn id="3167" xr3:uid="{290F0466-8921-49D6-8BE4-5B718901BEAB}" name="Column3167"/>
    <tableColumn id="3168" xr3:uid="{AF0D16D8-9538-4F74-9F9F-5FE62476E423}" name="Column3168"/>
    <tableColumn id="3169" xr3:uid="{EFEC53D4-2243-4A55-A8E1-1C6336F84456}" name="Column3169"/>
    <tableColumn id="3170" xr3:uid="{92533BFB-E44C-431B-B58D-8ED560AC15C1}" name="Column3170"/>
    <tableColumn id="3171" xr3:uid="{28701E12-9BE1-4CC6-8F21-104C0E498E9B}" name="Column3171"/>
    <tableColumn id="3172" xr3:uid="{133548CA-699C-4D64-AF3F-C7A87E1C8BA8}" name="Column3172"/>
    <tableColumn id="3173" xr3:uid="{D0C82CC4-C445-4B46-AB13-7CD9BCAA1EBA}" name="Column3173"/>
    <tableColumn id="3174" xr3:uid="{288510AB-03B9-4E2C-9A30-7C5D2A51451C}" name="Column3174"/>
    <tableColumn id="3175" xr3:uid="{AA42AD19-B5B9-43B4-8C56-BF77C7B70919}" name="Column3175"/>
    <tableColumn id="3176" xr3:uid="{9153E168-65FC-4EE4-883B-9C6F72AE8AFF}" name="Column3176"/>
    <tableColumn id="3177" xr3:uid="{648CBA9D-3432-4CDD-8B1D-1F8467ED8C39}" name="Column3177"/>
    <tableColumn id="3178" xr3:uid="{0B48A867-5C2E-4DC3-B104-E66361F5373E}" name="Column3178"/>
    <tableColumn id="3179" xr3:uid="{AF5572B7-0B5B-4D89-B1A3-1298F663F9EF}" name="Column3179"/>
    <tableColumn id="3180" xr3:uid="{E8BA6789-1288-4EC3-9CD0-460B8F863AB0}" name="Column3180"/>
    <tableColumn id="3181" xr3:uid="{C9B2948D-4F7C-4B5A-8BB9-E7A715ADCBE7}" name="Column3181"/>
    <tableColumn id="3182" xr3:uid="{667A154B-754C-427B-96BF-86E06D23441B}" name="Column3182"/>
    <tableColumn id="3183" xr3:uid="{25E54184-8D18-4145-A210-F678221B3E34}" name="Column3183"/>
    <tableColumn id="3184" xr3:uid="{CCAD3A65-BC73-47D4-9AD1-2D60366F8439}" name="Column3184"/>
    <tableColumn id="3185" xr3:uid="{347305E3-2CA3-4D4C-BCEF-912592E075A8}" name="Column3185"/>
    <tableColumn id="3186" xr3:uid="{395138D6-1C0C-41A5-9FE2-ED83A45B09B6}" name="Column3186"/>
    <tableColumn id="3187" xr3:uid="{7B620640-2DF4-4918-87F8-72DA041B821F}" name="Column3187"/>
    <tableColumn id="3188" xr3:uid="{C9B93611-419D-4E58-89B9-A0539B52F9D8}" name="Column3188"/>
    <tableColumn id="3189" xr3:uid="{E8B4749E-C810-4E25-9E24-10F83B9C63E0}" name="Column3189"/>
    <tableColumn id="3190" xr3:uid="{1E486D23-4EC9-40B1-BAB8-3794F76DDD25}" name="Column3190"/>
    <tableColumn id="3191" xr3:uid="{3D46B6B5-F0EB-4DFB-A238-633B1783CD05}" name="Column3191"/>
    <tableColumn id="3192" xr3:uid="{FE997180-F48B-438D-8508-E3A62C299A2F}" name="Column3192"/>
    <tableColumn id="3193" xr3:uid="{0B0E4EE4-D092-438F-BFD7-735012C23694}" name="Column3193"/>
    <tableColumn id="3194" xr3:uid="{B8A35275-9B18-4488-B84C-846425A2D36D}" name="Column3194"/>
    <tableColumn id="3195" xr3:uid="{2D68D49A-FF63-4B4C-BA6A-3A5AA187826A}" name="Column3195"/>
    <tableColumn id="3196" xr3:uid="{BE12D49F-945E-4221-ABCC-92D45FB4EAFB}" name="Column3196"/>
    <tableColumn id="3197" xr3:uid="{86286B54-472F-48D7-A200-F6665A873922}" name="Column3197"/>
    <tableColumn id="3198" xr3:uid="{AE107EBD-2913-43C6-95C5-856FEA85F2AC}" name="Column3198"/>
    <tableColumn id="3199" xr3:uid="{E5FC310F-F459-4821-BB3E-9152DC6896D3}" name="Column3199"/>
    <tableColumn id="3200" xr3:uid="{68E77E71-5843-443F-A57E-A6CF01966F55}" name="Column3200"/>
    <tableColumn id="3201" xr3:uid="{E400FF2D-ABDB-409D-A15E-37083009FDF2}" name="Column3201"/>
    <tableColumn id="3202" xr3:uid="{C56E0453-890C-4580-942C-726041532BF2}" name="Column3202"/>
    <tableColumn id="3203" xr3:uid="{BF5635E1-A6CB-41A2-9E35-C43466E70C18}" name="Column3203"/>
    <tableColumn id="3204" xr3:uid="{55BF3EB4-38C5-4D60-86A0-A12889F5980A}" name="Column3204"/>
    <tableColumn id="3205" xr3:uid="{D8D42ED3-E3EC-42FC-A9C9-663EFBFA866A}" name="Column3205"/>
    <tableColumn id="3206" xr3:uid="{C3B34AC7-8926-452F-ABDD-8728C926A009}" name="Column3206"/>
    <tableColumn id="3207" xr3:uid="{2E4118EE-2FF5-4DFD-8C6F-2E50DB5D6F68}" name="Column3207"/>
    <tableColumn id="3208" xr3:uid="{39702552-CBE0-4BF8-9030-334B511B3F3B}" name="Column3208"/>
    <tableColumn id="3209" xr3:uid="{AE7F9785-BC71-4959-972A-8420C43090D3}" name="Column3209"/>
    <tableColumn id="3210" xr3:uid="{BE6A5696-6182-4A43-9E56-095405A29488}" name="Column3210"/>
    <tableColumn id="3211" xr3:uid="{06DC5170-AC54-474E-87E5-1528DBDB2355}" name="Column3211"/>
    <tableColumn id="3212" xr3:uid="{A878CE0E-783A-48C3-B864-D09EED6B55CE}" name="Column3212"/>
    <tableColumn id="3213" xr3:uid="{CB4300C8-6916-4EDA-A81D-A56CB8664387}" name="Column3213"/>
    <tableColumn id="3214" xr3:uid="{2D8C62C8-3880-443E-ABF2-98A9C686310D}" name="Column3214"/>
    <tableColumn id="3215" xr3:uid="{40502625-9CEF-4880-8442-DCE4AFCD413C}" name="Column3215"/>
    <tableColumn id="3216" xr3:uid="{19B81782-E51D-4B53-B7BA-ADA77B105B9B}" name="Column3216"/>
    <tableColumn id="3217" xr3:uid="{8C94EBCA-2CDD-49C6-B63F-A0C948497710}" name="Column3217"/>
    <tableColumn id="3218" xr3:uid="{851C0F2A-8620-4D61-A7DF-BD47E55916FC}" name="Column3218"/>
    <tableColumn id="3219" xr3:uid="{35764E2E-7FC0-40E2-90F5-7A0FEC6A0501}" name="Column3219"/>
    <tableColumn id="3220" xr3:uid="{EEA165A6-C18C-458B-9AFA-AA8EA13535AC}" name="Column3220"/>
    <tableColumn id="3221" xr3:uid="{5481C1F0-3913-4B81-9952-6BF68ED7A85E}" name="Column3221"/>
    <tableColumn id="3222" xr3:uid="{2B3D7C55-D213-43CE-B3C9-B4A5C8E5AE22}" name="Column3222"/>
    <tableColumn id="3223" xr3:uid="{2177E6F7-11C0-4C22-80FE-1DC3DFF5E1C4}" name="Column3223"/>
    <tableColumn id="3224" xr3:uid="{733E24B3-3DFE-4E87-9B64-012A8F4ACEF2}" name="Column3224"/>
    <tableColumn id="3225" xr3:uid="{820EA20B-2674-448E-8834-4F58B7214BF0}" name="Column3225"/>
    <tableColumn id="3226" xr3:uid="{3C0F714D-2D61-4CBC-9EE3-2435D0269B1E}" name="Column3226"/>
    <tableColumn id="3227" xr3:uid="{A8EDF6D8-9DCA-4DB7-8D5E-DE7577279C7F}" name="Column3227"/>
    <tableColumn id="3228" xr3:uid="{3443B5AA-1B02-4DE1-BE92-70CD34540A43}" name="Column3228"/>
    <tableColumn id="3229" xr3:uid="{B9A1C696-64D9-4F80-B74B-3C4B0F643802}" name="Column3229"/>
    <tableColumn id="3230" xr3:uid="{908F0F6C-58A7-408E-AD95-306DC6947B15}" name="Column3230"/>
    <tableColumn id="3231" xr3:uid="{93DEECE0-A522-4A00-8AF8-89C81D766635}" name="Column3231"/>
    <tableColumn id="3232" xr3:uid="{0CDC6F24-881D-4B4F-81F5-E1F55F78DC40}" name="Column3232"/>
    <tableColumn id="3233" xr3:uid="{69F1003E-94C3-4F42-B223-7C20D61181BF}" name="Column3233"/>
    <tableColumn id="3234" xr3:uid="{C39C1D9D-D31A-4D1A-9314-1A8D335B3617}" name="Column3234"/>
    <tableColumn id="3235" xr3:uid="{1A89E7D2-2718-4D2B-BBB1-6ED52D3CE9D9}" name="Column3235"/>
    <tableColumn id="3236" xr3:uid="{373B7DC1-0054-461C-A6D1-ECECF9E5A0B8}" name="Column3236"/>
    <tableColumn id="3237" xr3:uid="{C78D60AE-5939-43E0-8AA0-AACDD0F6D61D}" name="Column3237"/>
    <tableColumn id="3238" xr3:uid="{960AA580-99D4-482D-8E4B-6B9657D6572E}" name="Column3238"/>
    <tableColumn id="3239" xr3:uid="{B70DD373-06B4-4D60-84A6-3EF9698FAC61}" name="Column3239"/>
    <tableColumn id="3240" xr3:uid="{A0A2F74E-B22B-4613-AAA2-0C3A90714F86}" name="Column3240"/>
    <tableColumn id="3241" xr3:uid="{884E4DE4-6D12-465A-BFF0-3F25589FD95F}" name="Column3241"/>
    <tableColumn id="3242" xr3:uid="{AF98522F-B653-4287-A109-3AF6EA0AD294}" name="Column3242"/>
    <tableColumn id="3243" xr3:uid="{D8ADBA75-B235-490A-B000-E99867415EF3}" name="Column3243"/>
    <tableColumn id="3244" xr3:uid="{CFC75A33-94C8-4E83-B12D-827EDF9BDC4E}" name="Column3244"/>
    <tableColumn id="3245" xr3:uid="{A9D24F50-5B8D-4B0E-AA7D-986D956B6840}" name="Column3245"/>
    <tableColumn id="3246" xr3:uid="{807D01AE-6FC2-431A-8E17-DF900E8928C3}" name="Column3246"/>
    <tableColumn id="3247" xr3:uid="{B969D3F4-5C6C-4192-A6DF-5C9247E1B4CE}" name="Column3247"/>
    <tableColumn id="3248" xr3:uid="{AA6B787E-0627-4592-9C59-F5ACF92EAF55}" name="Column3248"/>
    <tableColumn id="3249" xr3:uid="{D0CD4D49-4D53-4BC9-8B92-06E8F1D312F8}" name="Column3249"/>
    <tableColumn id="3250" xr3:uid="{2CEF4331-6C40-4F5E-B20E-278E7460F62C}" name="Column3250"/>
    <tableColumn id="3251" xr3:uid="{99CD8008-12A8-48AE-BBA8-2E1216BA5F10}" name="Column3251"/>
    <tableColumn id="3252" xr3:uid="{B5C73BDA-C7A5-4D43-B122-378888FE3C02}" name="Column3252"/>
    <tableColumn id="3253" xr3:uid="{CB73C576-5D32-4621-9DE3-6E9F70984A85}" name="Column3253"/>
    <tableColumn id="3254" xr3:uid="{50F8EC88-C0A5-43A6-A94B-8736A1E09C54}" name="Column3254"/>
    <tableColumn id="3255" xr3:uid="{D2026841-2621-4FB6-A147-45388E29732A}" name="Column3255"/>
    <tableColumn id="3256" xr3:uid="{6B3932ED-D05F-4D97-94F3-406D50DAA0CF}" name="Column3256"/>
    <tableColumn id="3257" xr3:uid="{2180082A-A5C7-40AE-9751-C947AA4D1402}" name="Column3257"/>
    <tableColumn id="3258" xr3:uid="{1D0A05DD-3C25-46CC-828D-DCA583930AA9}" name="Column3258"/>
    <tableColumn id="3259" xr3:uid="{BD1C3AFE-313C-4E38-8A2C-3B2F19FC28A5}" name="Column3259"/>
    <tableColumn id="3260" xr3:uid="{5777B66B-2AC7-43AA-A3A1-E29144760700}" name="Column3260"/>
    <tableColumn id="3261" xr3:uid="{37D2BBAA-F6B6-40E4-8CC7-F817074C04A0}" name="Column3261"/>
    <tableColumn id="3262" xr3:uid="{AF3E3F9A-CEFF-4D6C-8A4B-CCD786B23976}" name="Column3262"/>
    <tableColumn id="3263" xr3:uid="{5AC08959-D0EA-4541-BE57-DA382C7E871A}" name="Column3263"/>
    <tableColumn id="3264" xr3:uid="{4490F5CA-95B1-40AC-9496-1192BCE492B2}" name="Column3264"/>
    <tableColumn id="3265" xr3:uid="{EDE890FB-AB99-40D8-9439-E598B4E6B0FD}" name="Column3265"/>
    <tableColumn id="3266" xr3:uid="{5B185DD8-C958-499D-88A9-2CA6B3810EAC}" name="Column3266"/>
    <tableColumn id="3267" xr3:uid="{14A87029-6D0E-42A8-804E-6E2D7FC15DAD}" name="Column3267"/>
    <tableColumn id="3268" xr3:uid="{46009F62-758E-41B8-8E44-88D0B1025896}" name="Column3268"/>
    <tableColumn id="3269" xr3:uid="{9FB185CB-18A3-4B4D-9745-7B9355A43A81}" name="Column3269"/>
    <tableColumn id="3270" xr3:uid="{307588C7-8EAE-474D-93F9-540C159D528D}" name="Column3270"/>
    <tableColumn id="3271" xr3:uid="{EF1F5BFD-7452-424B-B23C-FBAE53FAA59A}" name="Column3271"/>
    <tableColumn id="3272" xr3:uid="{30171F6F-5839-4FF1-84F3-8F00C026BBE9}" name="Column3272"/>
    <tableColumn id="3273" xr3:uid="{BDEF9ED6-8E02-4352-9DCD-7840300F7E8D}" name="Column3273"/>
    <tableColumn id="3274" xr3:uid="{992FA799-939B-4423-9A56-37EF8D621699}" name="Column3274"/>
    <tableColumn id="3275" xr3:uid="{6FAACE10-1591-491C-A60B-A7CCB6FA85A6}" name="Column3275"/>
    <tableColumn id="3276" xr3:uid="{879839FF-1B3F-45AA-90C1-937A32089D1E}" name="Column3276"/>
    <tableColumn id="3277" xr3:uid="{F01F38CC-DDA4-49C4-948F-951AA39EA388}" name="Column3277"/>
    <tableColumn id="3278" xr3:uid="{6071D635-A210-4F73-8E29-CF175C20C695}" name="Column3278"/>
    <tableColumn id="3279" xr3:uid="{AB3B6CDA-5CC0-453C-81D2-7BED88D0C671}" name="Column3279"/>
    <tableColumn id="3280" xr3:uid="{9B4BFEA6-05CC-4E21-A10D-EC15DCE0D3FA}" name="Column3280"/>
    <tableColumn id="3281" xr3:uid="{53EBDBE9-945C-4BD5-9838-7F85A7035AB5}" name="Column3281"/>
    <tableColumn id="3282" xr3:uid="{3D19D4A2-A6AF-4020-8FF9-6C185C7762B3}" name="Column3282"/>
    <tableColumn id="3283" xr3:uid="{C2C4BB32-6333-4CE6-81E6-86957D50115E}" name="Column3283"/>
    <tableColumn id="3284" xr3:uid="{84ECC1C9-42B8-4BAA-BAFF-52F1C0D0AE88}" name="Column3284"/>
    <tableColumn id="3285" xr3:uid="{AC1377D0-CE2D-4C6C-AD60-0DA9DF82813F}" name="Column3285"/>
    <tableColumn id="3286" xr3:uid="{AEA6F4FD-3250-4D21-B6B3-D74CA65C6F2C}" name="Column3286"/>
    <tableColumn id="3287" xr3:uid="{50ACE914-AA22-4BB5-A5CE-4264FD537B56}" name="Column3287"/>
    <tableColumn id="3288" xr3:uid="{5E5FFD8C-4A2F-488D-AC25-D78EE572581D}" name="Column3288"/>
    <tableColumn id="3289" xr3:uid="{0F9648E2-7E19-4299-9740-3B7BBFD503E2}" name="Column3289"/>
    <tableColumn id="3290" xr3:uid="{8E58D9CD-92BD-41C7-B8A0-2AD15C69DBC6}" name="Column3290"/>
    <tableColumn id="3291" xr3:uid="{BF3D8D2B-66C0-4887-A13E-79B45D1A69B9}" name="Column3291"/>
    <tableColumn id="3292" xr3:uid="{B9CA530A-D52E-4E1F-B193-3DE6A55EAABD}" name="Column3292"/>
    <tableColumn id="3293" xr3:uid="{68E37BE1-B8BD-4E5C-9C4D-03A686CF07CA}" name="Column3293"/>
    <tableColumn id="3294" xr3:uid="{C638307B-DCF5-4F08-A5F7-BF9C09B18648}" name="Column3294"/>
    <tableColumn id="3295" xr3:uid="{FDE4AA58-1959-4CF2-A5D3-72553D89B59C}" name="Column3295"/>
    <tableColumn id="3296" xr3:uid="{9A03A796-DC5E-4BDC-8CDF-E4F2B364914A}" name="Column3296"/>
    <tableColumn id="3297" xr3:uid="{630D2DA8-F299-455D-9158-A9B6649EB948}" name="Column3297"/>
    <tableColumn id="3298" xr3:uid="{F37C6E5C-0886-4F68-8F03-541C837A417A}" name="Column3298"/>
    <tableColumn id="3299" xr3:uid="{89B0AA7C-D4AB-4AF5-BBC3-E3A36C4D32B4}" name="Column3299"/>
    <tableColumn id="3300" xr3:uid="{9D74CB80-9AE3-4E27-B423-C7723457EBDC}" name="Column3300"/>
    <tableColumn id="3301" xr3:uid="{CB609764-F27B-461F-967E-403AFF5C6B8C}" name="Column3301"/>
    <tableColumn id="3302" xr3:uid="{29138150-7472-45BE-9E23-1CC956FDE8FD}" name="Column3302"/>
    <tableColumn id="3303" xr3:uid="{4AA63609-5353-4942-BB16-6A266330A2B0}" name="Column3303"/>
    <tableColumn id="3304" xr3:uid="{D7E43487-72A9-4C46-B52B-4D2AE55ED83B}" name="Column3304"/>
    <tableColumn id="3305" xr3:uid="{1217D5D3-F1D0-41F8-85F6-CB4744102DB1}" name="Column3305"/>
    <tableColumn id="3306" xr3:uid="{8F7F41FB-D170-438A-9CA1-F860FCF41652}" name="Column3306"/>
    <tableColumn id="3307" xr3:uid="{7AE67DBE-33FE-40C9-9C75-DAF62D789049}" name="Column3307"/>
    <tableColumn id="3308" xr3:uid="{E7AA6A5D-92B0-4B83-B49D-D670676C0D11}" name="Column3308"/>
    <tableColumn id="3309" xr3:uid="{44B691A0-22C4-4E4E-85F5-89C3CE54DCE1}" name="Column3309"/>
    <tableColumn id="3310" xr3:uid="{4C00E715-3C8E-4375-808E-105470C503F6}" name="Column3310"/>
    <tableColumn id="3311" xr3:uid="{1B6F868E-E478-4F24-883F-B1C988C27214}" name="Column3311"/>
    <tableColumn id="3312" xr3:uid="{3B35F97B-B65A-4361-8FA6-8FFA3C38EBFF}" name="Column3312"/>
    <tableColumn id="3313" xr3:uid="{8AC41ABE-2557-4FE3-81C2-5649505AA9B0}" name="Column3313"/>
    <tableColumn id="3314" xr3:uid="{7DBAA20B-5050-4945-963A-428CEF3DC5BE}" name="Column3314"/>
    <tableColumn id="3315" xr3:uid="{264EF255-4250-4C2F-AFDD-2671295357FC}" name="Column3315"/>
    <tableColumn id="3316" xr3:uid="{A2D9B4B3-F84E-4048-A6B3-7C3DC091547A}" name="Column3316"/>
    <tableColumn id="3317" xr3:uid="{4ABD5CC4-4F40-4508-B8A9-513ACA1F638E}" name="Column3317"/>
    <tableColumn id="3318" xr3:uid="{8A947DE7-F842-4A2E-9C26-3B589D8EDEAE}" name="Column3318"/>
    <tableColumn id="3319" xr3:uid="{1E8F42A0-2562-4982-A824-4F5165362F48}" name="Column3319"/>
    <tableColumn id="3320" xr3:uid="{8264D739-E34C-4A2E-96FC-22C33F1D34F3}" name="Column3320"/>
    <tableColumn id="3321" xr3:uid="{E738F5EF-7DAB-44CC-84B1-A435DCB7B439}" name="Column3321"/>
    <tableColumn id="3322" xr3:uid="{DBE26093-F799-4DDC-AF0A-ACA3D05F9838}" name="Column3322"/>
    <tableColumn id="3323" xr3:uid="{2D635A61-A71E-488A-B274-388A3F0319D8}" name="Column3323"/>
    <tableColumn id="3324" xr3:uid="{02BAFC08-68BA-4E23-9220-5EE6202AC37A}" name="Column3324"/>
    <tableColumn id="3325" xr3:uid="{2B61C419-2422-432C-B200-052FD29E1148}" name="Column3325"/>
    <tableColumn id="3326" xr3:uid="{26C9FB4A-09C7-4EF0-9ADE-5F978AEC5FB4}" name="Column3326"/>
    <tableColumn id="3327" xr3:uid="{FFE594F3-406D-47C8-97DF-27EA241AF989}" name="Column3327"/>
    <tableColumn id="3328" xr3:uid="{A70B926E-0A40-4770-BF56-CE870691EE7F}" name="Column3328"/>
    <tableColumn id="3329" xr3:uid="{A7827B8F-8B17-411A-96CA-498D1CBB2ABE}" name="Column3329"/>
    <tableColumn id="3330" xr3:uid="{00E39DAD-5468-4DF2-B66C-617FEB502262}" name="Column3330"/>
    <tableColumn id="3331" xr3:uid="{27D3D83F-E925-4890-86A9-EA3310C1B80A}" name="Column3331"/>
    <tableColumn id="3332" xr3:uid="{3533D182-173B-4000-A567-A310D27240EC}" name="Column3332"/>
    <tableColumn id="3333" xr3:uid="{1682C7D7-D75B-462F-9028-8909B703EFE9}" name="Column3333"/>
    <tableColumn id="3334" xr3:uid="{CCB9CCED-370A-44AA-9086-051A731568CD}" name="Column3334"/>
    <tableColumn id="3335" xr3:uid="{A51ED5D8-F783-4B95-8A90-035C34873251}" name="Column3335"/>
    <tableColumn id="3336" xr3:uid="{BAA0BA11-CDF3-4C35-A487-BAF04C609035}" name="Column3336"/>
    <tableColumn id="3337" xr3:uid="{415181D7-D4FB-4B6C-94D2-4E969F393C03}" name="Column3337"/>
    <tableColumn id="3338" xr3:uid="{4CAD621C-75C5-4830-B985-A681D7A5E543}" name="Column3338"/>
    <tableColumn id="3339" xr3:uid="{90F1E653-4670-42A5-9232-643691A88B3A}" name="Column3339"/>
    <tableColumn id="3340" xr3:uid="{99E214EF-3774-4CA2-A6EF-F44818273F7E}" name="Column3340"/>
    <tableColumn id="3341" xr3:uid="{D169AE61-FB68-4E19-8518-A038A6812DC1}" name="Column3341"/>
    <tableColumn id="3342" xr3:uid="{D29A35FD-F01C-4820-97B8-1FF4EA284DAB}" name="Column3342"/>
    <tableColumn id="3343" xr3:uid="{8AA463BC-149B-44CD-94FF-F587A2D045D5}" name="Column3343"/>
    <tableColumn id="3344" xr3:uid="{D8ACC1D1-55DC-4188-8F67-064F1F460FC5}" name="Column3344"/>
    <tableColumn id="3345" xr3:uid="{8A463745-F83D-4E8D-A7D5-7AE2838E3E26}" name="Column3345"/>
    <tableColumn id="3346" xr3:uid="{E87620BF-A863-4F9F-806D-AF7DC5854AC1}" name="Column3346"/>
    <tableColumn id="3347" xr3:uid="{13E595EB-5A20-4071-8957-9CE74CA20F7A}" name="Column3347"/>
    <tableColumn id="3348" xr3:uid="{BC9A79EF-09C8-43AF-AD81-479A79FF281C}" name="Column3348"/>
    <tableColumn id="3349" xr3:uid="{B6DB627D-A530-4177-9829-7F9B343A8E35}" name="Column3349"/>
    <tableColumn id="3350" xr3:uid="{5BFA3529-B1B6-4FEE-8C13-4978F9FAC3D4}" name="Column3350"/>
    <tableColumn id="3351" xr3:uid="{58A0D16A-49DA-4160-B43C-4D7820C67C13}" name="Column3351"/>
    <tableColumn id="3352" xr3:uid="{3D151411-48D4-4F0E-B022-B5BEC254FCD1}" name="Column3352"/>
    <tableColumn id="3353" xr3:uid="{6F325C03-5EBB-497D-B336-3AC6C6FA34CD}" name="Column3353"/>
    <tableColumn id="3354" xr3:uid="{115296DB-9FF2-497A-B726-09AC8BAAB487}" name="Column3354"/>
    <tableColumn id="3355" xr3:uid="{91E40D3B-BADC-4D07-8030-985B90DD48DD}" name="Column3355"/>
    <tableColumn id="3356" xr3:uid="{2D515899-6772-4A1E-A47E-0AD15035CA47}" name="Column3356"/>
    <tableColumn id="3357" xr3:uid="{5D1E7AB3-3652-4B7D-91F6-3C2286CA6500}" name="Column3357"/>
    <tableColumn id="3358" xr3:uid="{F52C0B5B-0322-46B8-8E35-16463968D34C}" name="Column3358"/>
    <tableColumn id="3359" xr3:uid="{A75A3911-65D9-4222-9384-26C65F2A0831}" name="Column3359"/>
    <tableColumn id="3360" xr3:uid="{9713717F-A808-464C-B10A-D8D5922A45AB}" name="Column3360"/>
    <tableColumn id="3361" xr3:uid="{D3598D9A-7DB6-4C64-8039-DEBD9A893808}" name="Column3361"/>
    <tableColumn id="3362" xr3:uid="{B9BA78F3-0BB5-48A7-907C-65EF9E437692}" name="Column3362"/>
    <tableColumn id="3363" xr3:uid="{8ADD5CC1-22FA-4949-B2F3-DF85A2707578}" name="Column3363"/>
    <tableColumn id="3364" xr3:uid="{77D90DEB-C01F-48BD-A84C-A57A93DA4265}" name="Column3364"/>
    <tableColumn id="3365" xr3:uid="{9740B350-F76C-48FE-BD26-A07487AE604D}" name="Column3365"/>
    <tableColumn id="3366" xr3:uid="{CE7B2932-80AB-42EA-8E8B-223F2AD1484C}" name="Column3366"/>
    <tableColumn id="3367" xr3:uid="{D619336B-18C1-4545-8657-CD13DB19788E}" name="Column3367"/>
    <tableColumn id="3368" xr3:uid="{D711AD0D-44D5-4BCE-BF41-F82E9D658F6B}" name="Column3368"/>
    <tableColumn id="3369" xr3:uid="{F01A7C51-BE6D-4A5E-BB4F-2523A5129DF7}" name="Column3369"/>
    <tableColumn id="3370" xr3:uid="{FDC031D5-91A7-4DA5-BF12-ACFCCE9F8E30}" name="Column3370"/>
    <tableColumn id="3371" xr3:uid="{1B2FF6CA-AF57-45F9-9AC4-E8EFB6222EE9}" name="Column3371"/>
    <tableColumn id="3372" xr3:uid="{91B1AFF1-65A2-45E9-9E86-0E1BC7955993}" name="Column3372"/>
    <tableColumn id="3373" xr3:uid="{249FF75E-66FE-4213-BA28-C9F11CC92015}" name="Column3373"/>
    <tableColumn id="3374" xr3:uid="{6511602A-5200-494B-B136-DAFFC4520040}" name="Column3374"/>
    <tableColumn id="3375" xr3:uid="{5EDD20C0-728F-4D38-A6A2-B681A8AD519D}" name="Column3375"/>
    <tableColumn id="3376" xr3:uid="{6B54B4C1-8B99-4D4B-A84C-515FD7573098}" name="Column3376"/>
    <tableColumn id="3377" xr3:uid="{5A54C809-E3B8-4481-B9BD-385AFC2F8544}" name="Column3377"/>
    <tableColumn id="3378" xr3:uid="{02CD0622-010E-4809-A20B-05B9707A3930}" name="Column3378"/>
    <tableColumn id="3379" xr3:uid="{CD522A8B-4356-4E4D-AE0F-BCFB8437BBF0}" name="Column3379"/>
    <tableColumn id="3380" xr3:uid="{19B7AF04-5C89-46C7-BE58-09A272267A24}" name="Column3380"/>
    <tableColumn id="3381" xr3:uid="{F83C2961-4CAD-40FC-A097-DD950E553F81}" name="Column3381"/>
    <tableColumn id="3382" xr3:uid="{5F08BA64-CE6E-4628-B76D-2624794BAC17}" name="Column3382"/>
    <tableColumn id="3383" xr3:uid="{2E148419-51DB-48C5-8135-6134C5E08485}" name="Column3383"/>
    <tableColumn id="3384" xr3:uid="{01E8F808-3F8C-4BA6-9CC2-1193E926F330}" name="Column3384"/>
    <tableColumn id="3385" xr3:uid="{F9D1679E-45DD-4F0F-B360-D6EBC0DCE060}" name="Column3385"/>
    <tableColumn id="3386" xr3:uid="{22DED839-EF3E-41CD-A183-3BE9DDFE043E}" name="Column3386"/>
    <tableColumn id="3387" xr3:uid="{59CB4D80-A429-418F-B1E5-C50FC89A79E9}" name="Column3387"/>
    <tableColumn id="3388" xr3:uid="{A87148E1-55C8-4B2A-9011-6D55A3926F0D}" name="Column3388"/>
    <tableColumn id="3389" xr3:uid="{D7456F89-D963-441A-99A7-99B5D9B0F7DE}" name="Column3389"/>
    <tableColumn id="3390" xr3:uid="{63892EFE-BD6C-42F6-9686-B7EA2737F8E8}" name="Column3390"/>
    <tableColumn id="3391" xr3:uid="{77382EB2-6E48-4608-A0F9-858245B65782}" name="Column3391"/>
    <tableColumn id="3392" xr3:uid="{60F4F766-21CC-4BFB-AE1B-2EE6FB252DE3}" name="Column3392"/>
    <tableColumn id="3393" xr3:uid="{CB30EC33-46BB-43FF-A715-E99B3CA1E97F}" name="Column3393"/>
    <tableColumn id="3394" xr3:uid="{70A3BDEE-EEDC-42EF-B783-BA7198DA5E3F}" name="Column3394"/>
    <tableColumn id="3395" xr3:uid="{1B166206-2711-408A-969C-226BF72B7C0D}" name="Column3395"/>
    <tableColumn id="3396" xr3:uid="{5A1BB00C-2CB7-4A61-81AF-5BF5F6F10E4E}" name="Column3396"/>
    <tableColumn id="3397" xr3:uid="{8C7527A1-8331-4759-8ED6-2D4C1042B9E9}" name="Column3397"/>
    <tableColumn id="3398" xr3:uid="{F62E5B53-4D5C-4979-81CB-5FC0996F9A31}" name="Column3398"/>
    <tableColumn id="3399" xr3:uid="{40ED79C0-5E59-4C6D-B901-636706B2FDA3}" name="Column3399"/>
    <tableColumn id="3400" xr3:uid="{6A8D62EB-E36B-43B8-8AF8-EF05DF141801}" name="Column3400"/>
    <tableColumn id="3401" xr3:uid="{96EFA1C0-E748-4ABD-89F9-A7CCAE4ADF94}" name="Column3401"/>
    <tableColumn id="3402" xr3:uid="{1826AB47-539F-4456-ACBF-3CE604BC6B82}" name="Column3402"/>
    <tableColumn id="3403" xr3:uid="{08E20132-6E22-4D46-A62F-51045AB1A6A2}" name="Column3403"/>
    <tableColumn id="3404" xr3:uid="{0F07FEBA-3458-42B4-B0E1-27560FB89373}" name="Column3404"/>
    <tableColumn id="3405" xr3:uid="{9A4B4C6C-D917-48F0-9009-709EEF0E4571}" name="Column3405"/>
    <tableColumn id="3406" xr3:uid="{A5C1683C-0301-4818-80D3-37CB5D112814}" name="Column3406"/>
    <tableColumn id="3407" xr3:uid="{19666DA4-564B-4390-A3FC-998FC8DAB484}" name="Column3407"/>
    <tableColumn id="3408" xr3:uid="{F2F2B1D9-90E0-4AE8-A1F6-89FA50416AEF}" name="Column3408"/>
    <tableColumn id="3409" xr3:uid="{B2F7D662-2E22-4E86-8767-165B740ECF1D}" name="Column3409"/>
    <tableColumn id="3410" xr3:uid="{1CC6EEF6-0343-45ED-85E5-B7C36AB4E101}" name="Column3410"/>
    <tableColumn id="3411" xr3:uid="{94AD67C2-67C7-41AA-9505-C43677B26CF5}" name="Column3411"/>
    <tableColumn id="3412" xr3:uid="{3EB1B0A8-9F5F-46F8-AEF9-9E5DDB30211F}" name="Column3412"/>
    <tableColumn id="3413" xr3:uid="{24929472-07EF-49D1-BEF4-C88F31681A76}" name="Column3413"/>
    <tableColumn id="3414" xr3:uid="{D01832D9-38B9-474E-9963-275633B8056B}" name="Column3414"/>
    <tableColumn id="3415" xr3:uid="{FF29A508-2E8A-4ACE-838B-5BCA1BCC06B4}" name="Column3415"/>
    <tableColumn id="3416" xr3:uid="{D52926E2-6134-4737-AD21-8920F3C3B431}" name="Column3416"/>
    <tableColumn id="3417" xr3:uid="{3B4E0491-1444-4BCC-87B4-02F0247524C2}" name="Column3417"/>
    <tableColumn id="3418" xr3:uid="{C6D5F8E4-70DD-40C1-97D4-573DA9115D4F}" name="Column3418"/>
    <tableColumn id="3419" xr3:uid="{9537CDDA-4182-405C-9D6C-D67648EC6AB7}" name="Column3419"/>
    <tableColumn id="3420" xr3:uid="{A4F684EE-5503-4940-8588-9D12F30A37A6}" name="Column3420"/>
    <tableColumn id="3421" xr3:uid="{0C70229A-6263-422D-AA16-4B8F5704B74E}" name="Column3421"/>
    <tableColumn id="3422" xr3:uid="{554D9498-8281-415F-829B-5E075B4698F7}" name="Column3422"/>
    <tableColumn id="3423" xr3:uid="{E5076167-95C0-426A-9373-676E3EBF560B}" name="Column3423"/>
    <tableColumn id="3424" xr3:uid="{690A6985-B2EA-4220-8DDC-3D8D37554688}" name="Column3424"/>
    <tableColumn id="3425" xr3:uid="{57BDFFD6-B4A4-4225-88B1-C9D4D9EEF195}" name="Column3425"/>
    <tableColumn id="3426" xr3:uid="{896A48DA-47A1-4BB0-98AC-E6ED367C2D19}" name="Column3426"/>
    <tableColumn id="3427" xr3:uid="{EE50B9B0-329A-4683-9512-68D80275DEC7}" name="Column3427"/>
    <tableColumn id="3428" xr3:uid="{110E13D0-D7A0-4670-86EF-47FED0F86C57}" name="Column3428"/>
    <tableColumn id="3429" xr3:uid="{D52A045F-C62F-4D82-943F-0818B0574048}" name="Column3429"/>
    <tableColumn id="3430" xr3:uid="{16A6516F-5C72-4F64-B637-9D87EFF7490B}" name="Column3430"/>
    <tableColumn id="3431" xr3:uid="{E79BC60C-AAAD-4B37-B84A-4E7B8B6BA710}" name="Column3431"/>
    <tableColumn id="3432" xr3:uid="{220A51CF-6493-4F6E-B989-8F45F279612A}" name="Column3432"/>
    <tableColumn id="3433" xr3:uid="{D7B53631-2417-4F95-A0E6-028F616388BA}" name="Column3433"/>
    <tableColumn id="3434" xr3:uid="{CB9C823D-656E-47AE-A381-FA4FD90D93C5}" name="Column3434"/>
    <tableColumn id="3435" xr3:uid="{432AA0CE-CFE0-4EE5-A8F8-872534582ABC}" name="Column3435"/>
    <tableColumn id="3436" xr3:uid="{408C4DD6-3199-4B3A-9EB2-37F1DB76A9B1}" name="Column3436"/>
    <tableColumn id="3437" xr3:uid="{7F2AECC2-8B9F-43C9-8254-BD94A5241517}" name="Column3437"/>
    <tableColumn id="3438" xr3:uid="{6D8DE8A9-3D31-487C-A330-6298D4B8BFB9}" name="Column3438"/>
    <tableColumn id="3439" xr3:uid="{C2A82369-967F-4601-8799-F6BA6D809635}" name="Column3439"/>
    <tableColumn id="3440" xr3:uid="{1B05CE48-D3DA-4E1F-A698-4CCC1D5F07D5}" name="Column3440"/>
    <tableColumn id="3441" xr3:uid="{C44432A6-AAC4-4024-8601-4F6611751102}" name="Column3441"/>
    <tableColumn id="3442" xr3:uid="{BCD1ED37-0515-4FE6-B5D6-17C3CA2F4A06}" name="Column3442"/>
    <tableColumn id="3443" xr3:uid="{05C03042-79E6-4F23-9A07-98F7A94777F5}" name="Column3443"/>
    <tableColumn id="3444" xr3:uid="{2018B6DB-DD0B-46F4-A817-000E825273E1}" name="Column3444"/>
    <tableColumn id="3445" xr3:uid="{BCC4DB13-A6FD-45D6-B896-E181D75A88E8}" name="Column3445"/>
    <tableColumn id="3446" xr3:uid="{9A70D412-542B-4FA8-9F86-9C2EF7F44287}" name="Column3446"/>
    <tableColumn id="3447" xr3:uid="{4E792376-7695-41A9-96D6-7D9E04BE7018}" name="Column3447"/>
    <tableColumn id="3448" xr3:uid="{CB914BA8-2DE3-41A5-9DF9-56F460983385}" name="Column3448"/>
    <tableColumn id="3449" xr3:uid="{06823126-81FF-422B-8C08-B736D5BADBCA}" name="Column3449"/>
    <tableColumn id="3450" xr3:uid="{8F955252-C7E3-41D7-B649-F98D37FFD8E6}" name="Column3450"/>
    <tableColumn id="3451" xr3:uid="{543B505D-3A37-4E7B-90DA-F8211311EEE4}" name="Column3451"/>
    <tableColumn id="3452" xr3:uid="{2EB29584-3402-41B5-ABB9-85D7C999F04E}" name="Column3452"/>
    <tableColumn id="3453" xr3:uid="{3715EC59-FC47-4A11-9FB6-F993AC7AC53A}" name="Column3453"/>
    <tableColumn id="3454" xr3:uid="{11973CC7-D0B0-4CDB-B618-5638C27E2B92}" name="Column3454"/>
    <tableColumn id="3455" xr3:uid="{1FD442DB-8E46-49EC-9F5F-6A8E3942D36A}" name="Column3455"/>
    <tableColumn id="3456" xr3:uid="{4CEFF9AE-1A3E-47E3-B159-5C80572B4F94}" name="Column3456"/>
    <tableColumn id="3457" xr3:uid="{2D75C09C-3FEE-4E06-9FAB-A4B03998EEE4}" name="Column3457"/>
    <tableColumn id="3458" xr3:uid="{FEFA34EF-5E2A-4D44-AC3C-FC69824F2BB2}" name="Column3458"/>
    <tableColumn id="3459" xr3:uid="{FB75C16C-ACA1-49C5-9A59-660CB52E8E4A}" name="Column3459"/>
    <tableColumn id="3460" xr3:uid="{5F7F7C89-466B-48C9-A5D7-C516DD532045}" name="Column3460"/>
    <tableColumn id="3461" xr3:uid="{5C399447-7F4B-4ADF-BB90-71E9AD2BC6FE}" name="Column3461"/>
    <tableColumn id="3462" xr3:uid="{E097D255-A7DC-4635-B270-5D7E6CCF55F3}" name="Column3462"/>
    <tableColumn id="3463" xr3:uid="{8989FFEF-161C-4701-8146-ED13F1C1780E}" name="Column3463"/>
    <tableColumn id="3464" xr3:uid="{BA2C3F80-ECB2-4B0E-9ADB-97AE2C76B5B9}" name="Column3464"/>
    <tableColumn id="3465" xr3:uid="{5D012465-E7B6-456D-8294-8B71E8851530}" name="Column3465"/>
    <tableColumn id="3466" xr3:uid="{FE54E662-E3F9-413B-86A0-1C96121A8352}" name="Column3466"/>
    <tableColumn id="3467" xr3:uid="{00B0ABDA-934C-4A2F-BC7F-C59DD9058959}" name="Column3467"/>
    <tableColumn id="3468" xr3:uid="{FAE852EC-1A7A-44C5-A73C-7E88AB128556}" name="Column3468"/>
    <tableColumn id="3469" xr3:uid="{4AD63C51-DD7E-407A-8591-22EB9E40F2B0}" name="Column3469"/>
    <tableColumn id="3470" xr3:uid="{0D57ABA3-BD2A-42B1-9D8A-DBD3309818DE}" name="Column3470"/>
    <tableColumn id="3471" xr3:uid="{5F2FC6AE-4AB0-447F-94DE-4E7BA1FA12AB}" name="Column3471"/>
    <tableColumn id="3472" xr3:uid="{D9EE2461-6136-48B8-AA78-D62285873C5F}" name="Column3472"/>
    <tableColumn id="3473" xr3:uid="{2B46E52B-5522-4814-8599-6BE8223841CD}" name="Column3473"/>
    <tableColumn id="3474" xr3:uid="{CABD64B0-3378-4F32-A263-057500C87FD1}" name="Column3474"/>
    <tableColumn id="3475" xr3:uid="{9438827A-2DF6-4AF5-B170-AB9C1404DE1D}" name="Column3475"/>
    <tableColumn id="3476" xr3:uid="{863C4A09-F169-4FAE-8C5E-17C46BB6612D}" name="Column3476"/>
    <tableColumn id="3477" xr3:uid="{D3712F4B-531C-45F4-AE8C-98D64D4D8387}" name="Column3477"/>
    <tableColumn id="3478" xr3:uid="{6AC11774-4410-4169-9DB4-7EB629868260}" name="Column3478"/>
    <tableColumn id="3479" xr3:uid="{AE7CABD6-3592-4C79-9D47-EAB039E4F26F}" name="Column3479"/>
    <tableColumn id="3480" xr3:uid="{E0348D47-42BC-4494-A2B4-BC6B03E7D42B}" name="Column3480"/>
    <tableColumn id="3481" xr3:uid="{B842AA9B-C66C-46A5-98B0-74558752A380}" name="Column3481"/>
    <tableColumn id="3482" xr3:uid="{3D0E9A6D-5473-4487-9EAA-CF59FE8F52EA}" name="Column3482"/>
    <tableColumn id="3483" xr3:uid="{A9AFFA8A-7AE5-4C3E-8FDE-6ABAD4E9ECDE}" name="Column3483"/>
    <tableColumn id="3484" xr3:uid="{8B8C34D9-286B-47AD-9287-B3BDBE347230}" name="Column3484"/>
    <tableColumn id="3485" xr3:uid="{7C1A89E7-6942-41E4-9F0C-CC5C68A24FAC}" name="Column3485"/>
    <tableColumn id="3486" xr3:uid="{29AF1E09-B740-412A-BE88-EC2290CECC07}" name="Column3486"/>
    <tableColumn id="3487" xr3:uid="{A13A605F-AB5C-4883-8845-B961C9E551B0}" name="Column3487"/>
    <tableColumn id="3488" xr3:uid="{2190DBCC-EC62-4A81-B6B6-61F1F663223E}" name="Column3488"/>
    <tableColumn id="3489" xr3:uid="{1F058DA2-1B5C-43A0-BFD6-691797ABC69B}" name="Column3489"/>
    <tableColumn id="3490" xr3:uid="{0EE0F12F-100A-4993-A933-1DAA1B68C0E7}" name="Column3490"/>
    <tableColumn id="3491" xr3:uid="{1F1501A8-50B0-44D1-BE62-9261A8D37DAD}" name="Column3491"/>
    <tableColumn id="3492" xr3:uid="{84A57795-E860-4AE1-9B4A-F0E426A62133}" name="Column3492"/>
    <tableColumn id="3493" xr3:uid="{B21EE9F3-9F01-4666-BC7E-9E922DE33391}" name="Column3493"/>
    <tableColumn id="3494" xr3:uid="{17DD92F4-E611-4B6A-84A3-EF5347400A34}" name="Column3494"/>
    <tableColumn id="3495" xr3:uid="{BC6D9930-8803-4C38-9EFB-2E84DECA13DD}" name="Column3495"/>
    <tableColumn id="3496" xr3:uid="{C2B38CAF-B457-426D-A2CF-3215A00B4642}" name="Column3496"/>
    <tableColumn id="3497" xr3:uid="{480B5BD2-0AA4-4105-BC95-3E3141C5EC9B}" name="Column3497"/>
    <tableColumn id="3498" xr3:uid="{9747B131-E6EE-4D5F-8C88-876B3CDD5615}" name="Column3498"/>
    <tableColumn id="3499" xr3:uid="{4C9F7CC8-615B-4ACC-A879-FE1812735D88}" name="Column3499"/>
    <tableColumn id="3500" xr3:uid="{1E19F12D-BE72-402D-A8E9-958FAC666A2C}" name="Column3500"/>
    <tableColumn id="3501" xr3:uid="{FD67A869-076B-4F80-B93D-FC1BBC2C49BD}" name="Column3501"/>
    <tableColumn id="3502" xr3:uid="{447F682E-DA3F-430A-9865-159800C52E66}" name="Column3502"/>
    <tableColumn id="3503" xr3:uid="{5D62E21E-3DA6-4242-97F1-D73F6EBE51C8}" name="Column3503"/>
    <tableColumn id="3504" xr3:uid="{0201FEA8-ADC4-43BA-8A86-C97DC809F19A}" name="Column3504"/>
    <tableColumn id="3505" xr3:uid="{1B32A038-5E87-4C3F-B1F0-34CDB3DDB317}" name="Column3505"/>
    <tableColumn id="3506" xr3:uid="{04E51093-5A83-41FB-B2E0-D72F12DA257C}" name="Column3506"/>
    <tableColumn id="3507" xr3:uid="{C873CF47-21E7-4932-9C5A-2FE602331BBD}" name="Column3507"/>
    <tableColumn id="3508" xr3:uid="{490DEF83-3850-4090-8958-236AF03F28AA}" name="Column3508"/>
    <tableColumn id="3509" xr3:uid="{778E6018-A266-4ABA-A97A-CC131BE6775A}" name="Column3509"/>
    <tableColumn id="3510" xr3:uid="{9F22D264-A84F-4A46-8A3A-D976F76CF948}" name="Column3510"/>
    <tableColumn id="3511" xr3:uid="{F3F58DDD-2D44-4C89-82FA-1E0C5A0E409D}" name="Column3511"/>
    <tableColumn id="3512" xr3:uid="{AB4AFC87-424C-4A6A-AEE3-5AE7B7EFDB5F}" name="Column3512"/>
    <tableColumn id="3513" xr3:uid="{9092CE06-D984-445C-BF6F-E0073E75DC17}" name="Column3513"/>
    <tableColumn id="3514" xr3:uid="{04A6D0AA-628F-4AA8-BDC1-14273E4F93DA}" name="Column3514"/>
    <tableColumn id="3515" xr3:uid="{70F29955-1C5A-48B1-B0D8-115E57A36DFF}" name="Column3515"/>
    <tableColumn id="3516" xr3:uid="{F2193DC1-368C-485B-8059-8044102DE67B}" name="Column3516"/>
    <tableColumn id="3517" xr3:uid="{04C36E1C-DE59-4B8B-8490-15FC55D61CA3}" name="Column3517"/>
    <tableColumn id="3518" xr3:uid="{F7F1CC38-EEDB-483A-B223-94870D8538C7}" name="Column3518"/>
    <tableColumn id="3519" xr3:uid="{D873EC0E-B7C2-4B0D-9B58-FCE35EBC258A}" name="Column3519"/>
    <tableColumn id="3520" xr3:uid="{527BA73E-23AA-4C86-B3ED-0CF4891380EA}" name="Column3520"/>
    <tableColumn id="3521" xr3:uid="{20427FF8-8F7B-4BC0-876B-51F3F968EFDC}" name="Column3521"/>
    <tableColumn id="3522" xr3:uid="{4DB42013-F452-446E-ADAA-745D09E71CDF}" name="Column3522"/>
    <tableColumn id="3523" xr3:uid="{E4F2AC5D-550C-43C8-91D9-EFBA4FE47952}" name="Column3523"/>
    <tableColumn id="3524" xr3:uid="{0BE72F77-455E-4A1E-BCFC-7068AA8003A1}" name="Column3524"/>
    <tableColumn id="3525" xr3:uid="{AF35722E-CBCA-4A78-90A5-CFB21CD248FD}" name="Column3525"/>
    <tableColumn id="3526" xr3:uid="{76B80692-1EE0-446B-957C-7ED532926A5F}" name="Column3526"/>
    <tableColumn id="3527" xr3:uid="{92FA36BB-5DD2-433C-8ADB-B2950E40F68E}" name="Column3527"/>
    <tableColumn id="3528" xr3:uid="{62671EE7-CC95-46EA-A419-6953589E5872}" name="Column3528"/>
    <tableColumn id="3529" xr3:uid="{8EA7D87F-C17F-4A34-BBF5-9385113F5D3F}" name="Column3529"/>
    <tableColumn id="3530" xr3:uid="{9CC4FCE9-2B83-479A-8B8F-62602D437C51}" name="Column3530"/>
    <tableColumn id="3531" xr3:uid="{93C6B61A-D78A-4387-84C2-8090A4F6D0CE}" name="Column3531"/>
    <tableColumn id="3532" xr3:uid="{2EB4A528-F9A2-441A-B7C9-F97B43FB5B8C}" name="Column3532"/>
    <tableColumn id="3533" xr3:uid="{FF57612A-1388-46B7-8DEF-31BA11AEA600}" name="Column3533"/>
    <tableColumn id="3534" xr3:uid="{F3C3388B-6719-43FA-BE09-D7BA73EEC761}" name="Column3534"/>
    <tableColumn id="3535" xr3:uid="{FEE84627-A7DA-4B14-9490-B9548425E5CC}" name="Column3535"/>
    <tableColumn id="3536" xr3:uid="{C8FDDB59-778F-4A0F-8C02-D685395B950D}" name="Column3536"/>
    <tableColumn id="3537" xr3:uid="{AC39007B-D0D2-434D-8095-A88F689C452E}" name="Column3537"/>
    <tableColumn id="3538" xr3:uid="{6B31D076-691C-409C-B440-2F4B9984091E}" name="Column3538"/>
    <tableColumn id="3539" xr3:uid="{3AEE9F45-3B05-4970-9EBA-A31ED8E2A29E}" name="Column3539"/>
    <tableColumn id="3540" xr3:uid="{35AD4CF1-FFD6-4596-8D82-A7186113D848}" name="Column3540"/>
    <tableColumn id="3541" xr3:uid="{641FA795-F33D-45C4-887D-CC9155438539}" name="Column3541"/>
    <tableColumn id="3542" xr3:uid="{86D84BC8-23B9-4E84-B5D9-5103543C086D}" name="Column3542"/>
    <tableColumn id="3543" xr3:uid="{4C67C41E-761D-4974-93C2-40894F533416}" name="Column3543"/>
    <tableColumn id="3544" xr3:uid="{64E58C07-60EA-4E31-90C3-08E2645A9553}" name="Column3544"/>
    <tableColumn id="3545" xr3:uid="{63B5E960-990D-4DD5-9E89-78B8DA9FEF86}" name="Column3545"/>
    <tableColumn id="3546" xr3:uid="{7A58B46B-76C0-4F00-BA91-9F44D5F48140}" name="Column3546"/>
    <tableColumn id="3547" xr3:uid="{30F2013A-5852-4227-B034-DD859B53FFB8}" name="Column3547"/>
    <tableColumn id="3548" xr3:uid="{76CADDF0-FCD7-4847-A75E-4F7AE2D5056E}" name="Column3548"/>
    <tableColumn id="3549" xr3:uid="{C32549B8-FD6F-48F2-8163-74FBD266CA79}" name="Column3549"/>
    <tableColumn id="3550" xr3:uid="{C4B382F3-368B-4578-A78E-44B66A831A8E}" name="Column3550"/>
    <tableColumn id="3551" xr3:uid="{843DFA8D-EE5E-4F41-BBB5-57C5111F0612}" name="Column3551"/>
    <tableColumn id="3552" xr3:uid="{0BB1E3A0-E63A-45B8-8187-5E3574E1A5E6}" name="Column3552"/>
    <tableColumn id="3553" xr3:uid="{86288CE9-FE03-497F-AAB4-96B4DFA81A39}" name="Column3553"/>
    <tableColumn id="3554" xr3:uid="{BFD3EE26-9EBC-466F-92DC-F612D75DA008}" name="Column3554"/>
    <tableColumn id="3555" xr3:uid="{A1FB38CB-695D-4635-ABDF-832DFD48BFA7}" name="Column3555"/>
    <tableColumn id="3556" xr3:uid="{F054725D-495C-4CDD-9723-A80B81AC4E20}" name="Column3556"/>
    <tableColumn id="3557" xr3:uid="{13118D0C-FE48-446C-B1FE-68903CF66D13}" name="Column3557"/>
    <tableColumn id="3558" xr3:uid="{41388B8C-7295-4378-93DD-754F48BBBBDC}" name="Column3558"/>
    <tableColumn id="3559" xr3:uid="{A40AE19E-C030-4E5C-9DB7-DE1F8A0FA66E}" name="Column3559"/>
    <tableColumn id="3560" xr3:uid="{FB939379-C329-43FB-BDB1-3F00A0F90348}" name="Column3560"/>
    <tableColumn id="3561" xr3:uid="{66F75F17-F97B-499A-9AB9-48282B4AE065}" name="Column3561"/>
    <tableColumn id="3562" xr3:uid="{47B71769-B6F1-49BB-9580-631D4E4BE144}" name="Column3562"/>
    <tableColumn id="3563" xr3:uid="{1EF3941D-B629-4FBB-80E8-88EF6BAA5A4B}" name="Column3563"/>
    <tableColumn id="3564" xr3:uid="{F42F4E0C-C6B2-4607-912D-A431DFE4E303}" name="Column3564"/>
    <tableColumn id="3565" xr3:uid="{A8DD445C-DE81-4A60-BD4F-10F1D583B1A7}" name="Column3565"/>
    <tableColumn id="3566" xr3:uid="{7F9E25E2-E369-4FEE-96CC-A9B25EC9265B}" name="Column3566"/>
    <tableColumn id="3567" xr3:uid="{9C8999AA-AF27-42B7-83D8-ECE9818D8EB2}" name="Column3567"/>
    <tableColumn id="3568" xr3:uid="{89C8CF58-2BD1-4B33-981B-2B672C35B919}" name="Column3568"/>
    <tableColumn id="3569" xr3:uid="{8B6404E6-0C1B-4F41-B43C-D5E282331133}" name="Column3569"/>
    <tableColumn id="3570" xr3:uid="{7B0E11F4-72FB-441C-807F-0EEE3D60D0BF}" name="Column3570"/>
    <tableColumn id="3571" xr3:uid="{0212FB92-135B-4042-A508-9517DB6430C3}" name="Column3571"/>
    <tableColumn id="3572" xr3:uid="{9F3EA131-AF8D-43F4-8311-7581C3D33A14}" name="Column3572"/>
    <tableColumn id="3573" xr3:uid="{0ED73B36-EABD-4DEB-BEC8-76E90A715FA1}" name="Column3573"/>
    <tableColumn id="3574" xr3:uid="{284F96DC-D886-4444-B236-4A27CBE8742C}" name="Column3574"/>
    <tableColumn id="3575" xr3:uid="{C2AAA6A1-34ED-4369-BF7E-12066BD37915}" name="Column3575"/>
    <tableColumn id="3576" xr3:uid="{EA543C7A-660C-4672-B108-858DD45FC871}" name="Column3576"/>
    <tableColumn id="3577" xr3:uid="{3C6DB923-3479-43BE-9426-FF8C2A39DEDE}" name="Column3577"/>
    <tableColumn id="3578" xr3:uid="{E64D729C-4CF8-44DD-8B81-81803B7A3A2E}" name="Column3578"/>
    <tableColumn id="3579" xr3:uid="{8A3CF81C-3F67-4EDD-B94C-551E7FC75E6E}" name="Column3579"/>
    <tableColumn id="3580" xr3:uid="{0E4853A7-9F93-4D81-A093-FA9B63AE6382}" name="Column3580"/>
    <tableColumn id="3581" xr3:uid="{335C9A4F-8F64-42C6-877E-4CD32D209CFB}" name="Column3581"/>
    <tableColumn id="3582" xr3:uid="{68D14712-8E55-438D-937F-E5D41C3BB84D}" name="Column3582"/>
    <tableColumn id="3583" xr3:uid="{86D4C8AF-1F4B-4A54-816E-3C0768DEC120}" name="Column3583"/>
    <tableColumn id="3584" xr3:uid="{38D3B4B4-A17A-450B-BED3-88B3DCA9E36D}" name="Column3584"/>
    <tableColumn id="3585" xr3:uid="{7994B9AF-C1B5-4A52-88CE-49DFFB2F73B9}" name="Column3585"/>
    <tableColumn id="3586" xr3:uid="{C008D688-468E-4A5D-847C-88AEBE732AD5}" name="Column3586"/>
    <tableColumn id="3587" xr3:uid="{81BF9DD3-8B28-43EE-8BBA-E5CD30EA43C8}" name="Column3587"/>
    <tableColumn id="3588" xr3:uid="{EBC6159D-EF26-4D4B-BE41-A492911D9405}" name="Column3588"/>
    <tableColumn id="3589" xr3:uid="{DE264D54-E003-48D6-8017-117B7D59F4A1}" name="Column3589"/>
    <tableColumn id="3590" xr3:uid="{D373B6D1-D091-4BB7-807E-363FAF64BD47}" name="Column3590"/>
    <tableColumn id="3591" xr3:uid="{B02CE89E-3BB5-4972-BBD5-EFD4D9F4010E}" name="Column3591"/>
    <tableColumn id="3592" xr3:uid="{FF32E985-DF7D-44D7-9F26-C6F031607866}" name="Column3592"/>
    <tableColumn id="3593" xr3:uid="{8370F6B6-A300-4A68-B83C-66C9BCD92EC3}" name="Column3593"/>
    <tableColumn id="3594" xr3:uid="{EC1FF7B4-B788-49A9-8F04-ACD6B9D0FA62}" name="Column3594"/>
    <tableColumn id="3595" xr3:uid="{72102230-1E1A-4805-8A1F-DECC87B2411C}" name="Column3595"/>
    <tableColumn id="3596" xr3:uid="{2F330596-2D7F-421D-B815-28031A333C8E}" name="Column3596"/>
    <tableColumn id="3597" xr3:uid="{D79244DE-BE36-4AD9-A42F-1A70D613E8AC}" name="Column3597"/>
    <tableColumn id="3598" xr3:uid="{72DDCF59-A27B-45C5-8CB0-096D40CED212}" name="Column3598"/>
    <tableColumn id="3599" xr3:uid="{276713D1-240F-4405-9CD7-9822D11322B3}" name="Column3599"/>
    <tableColumn id="3600" xr3:uid="{CCBDCFF9-7264-45C8-BF54-E42E3FDB0DD0}" name="Column3600"/>
    <tableColumn id="3601" xr3:uid="{A0137B3B-D9DC-41B3-BF6A-08E9AEE14E20}" name="Column3601"/>
    <tableColumn id="3602" xr3:uid="{EA4030B0-A7AF-4FAF-A177-637979C20998}" name="Column3602"/>
    <tableColumn id="3603" xr3:uid="{642BB7DB-6ED2-41ED-9E5A-E315CB4BF6E3}" name="Column3603"/>
    <tableColumn id="3604" xr3:uid="{2AAEAB6F-690A-4B4B-BC64-9F683AEB7D55}" name="Column3604"/>
    <tableColumn id="3605" xr3:uid="{EC152A09-F077-4D99-A2A3-2AA310E00300}" name="Column3605"/>
    <tableColumn id="3606" xr3:uid="{F06EAC37-AC1E-4303-9D68-F2E9ADBEB173}" name="Column3606"/>
    <tableColumn id="3607" xr3:uid="{5681C11D-D430-451A-814A-B5F78D8EF51A}" name="Column3607"/>
    <tableColumn id="3608" xr3:uid="{8A2AD933-0F66-4AB5-96EF-3520CB75F4CB}" name="Column3608"/>
    <tableColumn id="3609" xr3:uid="{F1FE5665-6F16-49C5-A674-647A9C7B4187}" name="Column3609"/>
    <tableColumn id="3610" xr3:uid="{DFB54BCF-DC4F-4918-BD58-A89C5FB6F83C}" name="Column3610"/>
    <tableColumn id="3611" xr3:uid="{B5F74911-8303-4B71-B7F6-05D442B07985}" name="Column3611"/>
    <tableColumn id="3612" xr3:uid="{201F7972-B29E-4AA5-B6B0-62D5FBB833AF}" name="Column3612"/>
    <tableColumn id="3613" xr3:uid="{B6578F65-2C91-48B7-AD41-198D7E9B5EDA}" name="Column3613"/>
    <tableColumn id="3614" xr3:uid="{038D03CA-025A-4E05-9DA4-E601405FAAE0}" name="Column3614"/>
    <tableColumn id="3615" xr3:uid="{A1D5C65B-F1CA-4116-B80D-BEC54C9BF051}" name="Column3615"/>
    <tableColumn id="3616" xr3:uid="{0C76A104-F6CB-43B4-A765-AEEF1E1F7EAA}" name="Column3616"/>
    <tableColumn id="3617" xr3:uid="{6A597AFC-9EAC-45C9-828F-D7E8EE423B25}" name="Column3617"/>
    <tableColumn id="3618" xr3:uid="{C66ABFBC-1B0E-4ED9-BD8A-84D8855467D6}" name="Column3618"/>
    <tableColumn id="3619" xr3:uid="{979E1A66-5296-4C5F-9259-6BCBC0868C83}" name="Column3619"/>
    <tableColumn id="3620" xr3:uid="{0276EACD-3E0A-494C-B0CC-0F184352B09F}" name="Column3620"/>
    <tableColumn id="3621" xr3:uid="{04DFE772-A6FE-4B79-BA4D-17FB7359B45C}" name="Column3621"/>
    <tableColumn id="3622" xr3:uid="{280B2FA6-156F-478C-BDD6-8180D9F9EC9F}" name="Column3622"/>
    <tableColumn id="3623" xr3:uid="{CB53C48F-DC08-443A-9C58-EC4B937BF188}" name="Column3623"/>
    <tableColumn id="3624" xr3:uid="{C589750B-9302-465E-9FF9-799573A38E97}" name="Column3624"/>
    <tableColumn id="3625" xr3:uid="{5727224C-A53E-4440-9580-A7728A27E6CF}" name="Column3625"/>
    <tableColumn id="3626" xr3:uid="{B1D84D06-84E2-4B08-AA28-427808906BC2}" name="Column3626"/>
    <tableColumn id="3627" xr3:uid="{95929593-6EC7-4E0E-9874-C95BB1D4E1D8}" name="Column3627"/>
    <tableColumn id="3628" xr3:uid="{9E2D82E9-8606-40EA-8DC7-669C878BC43E}" name="Column3628"/>
    <tableColumn id="3629" xr3:uid="{17F0FEE9-F440-40EA-AF97-3319BCACD8AF}" name="Column3629"/>
    <tableColumn id="3630" xr3:uid="{C94E36EC-BED3-4E2F-8EDD-C0F051CD6595}" name="Column3630"/>
    <tableColumn id="3631" xr3:uid="{B7E6DC93-F84C-49A4-B6B4-A7EC561F8BF6}" name="Column3631"/>
    <tableColumn id="3632" xr3:uid="{C0838B88-B25A-41EF-A062-FA767C7060D5}" name="Column3632"/>
    <tableColumn id="3633" xr3:uid="{3772DE3A-F716-4EDE-8F63-FB4DF9FB5771}" name="Column3633"/>
    <tableColumn id="3634" xr3:uid="{81A8B1DE-984D-4C15-BAF5-4E9FC98A4BB3}" name="Column3634"/>
    <tableColumn id="3635" xr3:uid="{E72DAE26-3348-485C-A4A9-F0C7DDC170D0}" name="Column3635"/>
    <tableColumn id="3636" xr3:uid="{59C67536-25FB-4609-97CF-C404D22ADEF3}" name="Column3636"/>
    <tableColumn id="3637" xr3:uid="{7C2F2DD4-C023-4181-A1B5-A0233B97BE57}" name="Column3637"/>
    <tableColumn id="3638" xr3:uid="{FB027B65-47BA-4AE3-8A35-ADEC899CF28E}" name="Column3638"/>
    <tableColumn id="3639" xr3:uid="{A0600726-E92A-47B6-B7F0-3BAF67ABADE4}" name="Column3639"/>
    <tableColumn id="3640" xr3:uid="{4FF2F0BF-6B54-47CC-9EF1-FFC28CEE3D61}" name="Column3640"/>
    <tableColumn id="3641" xr3:uid="{4B952BAB-6032-49A2-82AA-B1BB4330BACD}" name="Column3641"/>
    <tableColumn id="3642" xr3:uid="{2B085734-8474-4109-B53D-0AB0F4218C73}" name="Column3642"/>
    <tableColumn id="3643" xr3:uid="{3EFB4F8A-4078-45B4-AB41-8D321E363FF4}" name="Column3643"/>
    <tableColumn id="3644" xr3:uid="{EB74796C-9798-4B11-8FA5-F78946166725}" name="Column3644"/>
    <tableColumn id="3645" xr3:uid="{E0EA56B3-CC0E-4FBA-B7B1-385B558498B2}" name="Column3645"/>
    <tableColumn id="3646" xr3:uid="{2608B199-AEF6-4940-A9F9-746458757FAF}" name="Column3646"/>
    <tableColumn id="3647" xr3:uid="{C2ADCD5B-8144-4425-BBDC-7DDC15847BB2}" name="Column3647"/>
    <tableColumn id="3648" xr3:uid="{8C9FEA7A-805C-415B-B37B-BBF12B3771B0}" name="Column3648"/>
    <tableColumn id="3649" xr3:uid="{D9712397-8F62-4364-AB76-84EBD07966B4}" name="Column3649"/>
    <tableColumn id="3650" xr3:uid="{7944E3AE-7DC6-4E42-B103-2E50FE9F6137}" name="Column3650"/>
    <tableColumn id="3651" xr3:uid="{30EC36A3-E7BB-48EE-BF21-B8015ED82650}" name="Column3651"/>
    <tableColumn id="3652" xr3:uid="{27921100-E4DF-40BF-A960-2BCEAA734D74}" name="Column3652"/>
    <tableColumn id="3653" xr3:uid="{79C04DAF-A6D2-47F4-9403-7668614C1DCB}" name="Column3653"/>
    <tableColumn id="3654" xr3:uid="{F1317327-2BA7-46D8-A033-6D8435E62ED8}" name="Column3654"/>
    <tableColumn id="3655" xr3:uid="{5D790D2F-9D37-4A16-8727-95F6744E9A84}" name="Column3655"/>
    <tableColumn id="3656" xr3:uid="{13BB9579-53FF-499E-BA9E-9C9129033B40}" name="Column3656"/>
    <tableColumn id="3657" xr3:uid="{BC4180F6-13EC-43F4-8931-D3ED682163D1}" name="Column3657"/>
    <tableColumn id="3658" xr3:uid="{08B4BC02-22F5-436D-995D-5A87F86796E3}" name="Column3658"/>
    <tableColumn id="3659" xr3:uid="{8939B493-9362-4FEA-A1B1-725D2DD39FAF}" name="Column3659"/>
    <tableColumn id="3660" xr3:uid="{2924E908-36BB-4214-BE2F-27726B532323}" name="Column3660"/>
    <tableColumn id="3661" xr3:uid="{6E065B3E-7DF7-4E91-AB18-DB8DF6A56B86}" name="Column3661"/>
    <tableColumn id="3662" xr3:uid="{BC9EE8EA-8CAE-4617-BA6E-94DFB8B98C84}" name="Column3662"/>
    <tableColumn id="3663" xr3:uid="{B43580A0-B39D-49BF-B30B-A18C5C071C85}" name="Column3663"/>
    <tableColumn id="3664" xr3:uid="{574FF76C-4037-4678-9BFA-23CBE00B3695}" name="Column3664"/>
    <tableColumn id="3665" xr3:uid="{3D1BE7CC-C749-4851-9B9F-A3E85318C429}" name="Column3665"/>
    <tableColumn id="3666" xr3:uid="{48B9A0FE-C51B-4E9A-8FE3-E78A09A9F6E0}" name="Column3666"/>
    <tableColumn id="3667" xr3:uid="{97C86C6F-7D4C-4576-BF8D-48CA065480FE}" name="Column3667"/>
    <tableColumn id="3668" xr3:uid="{CE949FCC-ED4D-47AE-ADC1-643233429677}" name="Column3668"/>
    <tableColumn id="3669" xr3:uid="{A49DE3A4-2FE5-4E4C-BC07-9421D3BD4C3E}" name="Column3669"/>
    <tableColumn id="3670" xr3:uid="{691CF710-7ED8-4452-BABE-434E1450BE88}" name="Column3670"/>
    <tableColumn id="3671" xr3:uid="{3A2069D0-1230-43AE-BB3C-3E29D6EEF011}" name="Column3671"/>
    <tableColumn id="3672" xr3:uid="{97A81804-AE1D-4C3B-8C69-AEA511B89DF4}" name="Column3672"/>
    <tableColumn id="3673" xr3:uid="{6BB24703-9EC6-4C7F-83A0-B7DC75C72817}" name="Column3673"/>
    <tableColumn id="3674" xr3:uid="{8EEFF66D-EBA1-4F5D-A449-3AD791B25E79}" name="Column3674"/>
    <tableColumn id="3675" xr3:uid="{DE5242ED-C746-4A8E-AE72-C84AE3D5F5BF}" name="Column3675"/>
    <tableColumn id="3676" xr3:uid="{468A9A43-736A-4B04-8768-4F30D82BE330}" name="Column3676"/>
    <tableColumn id="3677" xr3:uid="{A4CF0015-14F5-4D72-8FEB-296B7438137F}" name="Column3677"/>
    <tableColumn id="3678" xr3:uid="{0663E3E5-06A6-4F99-9743-6EB40A3DBB0C}" name="Column3678"/>
    <tableColumn id="3679" xr3:uid="{474DE08F-7843-4B17-A654-701D28D56A0C}" name="Column3679"/>
    <tableColumn id="3680" xr3:uid="{617E8ACB-6C30-4B19-AE39-727070BA2A59}" name="Column3680"/>
    <tableColumn id="3681" xr3:uid="{A7DCFA28-983D-4321-A2E6-F8C3F6F99127}" name="Column3681"/>
    <tableColumn id="3682" xr3:uid="{3EE1C2D3-727D-4595-8A47-D69DFBAE862E}" name="Column3682"/>
    <tableColumn id="3683" xr3:uid="{848BAE24-C8C2-4739-A40A-65DCDDDAD618}" name="Column3683"/>
    <tableColumn id="3684" xr3:uid="{4D2C871B-BA2F-4EF4-84E9-1644831A3651}" name="Column3684"/>
    <tableColumn id="3685" xr3:uid="{A3F7BFB4-7EFF-42E8-8819-5A426947F57C}" name="Column3685"/>
    <tableColumn id="3686" xr3:uid="{14803C95-EC66-4A0C-85F9-F277AE472C7D}" name="Column3686"/>
    <tableColumn id="3687" xr3:uid="{CBE5DEAE-8AB5-4A07-A1F0-49E881995E89}" name="Column3687"/>
    <tableColumn id="3688" xr3:uid="{83F54909-4F48-4803-86A5-B4C2D4DBC12F}" name="Column3688"/>
    <tableColumn id="3689" xr3:uid="{789226F8-E534-4FEB-BD37-EB35E438BF44}" name="Column3689"/>
    <tableColumn id="3690" xr3:uid="{FA1A99ED-4359-4EB1-8E46-EB3A5DBC8949}" name="Column3690"/>
    <tableColumn id="3691" xr3:uid="{97676904-0A0D-4371-8954-FC15FEADC4D1}" name="Column3691"/>
    <tableColumn id="3692" xr3:uid="{60A2E623-0285-44B6-B199-1C0ECFD0784C}" name="Column3692"/>
    <tableColumn id="3693" xr3:uid="{59795660-2BF2-4DC0-994C-267C4664CE2C}" name="Column3693"/>
    <tableColumn id="3694" xr3:uid="{96FD7802-A770-4066-8815-64E2C2783584}" name="Column3694"/>
    <tableColumn id="3695" xr3:uid="{152AB3FC-0BA6-408C-BCF5-08D9C03874C9}" name="Column3695"/>
    <tableColumn id="3696" xr3:uid="{7D108037-F328-453B-8734-0255BD363BCB}" name="Column3696"/>
    <tableColumn id="3697" xr3:uid="{81AE18BF-38AC-4C85-8D68-C42B302C0E2B}" name="Column3697"/>
    <tableColumn id="3698" xr3:uid="{9CB7385B-8188-4D7C-8944-C16819F89B76}" name="Column3698"/>
    <tableColumn id="3699" xr3:uid="{8CB692DF-AF52-45DC-9CE6-F863038E4E19}" name="Column3699"/>
    <tableColumn id="3700" xr3:uid="{BA5AD2DA-91E5-4F1B-B1C0-3BB2C894B6EC}" name="Column3700"/>
    <tableColumn id="3701" xr3:uid="{D1ECA73E-9DC5-4FBC-837B-209B6E43872F}" name="Column3701"/>
    <tableColumn id="3702" xr3:uid="{E3D75B3E-497D-4500-A130-776C6CB38790}" name="Column3702"/>
    <tableColumn id="3703" xr3:uid="{E151C01F-7E70-4E27-B3C4-39BF1F9A812F}" name="Column3703"/>
    <tableColumn id="3704" xr3:uid="{2353FD1F-8C2D-4618-9E94-AF58BADCF4D1}" name="Column3704"/>
    <tableColumn id="3705" xr3:uid="{43658B47-767D-4297-BF4C-A8D6639A93B1}" name="Column3705"/>
    <tableColumn id="3706" xr3:uid="{B83C8677-41BA-4065-B5A9-55EDB60248CD}" name="Column3706"/>
    <tableColumn id="3707" xr3:uid="{84FB98A2-AD22-46D3-BEF2-419ABC919B1F}" name="Column3707"/>
    <tableColumn id="3708" xr3:uid="{F2E1AFCA-32D3-4495-BDC1-966A5E00BEFA}" name="Column3708"/>
    <tableColumn id="3709" xr3:uid="{137C1BBD-DBC4-45F0-BD8E-4E43E243219E}" name="Column3709"/>
    <tableColumn id="3710" xr3:uid="{2E33CC48-1B9E-43E3-8088-BE73C0897CA8}" name="Column3710"/>
    <tableColumn id="3711" xr3:uid="{FCA129F2-0334-4B53-9D3D-4F1517815D8B}" name="Column3711"/>
    <tableColumn id="3712" xr3:uid="{E57F818F-8DC9-4AF2-A554-D6228B9AAC10}" name="Column3712"/>
    <tableColumn id="3713" xr3:uid="{4F2A20CC-E6E6-4705-9A40-4BE5B7A3E1A7}" name="Column3713"/>
    <tableColumn id="3714" xr3:uid="{34CED272-7360-434F-A0D2-4DC686BF9ADF}" name="Column3714"/>
    <tableColumn id="3715" xr3:uid="{BEAF2179-AC04-4774-AEA7-3BBC2DCBCC67}" name="Column3715"/>
    <tableColumn id="3716" xr3:uid="{155BCAAB-DF68-4BDA-B577-72F6D412AF2F}" name="Column3716"/>
    <tableColumn id="3717" xr3:uid="{0E0500D6-5FED-4EC2-A45F-1B4592D8EED0}" name="Column3717"/>
    <tableColumn id="3718" xr3:uid="{D22D94C0-58DE-438B-9E22-FD92F639A40A}" name="Column3718"/>
    <tableColumn id="3719" xr3:uid="{55E5CEF7-5C23-4492-9E72-CC7E847E58CC}" name="Column3719"/>
    <tableColumn id="3720" xr3:uid="{08E79E15-EF0B-40E3-87FD-7969654DB6D8}" name="Column3720"/>
    <tableColumn id="3721" xr3:uid="{293FDDCB-B534-480E-BB8A-F35D87BA5E55}" name="Column3721"/>
    <tableColumn id="3722" xr3:uid="{4BFF14C7-7230-4996-BC32-844162373AE3}" name="Column3722"/>
    <tableColumn id="3723" xr3:uid="{1ADAC907-BD54-4205-A7FB-EB80D1B25F9F}" name="Column3723"/>
    <tableColumn id="3724" xr3:uid="{532E26CE-ECEA-4900-A446-B38425D4EBC3}" name="Column3724"/>
    <tableColumn id="3725" xr3:uid="{D1819570-18CA-4AB5-8605-C4540E476814}" name="Column3725"/>
    <tableColumn id="3726" xr3:uid="{44011894-D361-4F8F-B170-315746A90BD4}" name="Column3726"/>
    <tableColumn id="3727" xr3:uid="{3EBEB87F-F9D4-47EF-AFDA-DDE9CEC76E6B}" name="Column3727"/>
    <tableColumn id="3728" xr3:uid="{85379C74-C69B-4F83-AC44-FF48C9E316D7}" name="Column3728"/>
    <tableColumn id="3729" xr3:uid="{CE9046F6-925A-4267-B7A9-E8268AB19D53}" name="Column3729"/>
    <tableColumn id="3730" xr3:uid="{8408A7A2-5B7F-4D93-916D-F4DC1445D333}" name="Column3730"/>
    <tableColumn id="3731" xr3:uid="{30885F3A-FA59-4161-8886-B0EB413CD6A0}" name="Column3731"/>
    <tableColumn id="3732" xr3:uid="{88BFB13F-CEA2-48AB-ABBA-0C5D3EE46D03}" name="Column3732"/>
    <tableColumn id="3733" xr3:uid="{05D02CC6-2E92-4A17-8389-F8971E7A1995}" name="Column3733"/>
    <tableColumn id="3734" xr3:uid="{67626D2C-1724-4B45-AA09-CDDA39EC21BA}" name="Column3734"/>
    <tableColumn id="3735" xr3:uid="{A868A8D3-976D-4EFB-8A1F-C1CF66819F58}" name="Column3735"/>
    <tableColumn id="3736" xr3:uid="{34EDE14E-E339-46F2-9158-8B9A34CB1DA3}" name="Column3736"/>
    <tableColumn id="3737" xr3:uid="{BA9113F2-BE54-489B-A65B-960833F54A63}" name="Column3737"/>
    <tableColumn id="3738" xr3:uid="{9206D42F-83AB-4EB0-AC09-80E8ECC7A558}" name="Column3738"/>
    <tableColumn id="3739" xr3:uid="{22E7AA5D-1C77-41C6-B8C1-18653A219BF3}" name="Column3739"/>
    <tableColumn id="3740" xr3:uid="{D53F6D12-E8A9-4F4F-876B-38BBF2434751}" name="Column3740"/>
    <tableColumn id="3741" xr3:uid="{DF25C0A5-59CD-4CA8-82E5-B6C4D0230920}" name="Column3741"/>
    <tableColumn id="3742" xr3:uid="{AA5874E0-7D8B-4AA5-8D72-6C25713AC3BA}" name="Column3742"/>
    <tableColumn id="3743" xr3:uid="{D892D4F6-A9DB-4567-810E-237AB1EA5668}" name="Column3743"/>
    <tableColumn id="3744" xr3:uid="{DDEEC783-9048-4B1E-8877-66F1F927BBB4}" name="Column3744"/>
    <tableColumn id="3745" xr3:uid="{C5762744-DA91-4BE2-B500-4A60649E9339}" name="Column3745"/>
    <tableColumn id="3746" xr3:uid="{FCE8ADEA-0AB7-4A3F-9E02-6C198C22BFC3}" name="Column3746"/>
    <tableColumn id="3747" xr3:uid="{6B9E6928-8665-4258-B77E-859395759F87}" name="Column3747"/>
    <tableColumn id="3748" xr3:uid="{D6135EC1-FF9A-4612-A4C8-5D114D8A2A11}" name="Column3748"/>
    <tableColumn id="3749" xr3:uid="{C0AD62C7-55CB-46C7-BF29-07136486B787}" name="Column3749"/>
    <tableColumn id="3750" xr3:uid="{F834223E-C9AC-42CD-8F3C-BACF16611520}" name="Column3750"/>
    <tableColumn id="3751" xr3:uid="{39231241-F691-47FA-8D57-15CE18AB2701}" name="Column3751"/>
    <tableColumn id="3752" xr3:uid="{26AE75AC-5008-4973-9F1F-05E9FE1A511F}" name="Column3752"/>
    <tableColumn id="3753" xr3:uid="{CA476947-079B-4D29-A870-26F22354F60C}" name="Column3753"/>
    <tableColumn id="3754" xr3:uid="{99240135-02F4-4C7B-B6C1-BC4FF62EF7B2}" name="Column3754"/>
    <tableColumn id="3755" xr3:uid="{42068711-9F87-4231-9158-162F78B7A454}" name="Column3755"/>
    <tableColumn id="3756" xr3:uid="{D73E4F94-A277-4C0C-AC64-9DAA10BA1F74}" name="Column3756"/>
    <tableColumn id="3757" xr3:uid="{ADAF921B-9721-41BA-B6FF-6108425F0336}" name="Column3757"/>
    <tableColumn id="3758" xr3:uid="{92E4E23F-420F-4488-B9EF-F2E98E682D7F}" name="Column3758"/>
    <tableColumn id="3759" xr3:uid="{16EA2DFC-CEC0-4F9A-884C-AD5FB51DAA5A}" name="Column3759"/>
    <tableColumn id="3760" xr3:uid="{9B800013-A20A-46BA-B791-49127DBAEBB2}" name="Column3760"/>
    <tableColumn id="3761" xr3:uid="{0ED26650-7A68-49CC-8C85-0CC378EE7FD6}" name="Column3761"/>
    <tableColumn id="3762" xr3:uid="{FAF7A822-DDC9-4D3B-B5ED-B3D1E7ED99B6}" name="Column3762"/>
    <tableColumn id="3763" xr3:uid="{590C6EE4-93D1-4C5B-BC8C-87D33017B4B1}" name="Column3763"/>
    <tableColumn id="3764" xr3:uid="{64D11081-92D3-467F-952F-A4FF6CEA7F7D}" name="Column3764"/>
    <tableColumn id="3765" xr3:uid="{0C5EA67C-C323-4316-8EA6-1214B0F02402}" name="Column3765"/>
    <tableColumn id="3766" xr3:uid="{998756E6-21F1-4868-934C-B5AD384E8CBF}" name="Column3766"/>
    <tableColumn id="3767" xr3:uid="{2704CCDD-62ED-4049-9E98-986FFB70653E}" name="Column3767"/>
    <tableColumn id="3768" xr3:uid="{CF73055F-4D9C-4DE0-9E10-173FDB42DDB0}" name="Column3768"/>
    <tableColumn id="3769" xr3:uid="{65AA4B33-31FF-4CE5-ACE7-8D9676E7D937}" name="Column3769"/>
    <tableColumn id="3770" xr3:uid="{4B9513A5-1E53-42E1-8110-ED50D088D219}" name="Column3770"/>
    <tableColumn id="3771" xr3:uid="{75011E78-19C8-45B4-B9E5-2CC58F764531}" name="Column3771"/>
    <tableColumn id="3772" xr3:uid="{7A800CFC-22AF-4892-B1A7-CB9ACAC43FB0}" name="Column3772"/>
    <tableColumn id="3773" xr3:uid="{738E6B53-3CB1-48AF-AFB0-976F4DA6CCBA}" name="Column3773"/>
    <tableColumn id="3774" xr3:uid="{44A74ACE-811E-49B4-9319-97BF03CAF27D}" name="Column3774"/>
    <tableColumn id="3775" xr3:uid="{ED75272D-A56E-4CCD-8764-FF128DD74C59}" name="Column3775"/>
    <tableColumn id="3776" xr3:uid="{D53D34E1-A4C4-4316-ADEB-69E10BA0B95D}" name="Column3776"/>
    <tableColumn id="3777" xr3:uid="{ED64DFF9-C887-4E27-B80E-582E501E48F9}" name="Column3777"/>
    <tableColumn id="3778" xr3:uid="{BB1CDA38-090A-42D1-A4CE-364ED5558882}" name="Column3778"/>
    <tableColumn id="3779" xr3:uid="{965DB894-DA8D-4CF9-86EE-41807E1E7259}" name="Column3779"/>
    <tableColumn id="3780" xr3:uid="{C95E36FB-62A8-41E9-925B-9B6AF8DB8561}" name="Column3780"/>
    <tableColumn id="3781" xr3:uid="{AC8EA78C-A775-41DC-8971-B782812EEA32}" name="Column3781"/>
    <tableColumn id="3782" xr3:uid="{5BF47B51-7558-4630-B0E5-1DA3CB882F57}" name="Column3782"/>
    <tableColumn id="3783" xr3:uid="{E9627367-C47A-4BC6-A5B3-49DA4358A0C3}" name="Column3783"/>
    <tableColumn id="3784" xr3:uid="{226BAE91-16BE-44DD-B046-0BEAFF9F44AF}" name="Column3784"/>
    <tableColumn id="3785" xr3:uid="{616E3D8D-71B6-4D50-924F-A7A95384293A}" name="Column3785"/>
    <tableColumn id="3786" xr3:uid="{A254E2C9-4B47-4054-8BDD-61A1EC4A3B86}" name="Column3786"/>
    <tableColumn id="3787" xr3:uid="{EFDEFB9A-5902-4E35-A8BA-F7520E005492}" name="Column3787"/>
    <tableColumn id="3788" xr3:uid="{DC0B4B12-1076-4B88-BDFD-A4D83D0D275B}" name="Column3788"/>
    <tableColumn id="3789" xr3:uid="{D941327C-9DDA-4C90-8CA8-081205AEBD72}" name="Column3789"/>
    <tableColumn id="3790" xr3:uid="{E9C2ADA5-B5E9-471D-B80D-2296E4FEB608}" name="Column3790"/>
    <tableColumn id="3791" xr3:uid="{B274D527-54C3-4014-8365-B0222DCCD8BD}" name="Column3791"/>
    <tableColumn id="3792" xr3:uid="{8A0C2F9F-82C9-452C-8F80-B46419056024}" name="Column3792"/>
    <tableColumn id="3793" xr3:uid="{D9D05E40-E14B-4963-B1A9-6DF88131CD9A}" name="Column3793"/>
    <tableColumn id="3794" xr3:uid="{C8F21C9C-24D3-4A6F-9319-C81FC4469543}" name="Column3794"/>
    <tableColumn id="3795" xr3:uid="{A5E9528F-7572-4B6C-94EB-26ED4AAC2B81}" name="Column3795"/>
    <tableColumn id="3796" xr3:uid="{A7396E8B-88C4-40D5-A927-65BBA30FF26A}" name="Column3796"/>
    <tableColumn id="3797" xr3:uid="{D02E5378-C23D-42D6-9624-A3530717E49A}" name="Column3797"/>
    <tableColumn id="3798" xr3:uid="{BA088ABE-BEDD-43F8-B805-2C0EDC251D05}" name="Column3798"/>
    <tableColumn id="3799" xr3:uid="{AF25F76D-07A7-48B2-BB1C-037CFCC0AF95}" name="Column3799"/>
    <tableColumn id="3800" xr3:uid="{88EEF8B8-D45B-40B0-B06B-4D20C1DB7C37}" name="Column3800"/>
    <tableColumn id="3801" xr3:uid="{88192B1F-47B4-4D4D-9917-65BC194FCFC2}" name="Column3801"/>
    <tableColumn id="3802" xr3:uid="{D1542CF1-87A2-4772-A55F-E6E23A7308EC}" name="Column3802"/>
    <tableColumn id="3803" xr3:uid="{B31F74C5-9705-48CC-8E9D-E474E3FDBFC4}" name="Column3803"/>
    <tableColumn id="3804" xr3:uid="{BD647AE4-BE9C-4C8C-B645-139A00123442}" name="Column3804"/>
    <tableColumn id="3805" xr3:uid="{0F78D165-962A-4E46-B685-C22A7384A20A}" name="Column3805"/>
    <tableColumn id="3806" xr3:uid="{82453690-29EE-4786-9CF9-C66D4340A730}" name="Column3806"/>
    <tableColumn id="3807" xr3:uid="{6112FF4F-7315-4356-901E-EFDC7AC36114}" name="Column3807"/>
    <tableColumn id="3808" xr3:uid="{C14AD47E-1655-4E83-8A9D-1C3FB05EECB0}" name="Column3808"/>
    <tableColumn id="3809" xr3:uid="{68936168-74CC-443D-8B33-23A2026CD460}" name="Column3809"/>
    <tableColumn id="3810" xr3:uid="{16CF5F72-9F5B-4B51-A93C-2FF4B3206BC6}" name="Column3810"/>
    <tableColumn id="3811" xr3:uid="{D4216D7F-8B8A-4363-89D2-80F33DDBE249}" name="Column3811"/>
    <tableColumn id="3812" xr3:uid="{41B58FC5-BD33-4E4C-9226-171B34496E80}" name="Column3812"/>
    <tableColumn id="3813" xr3:uid="{9EAB61ED-ED3C-453D-B8FF-4EAA0620501C}" name="Column3813"/>
    <tableColumn id="3814" xr3:uid="{AC7372CE-EA10-4F2E-B9D5-4CFEC9A67337}" name="Column3814"/>
    <tableColumn id="3815" xr3:uid="{B79D5AB2-5FD2-4F90-8330-61D12CAE47A9}" name="Column3815"/>
    <tableColumn id="3816" xr3:uid="{C894A2A0-3230-4DBD-BC6A-1CA25D77EE97}" name="Column3816"/>
    <tableColumn id="3817" xr3:uid="{26E58CB8-D79C-45EA-9097-8CB9630E473F}" name="Column3817"/>
    <tableColumn id="3818" xr3:uid="{BCA0C31B-0C3D-4905-B414-0908A7A2BD0B}" name="Column3818"/>
    <tableColumn id="3819" xr3:uid="{2DF47069-1395-40CE-A6B5-77A1980245C0}" name="Column3819"/>
    <tableColumn id="3820" xr3:uid="{CCAD6747-C535-40D5-B621-62027312631B}" name="Column3820"/>
    <tableColumn id="3821" xr3:uid="{64A525FF-33CC-4489-9FCC-765ADC8F97C4}" name="Column3821"/>
    <tableColumn id="3822" xr3:uid="{E0E76B85-897D-475C-9111-CB5AD1ACF50B}" name="Column3822"/>
    <tableColumn id="3823" xr3:uid="{BE8BEC91-0F14-46F6-B16C-293CCABEE09D}" name="Column3823"/>
    <tableColumn id="3824" xr3:uid="{9AD2B039-45A6-4984-8921-0E4EF117C7BB}" name="Column3824"/>
    <tableColumn id="3825" xr3:uid="{CD22ADA5-1788-46EE-80CD-99CC6ADC5678}" name="Column3825"/>
    <tableColumn id="3826" xr3:uid="{E7D5B919-6F2B-4614-9967-8CD12EB2D5F3}" name="Column3826"/>
    <tableColumn id="3827" xr3:uid="{82C24AE3-8D18-4849-B4F5-FB7E4FDF5387}" name="Column3827"/>
    <tableColumn id="3828" xr3:uid="{C6E8A296-C624-48C4-AD37-08C3AD181689}" name="Column3828"/>
    <tableColumn id="3829" xr3:uid="{820B3AC6-3DB4-407F-94E8-2CCB5EC65034}" name="Column3829"/>
    <tableColumn id="3830" xr3:uid="{B8EFFDAE-79C0-4866-9A5A-541215B5AA52}" name="Column3830"/>
    <tableColumn id="3831" xr3:uid="{391FBDD1-65B8-4081-A5DA-83932A1805BD}" name="Column3831"/>
    <tableColumn id="3832" xr3:uid="{6E9272F4-476C-43B5-BFB9-45D8B085C99C}" name="Column3832"/>
    <tableColumn id="3833" xr3:uid="{CAFA942E-B760-4B47-AFE6-153F9E518050}" name="Column3833"/>
    <tableColumn id="3834" xr3:uid="{602568EF-592E-410D-AAC5-7C83A3A436E9}" name="Column3834"/>
    <tableColumn id="3835" xr3:uid="{D968BA5F-6CDB-4BEE-965A-AD823095FC78}" name="Column3835"/>
    <tableColumn id="3836" xr3:uid="{C673DCC6-DFE4-4857-A7EB-7A26BE88E6C7}" name="Column3836"/>
    <tableColumn id="3837" xr3:uid="{49878239-E284-4FC1-BC61-E05FE4B1964F}" name="Column3837"/>
    <tableColumn id="3838" xr3:uid="{D3EF5F42-4FC3-480D-8BBB-5A5D7A20E7D0}" name="Column3838"/>
    <tableColumn id="3839" xr3:uid="{CD57ABD5-2636-4389-8E58-01624D824225}" name="Column3839"/>
    <tableColumn id="3840" xr3:uid="{F9FF7523-4DA2-400D-BDF0-97D6F7929BF1}" name="Column3840"/>
    <tableColumn id="3841" xr3:uid="{D697C0EA-F033-4AD5-A1C5-0B9B48D555C8}" name="Column3841"/>
    <tableColumn id="3842" xr3:uid="{E93F3B2C-3A29-41B7-9540-53E9ACFE1198}" name="Column3842"/>
    <tableColumn id="3843" xr3:uid="{4C4DCFFC-75BB-440B-9144-430AB97D8A44}" name="Column3843"/>
    <tableColumn id="3844" xr3:uid="{0A6449A5-819B-4D4D-BE6E-3EFBF8AE3249}" name="Column3844"/>
    <tableColumn id="3845" xr3:uid="{71332D38-D56E-475B-B714-537B48092C70}" name="Column3845"/>
    <tableColumn id="3846" xr3:uid="{A5E10CD5-C7EC-4193-8C38-37D9ADCB8B1B}" name="Column3846"/>
    <tableColumn id="3847" xr3:uid="{31AF3497-2506-4C19-9818-84D28ABE9243}" name="Column3847"/>
    <tableColumn id="3848" xr3:uid="{9DE05569-B40D-44A6-AEBB-8EDF40A44CE1}" name="Column3848"/>
    <tableColumn id="3849" xr3:uid="{3ED003C8-4BC6-40E3-B1E6-65509CF16CDB}" name="Column3849"/>
    <tableColumn id="3850" xr3:uid="{621B014F-020C-423A-9320-DD2C0D390F8B}" name="Column3850"/>
    <tableColumn id="3851" xr3:uid="{201C1EB9-8801-47CE-9C1E-CC157275D48B}" name="Column3851"/>
    <tableColumn id="3852" xr3:uid="{86D7B0AB-C865-477D-B9EF-FDA75608A933}" name="Column3852"/>
    <tableColumn id="3853" xr3:uid="{ADAB0D46-0C58-476C-BEA9-741531DFA310}" name="Column3853"/>
    <tableColumn id="3854" xr3:uid="{94B64F2A-DA13-46D1-AAB5-7889D22872B2}" name="Column3854"/>
    <tableColumn id="3855" xr3:uid="{F1DC777F-D912-47AB-98AA-8EA9660A6A62}" name="Column3855"/>
    <tableColumn id="3856" xr3:uid="{8720CCAC-8534-40A2-BDA4-F3DB9426EAD3}" name="Column3856"/>
    <tableColumn id="3857" xr3:uid="{FC0BED3D-0DF1-4CC8-9528-C9F675665A9E}" name="Column3857"/>
    <tableColumn id="3858" xr3:uid="{DB640ADE-2D47-45E5-8787-23E44F9F95DF}" name="Column3858"/>
    <tableColumn id="3859" xr3:uid="{B704F22F-E7AE-4E96-B17D-6C5E004B57F6}" name="Column3859"/>
    <tableColumn id="3860" xr3:uid="{D8F0011A-9F5E-41C5-A199-744BBC78B9C8}" name="Column3860"/>
    <tableColumn id="3861" xr3:uid="{76EE3274-B9E7-4DD8-92E3-2C4948AFB4F0}" name="Column3861"/>
    <tableColumn id="3862" xr3:uid="{1C055FC6-5557-4185-88CF-236F894F9B66}" name="Column3862"/>
    <tableColumn id="3863" xr3:uid="{E5D7E017-C440-42FF-973B-1A266028A28A}" name="Column3863"/>
    <tableColumn id="3864" xr3:uid="{BAC50131-672C-4D80-A31C-2095B6EE32FB}" name="Column3864"/>
    <tableColumn id="3865" xr3:uid="{56F6F74A-F0E1-41A0-B56C-F535C4309A02}" name="Column3865"/>
    <tableColumn id="3866" xr3:uid="{B525DB0F-6375-4A47-9DB5-59D19D533FAB}" name="Column3866"/>
    <tableColumn id="3867" xr3:uid="{733203C2-7BA2-4F7D-A806-896B13EEC5E7}" name="Column3867"/>
    <tableColumn id="3868" xr3:uid="{11FE6D0C-45ED-4E66-A009-B76CA9A3548E}" name="Column3868"/>
    <tableColumn id="3869" xr3:uid="{0A406AC6-9DF1-47E0-99BA-3887864A4DF1}" name="Column3869"/>
    <tableColumn id="3870" xr3:uid="{BEDF3CAD-A17F-4860-8C1C-67BFE095B42F}" name="Column3870"/>
    <tableColumn id="3871" xr3:uid="{36C4F5A8-1D70-4F45-A926-42B7204FA852}" name="Column3871"/>
    <tableColumn id="3872" xr3:uid="{2A19E113-91D3-498C-BA1A-30DDA6E21E60}" name="Column3872"/>
    <tableColumn id="3873" xr3:uid="{9AD1CBE2-A4D0-42D8-BDF0-C8DFE7FAD2E5}" name="Column3873"/>
    <tableColumn id="3874" xr3:uid="{018C6F6F-712B-4BAB-B578-897C1F479D14}" name="Column3874"/>
    <tableColumn id="3875" xr3:uid="{59DC81E4-14A9-4563-9819-88F8C11E5E01}" name="Column3875"/>
    <tableColumn id="3876" xr3:uid="{407932AD-14A0-4D4E-949A-2618338B5D9A}" name="Column3876"/>
    <tableColumn id="3877" xr3:uid="{E19B70CB-9197-41F9-8525-0FA338D67389}" name="Column3877"/>
    <tableColumn id="3878" xr3:uid="{DAE8FA18-8832-40A4-8E14-8D8DC0F218A8}" name="Column3878"/>
    <tableColumn id="3879" xr3:uid="{744E55D5-9B97-4294-A11F-CB5394A43188}" name="Column3879"/>
    <tableColumn id="3880" xr3:uid="{D87A6BED-A59B-40B1-91CE-1C857506CF98}" name="Column3880"/>
    <tableColumn id="3881" xr3:uid="{B50F3E0F-F40C-4560-B7C8-A8F3ED511B20}" name="Column3881"/>
    <tableColumn id="3882" xr3:uid="{16659319-304A-43EE-B9F9-EF072D5356A0}" name="Column3882"/>
    <tableColumn id="3883" xr3:uid="{8988D815-7880-4763-BCB3-3B70786332ED}" name="Column3883"/>
    <tableColumn id="3884" xr3:uid="{5D69AA1A-F294-4B0F-8126-3513EC816D10}" name="Column3884"/>
    <tableColumn id="3885" xr3:uid="{2F066C27-F759-4FA2-A61B-387189764B22}" name="Column3885"/>
    <tableColumn id="3886" xr3:uid="{FF4AEFB4-09E0-4A28-B896-AFB8475A24E9}" name="Column3886"/>
    <tableColumn id="3887" xr3:uid="{F6BEEE32-E665-4A22-87CE-2F5EF8DB9D8E}" name="Column3887"/>
    <tableColumn id="3888" xr3:uid="{886E72B4-4892-49C5-B4B4-D5279DBFBC61}" name="Column3888"/>
    <tableColumn id="3889" xr3:uid="{0BB7957E-5CCD-43E8-8F21-48C15128696F}" name="Column3889"/>
    <tableColumn id="3890" xr3:uid="{D00CD77D-7842-4319-A67D-DC493252D546}" name="Column3890"/>
    <tableColumn id="3891" xr3:uid="{92E2F6C4-FB0D-450F-A4A8-18FAB561F0E2}" name="Column3891"/>
    <tableColumn id="3892" xr3:uid="{F53D277E-F23B-4E6D-B113-BEA779AFF3C7}" name="Column3892"/>
    <tableColumn id="3893" xr3:uid="{8A4259E5-72EB-4BF8-96D9-0A4387D39297}" name="Column3893"/>
    <tableColumn id="3894" xr3:uid="{53728DF6-8CC3-420C-80E2-9C0345EC8D36}" name="Column3894"/>
    <tableColumn id="3895" xr3:uid="{52723B84-0ABD-4FB2-B344-17EDF5FF61E2}" name="Column3895"/>
    <tableColumn id="3896" xr3:uid="{19B3EE43-7AF1-44B1-A919-71EA741E5FA0}" name="Column3896"/>
    <tableColumn id="3897" xr3:uid="{B33A3663-2E2C-4C77-BF37-6906C08B00D8}" name="Column3897"/>
    <tableColumn id="3898" xr3:uid="{B8F3966B-FD1A-4C6F-BFD4-4A8E8C2FBED2}" name="Column3898"/>
    <tableColumn id="3899" xr3:uid="{1284F4D3-5369-4105-B0B8-63CE649F37C5}" name="Column3899"/>
    <tableColumn id="3900" xr3:uid="{4E80E4D5-3795-4DA7-B45D-E38BCA4E0E6A}" name="Column3900"/>
    <tableColumn id="3901" xr3:uid="{4065B73C-CD08-483F-B573-CFB0B7D42D55}" name="Column3901"/>
    <tableColumn id="3902" xr3:uid="{299CE0D1-4942-4769-AFF6-C68BDC118812}" name="Column3902"/>
    <tableColumn id="3903" xr3:uid="{6E5CAA5C-6FFD-417B-AE34-D6733F1AE3ED}" name="Column3903"/>
    <tableColumn id="3904" xr3:uid="{408A5DC9-CF08-448C-8F7A-7C3A92401AD5}" name="Column3904"/>
    <tableColumn id="3905" xr3:uid="{36DD45D4-66D6-41CD-B6F3-3705EAB1E3AF}" name="Column3905"/>
    <tableColumn id="3906" xr3:uid="{D3DB3F7F-6D01-4463-A8EA-C8CDD60000A7}" name="Column3906"/>
    <tableColumn id="3907" xr3:uid="{1F1FC382-FB16-4132-90D0-B78E1B66BCCE}" name="Column3907"/>
    <tableColumn id="3908" xr3:uid="{86E20F2C-EF55-4065-B15F-7FF4E141481E}" name="Column3908"/>
    <tableColumn id="3909" xr3:uid="{D08CF6D7-436C-4F2E-A0E0-71F59F1A8912}" name="Column3909"/>
    <tableColumn id="3910" xr3:uid="{A223A383-57DE-4E1F-9F8E-C523793E21C9}" name="Column3910"/>
    <tableColumn id="3911" xr3:uid="{227F04E6-8BB9-441E-84B9-EF0359C810A2}" name="Column3911"/>
    <tableColumn id="3912" xr3:uid="{85BD6916-8E70-4E05-80BA-9E1EC26AA62D}" name="Column3912"/>
    <tableColumn id="3913" xr3:uid="{1DB1CCB7-377D-40A8-B579-12BFB2BC915D}" name="Column3913"/>
    <tableColumn id="3914" xr3:uid="{FB440EAA-736E-4FBC-A27F-20CF8D1006FB}" name="Column3914"/>
    <tableColumn id="3915" xr3:uid="{0645D536-7AF6-4742-8CCA-AEF24F070949}" name="Column3915"/>
    <tableColumn id="3916" xr3:uid="{BC64F804-550A-4D7A-B8F8-4F5952D387B3}" name="Column3916"/>
    <tableColumn id="3917" xr3:uid="{3A74B14F-72E0-4425-AFAC-8820DF5A6B1A}" name="Column3917"/>
    <tableColumn id="3918" xr3:uid="{13BB1D9C-00A3-4AD0-A1EC-657B97614B87}" name="Column3918"/>
    <tableColumn id="3919" xr3:uid="{F7B5376E-F29B-4B4B-87BF-C35B312C0EA7}" name="Column3919"/>
    <tableColumn id="3920" xr3:uid="{782E5521-C0C7-4B9D-A39E-1D08BB29DC16}" name="Column3920"/>
    <tableColumn id="3921" xr3:uid="{6785555E-B26E-4410-A9C9-2FDB4D4BAE74}" name="Column3921"/>
    <tableColumn id="3922" xr3:uid="{B815ACC5-7EFA-4E8D-93C1-61C1127536CD}" name="Column3922"/>
    <tableColumn id="3923" xr3:uid="{C16BF5F1-8BAB-49C2-8F36-A60B995F98A3}" name="Column3923"/>
    <tableColumn id="3924" xr3:uid="{97CFECC3-0E80-4A05-902D-D84CDFEE2BAC}" name="Column3924"/>
    <tableColumn id="3925" xr3:uid="{97030909-80E6-403D-BB88-FBE8DB032F71}" name="Column3925"/>
    <tableColumn id="3926" xr3:uid="{B0FBB568-404C-45F6-B947-EC982222A56D}" name="Column3926"/>
    <tableColumn id="3927" xr3:uid="{5B152408-6014-4E59-9F80-148320A7F76E}" name="Column3927"/>
    <tableColumn id="3928" xr3:uid="{EC8D5BAF-1BDA-4D3C-8020-6005D6A71140}" name="Column3928"/>
    <tableColumn id="3929" xr3:uid="{33B28555-CFE9-48F5-BE5A-5688C40A207D}" name="Column3929"/>
    <tableColumn id="3930" xr3:uid="{C4BEC2EE-2B79-412A-AD37-FE4B5D4C7F23}" name="Column3930"/>
    <tableColumn id="3931" xr3:uid="{0C172431-AE87-4F39-9262-A5A86F429D97}" name="Column3931"/>
    <tableColumn id="3932" xr3:uid="{6A8F148E-D840-4F09-9CC5-33CA65370815}" name="Column3932"/>
    <tableColumn id="3933" xr3:uid="{325F154A-23C0-4855-A0B7-FBC82593D0DD}" name="Column3933"/>
    <tableColumn id="3934" xr3:uid="{CF3A16A5-78AF-4DD4-A8CF-88C024BA726D}" name="Column3934"/>
    <tableColumn id="3935" xr3:uid="{E09A76E2-1B24-4385-AB45-CBDFD46060BD}" name="Column3935"/>
    <tableColumn id="3936" xr3:uid="{D4D82875-EB0C-40EA-850D-C3F9809B9F5B}" name="Column3936"/>
    <tableColumn id="3937" xr3:uid="{24D1BFBD-95AF-44E2-AD90-98F36150E4B2}" name="Column3937"/>
    <tableColumn id="3938" xr3:uid="{74A6EE00-4314-4B3D-84A7-CF520F64AD5A}" name="Column3938"/>
    <tableColumn id="3939" xr3:uid="{A6FE7B1A-8800-4BA8-98E0-EFC5299255D9}" name="Column3939"/>
    <tableColumn id="3940" xr3:uid="{C6280C7D-77A6-41B0-BF5B-22805F59258E}" name="Column3940"/>
    <tableColumn id="3941" xr3:uid="{EE2F95D9-F4EB-419F-BC4F-132D9F07360C}" name="Column3941"/>
    <tableColumn id="3942" xr3:uid="{37EE056E-4DBB-43CE-835F-3B0C1178B86C}" name="Column3942"/>
    <tableColumn id="3943" xr3:uid="{86F19690-6365-4580-8CCA-183A6C5D6B64}" name="Column3943"/>
    <tableColumn id="3944" xr3:uid="{2C914BB4-7DE7-40A3-82E8-9661AE3891C4}" name="Column3944"/>
    <tableColumn id="3945" xr3:uid="{8BA949AA-DC94-4A2C-A8DE-34CC4A67EB13}" name="Column3945"/>
    <tableColumn id="3946" xr3:uid="{79F45896-1B30-4C38-A49F-FAC5BD95A61A}" name="Column3946"/>
    <tableColumn id="3947" xr3:uid="{38169C7C-B4B2-488D-9C43-413251D1AFE2}" name="Column3947"/>
    <tableColumn id="3948" xr3:uid="{DFF77A1D-9CAF-4E68-B7C6-D67A7B33B808}" name="Column3948"/>
    <tableColumn id="3949" xr3:uid="{9393C2F2-45DE-4B84-9C66-B78251C5D33D}" name="Column3949"/>
    <tableColumn id="3950" xr3:uid="{908B936C-8AFC-4170-9196-157FD0574CEA}" name="Column3950"/>
    <tableColumn id="3951" xr3:uid="{2D4FFA04-C07F-4FCD-87BD-8530C1B84F07}" name="Column3951"/>
    <tableColumn id="3952" xr3:uid="{99803650-F4CE-49E8-80E4-A627DFAA1110}" name="Column3952"/>
    <tableColumn id="3953" xr3:uid="{9054874C-D264-4DB7-A2DB-96A99A938A40}" name="Column3953"/>
    <tableColumn id="3954" xr3:uid="{497525C1-2EDD-41AC-B879-E14C9F55F3C3}" name="Column3954"/>
    <tableColumn id="3955" xr3:uid="{0568DDA3-120A-4E0E-9C63-452A91986423}" name="Column3955"/>
    <tableColumn id="3956" xr3:uid="{9016D871-5DF6-429A-9DE2-3CFB0164845D}" name="Column3956"/>
    <tableColumn id="3957" xr3:uid="{EEC57A13-D9FA-4151-B7EB-243E211CD32E}" name="Column3957"/>
    <tableColumn id="3958" xr3:uid="{49BC54F3-DAD6-464A-A312-C0BD2E36094C}" name="Column3958"/>
    <tableColumn id="3959" xr3:uid="{588B802B-84DF-472A-84AB-7E1564C5AFA6}" name="Column3959"/>
    <tableColumn id="3960" xr3:uid="{D8144DF2-182F-4A38-B453-55E4510957F8}" name="Column3960"/>
    <tableColumn id="3961" xr3:uid="{746AFF16-2AB2-41FE-A816-728FB8365969}" name="Column3961"/>
    <tableColumn id="3962" xr3:uid="{E589B8BF-63E2-4DD6-B66E-FCC3C683A85D}" name="Column3962"/>
    <tableColumn id="3963" xr3:uid="{146E0798-D2EC-4DD8-926E-DA52E747B1A2}" name="Column3963"/>
    <tableColumn id="3964" xr3:uid="{55B0F662-C10E-4C79-91D3-2DFCC1A62A60}" name="Column3964"/>
    <tableColumn id="3965" xr3:uid="{82D5B415-B7C0-4E55-90BA-BAB02C016314}" name="Column3965"/>
    <tableColumn id="3966" xr3:uid="{32FD441E-94C4-4E53-95E3-A5CE0F948A81}" name="Column3966"/>
    <tableColumn id="3967" xr3:uid="{4AA27BC8-73A2-432C-AD30-DB35CA30DC8D}" name="Column3967"/>
    <tableColumn id="3968" xr3:uid="{B59531DD-8EE5-437F-955A-D5EB72DEF6AB}" name="Column3968"/>
    <tableColumn id="3969" xr3:uid="{6F127B9F-DBF1-4B5C-A4D1-C57E8074599B}" name="Column3969"/>
    <tableColumn id="3970" xr3:uid="{FA9E1522-E199-4BE8-BBD8-18D557021FD1}" name="Column3970"/>
    <tableColumn id="3971" xr3:uid="{6B49D3CF-46B2-4A03-928E-A50856652B1A}" name="Column3971"/>
    <tableColumn id="3972" xr3:uid="{7FCAE34D-5F1F-461C-9B83-787C537BD205}" name="Column3972"/>
    <tableColumn id="3973" xr3:uid="{9785D2BC-5284-4A44-B807-D76A89D5F35C}" name="Column3973"/>
    <tableColumn id="3974" xr3:uid="{31DCCFE4-AA02-4344-B8E6-62AF80338951}" name="Column3974"/>
    <tableColumn id="3975" xr3:uid="{F4B99DC8-1B43-4629-A44E-367208A96358}" name="Column3975"/>
    <tableColumn id="3976" xr3:uid="{17B61657-C108-4FD1-81BF-3418CA516A49}" name="Column3976"/>
    <tableColumn id="3977" xr3:uid="{3F09E90F-871F-41F4-AF10-92C246F58A63}" name="Column3977"/>
    <tableColumn id="3978" xr3:uid="{9D3B0E8E-29A5-4A84-A441-DDF4EF4C4B14}" name="Column3978"/>
    <tableColumn id="3979" xr3:uid="{407B57BC-4BAA-491A-9806-0787295982DD}" name="Column3979"/>
    <tableColumn id="3980" xr3:uid="{7F1066A7-EEA7-4A02-AFA0-21A1CC388C71}" name="Column3980"/>
    <tableColumn id="3981" xr3:uid="{74026461-E295-463C-8197-B35ADECB53FD}" name="Column3981"/>
    <tableColumn id="3982" xr3:uid="{6EA59444-E791-486D-8E53-1CBF46A0FE9E}" name="Column3982"/>
    <tableColumn id="3983" xr3:uid="{C64322A3-D121-4E30-BEF1-9F3C3EC2820E}" name="Column3983"/>
    <tableColumn id="3984" xr3:uid="{96D36083-8BAE-4D51-90BF-DCE975AF889D}" name="Column3984"/>
    <tableColumn id="3985" xr3:uid="{DA11BC7B-B052-47B0-ACB3-2737CCF11B55}" name="Column3985"/>
    <tableColumn id="3986" xr3:uid="{04F35469-4188-42FB-BB5D-00E3BBC0B1E1}" name="Column3986"/>
    <tableColumn id="3987" xr3:uid="{7E38BAAF-2D39-413D-8265-C5265883F013}" name="Column3987"/>
    <tableColumn id="3988" xr3:uid="{B1FCF739-D92A-496B-B649-73B1F3BFEAEA}" name="Column3988"/>
    <tableColumn id="3989" xr3:uid="{E49522A8-452D-49BA-8A60-95FF3CAD93B4}" name="Column3989"/>
    <tableColumn id="3990" xr3:uid="{288BD36C-4E0A-4FB9-9207-A675A12D180D}" name="Column3990"/>
    <tableColumn id="3991" xr3:uid="{216B14E1-B263-4FE1-9C11-782610B4C114}" name="Column3991"/>
    <tableColumn id="3992" xr3:uid="{49602BA1-AC33-411F-816C-96533FB301F7}" name="Column3992"/>
    <tableColumn id="3993" xr3:uid="{A2A16C68-206F-47F0-B80D-DA2BCCB3C033}" name="Column3993"/>
    <tableColumn id="3994" xr3:uid="{45315F92-CEC1-4DBB-860C-062228D37231}" name="Column3994"/>
    <tableColumn id="3995" xr3:uid="{0770AF84-C0F1-4A58-ADE4-C036D09D6A34}" name="Column3995"/>
    <tableColumn id="3996" xr3:uid="{887F62E8-08C8-4F5D-BA2D-BC6B4C373C95}" name="Column3996"/>
    <tableColumn id="3997" xr3:uid="{97CACEFF-F1CC-4B3D-B6CB-498CEFC11C73}" name="Column3997"/>
    <tableColumn id="3998" xr3:uid="{E8BC06B5-6AEC-4C63-9715-CC834B1C1718}" name="Column3998"/>
    <tableColumn id="3999" xr3:uid="{3ED2727E-65DF-42EC-8AE9-FDD3A54238EB}" name="Column3999"/>
    <tableColumn id="4000" xr3:uid="{DEF1C02C-957F-4933-8FF9-0AC051E247CE}" name="Column4000"/>
    <tableColumn id="4001" xr3:uid="{F438C642-18DE-478E-B132-52502F6CDEE8}" name="Column4001"/>
    <tableColumn id="4002" xr3:uid="{636FC5EA-89D3-49E4-81C3-13D79E5B82D9}" name="Column4002"/>
    <tableColumn id="4003" xr3:uid="{359ABC1A-8499-4060-AE24-03A6E42A59D8}" name="Column4003"/>
    <tableColumn id="4004" xr3:uid="{CE5CB0C1-7151-4B9D-A50C-4126A438293B}" name="Column4004"/>
    <tableColumn id="4005" xr3:uid="{57364BCB-71FC-42A7-B569-A682B6737C18}" name="Column4005"/>
    <tableColumn id="4006" xr3:uid="{F53926AB-BE4C-47F4-B691-6AD9F20FD7D9}" name="Column4006"/>
    <tableColumn id="4007" xr3:uid="{DD52B736-9255-435B-A925-CBD7C23ED779}" name="Column4007"/>
    <tableColumn id="4008" xr3:uid="{711661B0-9145-4FE9-B83C-7B5A37FCF1CD}" name="Column4008"/>
    <tableColumn id="4009" xr3:uid="{6581283B-BD5B-4313-9929-5D2593ED1C4E}" name="Column4009"/>
    <tableColumn id="4010" xr3:uid="{22645875-22EC-4478-A934-33691E9AFAC5}" name="Column4010"/>
    <tableColumn id="4011" xr3:uid="{4C376BCA-BE87-4BA7-9206-C1E7D6E7B0B6}" name="Column4011"/>
    <tableColumn id="4012" xr3:uid="{5193B659-E4C9-4E53-995E-EE2F8DB4517F}" name="Column4012"/>
    <tableColumn id="4013" xr3:uid="{8C312933-3685-4156-AC36-46F0885A8FB0}" name="Column4013"/>
    <tableColumn id="4014" xr3:uid="{484F4E11-107A-484D-BB34-8081EF2682B6}" name="Column4014"/>
    <tableColumn id="4015" xr3:uid="{6834E74C-9917-4BC9-BF6B-8C5C3ED4640A}" name="Column4015"/>
    <tableColumn id="4016" xr3:uid="{40B6211E-F6C3-463B-894E-16926785AC6F}" name="Column4016"/>
    <tableColumn id="4017" xr3:uid="{B2539EFE-A700-450F-A026-2C6762C139A3}" name="Column4017"/>
    <tableColumn id="4018" xr3:uid="{5D358FA0-6CC2-4A95-973F-4AD4027B643F}" name="Column4018"/>
    <tableColumn id="4019" xr3:uid="{9A930571-DD5E-4A15-A8E0-F6F347B31794}" name="Column4019"/>
    <tableColumn id="4020" xr3:uid="{FABF2898-731F-4EB8-B160-A9A71DE1E60E}" name="Column4020"/>
    <tableColumn id="4021" xr3:uid="{75DBFBD2-D1B1-4E1C-A984-01206BF18E5F}" name="Column4021"/>
    <tableColumn id="4022" xr3:uid="{25850F0D-2339-4753-B3C9-6D7323F68D27}" name="Column4022"/>
    <tableColumn id="4023" xr3:uid="{6FC47709-5A74-43CA-A17B-8F067A5E0CA7}" name="Column4023"/>
    <tableColumn id="4024" xr3:uid="{FA2FFF13-3117-4E42-9DB9-D4127E47C179}" name="Column4024"/>
    <tableColumn id="4025" xr3:uid="{EA3646E7-E9BB-41C4-825D-5B70154724C4}" name="Column4025"/>
    <tableColumn id="4026" xr3:uid="{DEC6E4F5-3E73-4899-AD2B-2254AECC950A}" name="Column4026"/>
    <tableColumn id="4027" xr3:uid="{B7BAC66C-0EC3-4B55-A7D3-1B9842E37778}" name="Column4027"/>
    <tableColumn id="4028" xr3:uid="{B10D021E-19A4-434C-892E-01ED8D6738D1}" name="Column4028"/>
    <tableColumn id="4029" xr3:uid="{F544EC2C-77F6-4598-9E3B-4C9E48BFFE4E}" name="Column4029"/>
    <tableColumn id="4030" xr3:uid="{811D4D96-F9EE-4191-AD7B-4FCE07D7D5F3}" name="Column4030"/>
    <tableColumn id="4031" xr3:uid="{0C4997A2-6690-4D44-A215-B93E09857C70}" name="Column4031"/>
    <tableColumn id="4032" xr3:uid="{35B05284-CA7F-4C90-AABF-38DF1CF8D984}" name="Column4032"/>
    <tableColumn id="4033" xr3:uid="{773953B3-0304-4AAD-8522-BA0B4947CBE4}" name="Column4033"/>
    <tableColumn id="4034" xr3:uid="{B60F14DB-3859-44D3-AA1E-624A1AB306D8}" name="Column4034"/>
    <tableColumn id="4035" xr3:uid="{2494FD2F-5322-47CC-9607-ADD8EA34DA2F}" name="Column4035"/>
    <tableColumn id="4036" xr3:uid="{70BFC94D-FC70-43EB-9D27-8DB90BE2204A}" name="Column4036"/>
    <tableColumn id="4037" xr3:uid="{483D3821-240F-4898-AB2F-75852636094C}" name="Column4037"/>
    <tableColumn id="4038" xr3:uid="{F370123E-19A2-4771-B563-0A7A5A099B6E}" name="Column4038"/>
    <tableColumn id="4039" xr3:uid="{7B651D36-1438-44C4-B4D9-D70F7B565A35}" name="Column4039"/>
    <tableColumn id="4040" xr3:uid="{479D1920-4883-4785-B89B-F8020113DD7F}" name="Column4040"/>
    <tableColumn id="4041" xr3:uid="{288A27E6-5239-44C3-BCBF-1911D5222916}" name="Column4041"/>
    <tableColumn id="4042" xr3:uid="{B593C087-FB57-416A-836F-E138BBF94745}" name="Column4042"/>
    <tableColumn id="4043" xr3:uid="{748A7752-874E-431F-907A-3B56BC8647E4}" name="Column4043"/>
    <tableColumn id="4044" xr3:uid="{91AC80CB-298F-45AB-A6EE-9EE2686648BD}" name="Column4044"/>
    <tableColumn id="4045" xr3:uid="{9544CBD9-4DB1-4935-AE8D-786E8FE416CF}" name="Column4045"/>
    <tableColumn id="4046" xr3:uid="{86980447-88AC-4CEC-B0A1-D6FAB8FD5213}" name="Column4046"/>
    <tableColumn id="4047" xr3:uid="{02288539-F702-4048-A821-9F323B2071A6}" name="Column4047"/>
    <tableColumn id="4048" xr3:uid="{F2C08E85-4032-4C14-BA17-8CC744A1EAA2}" name="Column4048"/>
    <tableColumn id="4049" xr3:uid="{A3AB827B-0894-4D9D-910A-44C74FC30582}" name="Column4049"/>
    <tableColumn id="4050" xr3:uid="{C253B774-7A91-4EBF-9ABE-FE8227902C7D}" name="Column4050"/>
    <tableColumn id="4051" xr3:uid="{A7BB344A-B393-49FB-9C41-7BFF4135E80C}" name="Column4051"/>
    <tableColumn id="4052" xr3:uid="{F46AE622-8F1D-418D-A933-BB80E18B67A5}" name="Column4052"/>
    <tableColumn id="4053" xr3:uid="{5520BAAD-0F48-4509-A32C-6429B0CED1C6}" name="Column4053"/>
    <tableColumn id="4054" xr3:uid="{3292ADD5-5DDA-4D2F-809F-57EC05AC6A03}" name="Column4054"/>
    <tableColumn id="4055" xr3:uid="{DAAC48B9-BC32-4122-8476-9DAF6D51DAD5}" name="Column4055"/>
    <tableColumn id="4056" xr3:uid="{A2C40DEF-8AE5-4BE2-A702-DE7EA1ABEDA5}" name="Column4056"/>
    <tableColumn id="4057" xr3:uid="{2DFC06BD-C6D0-4538-A63B-6D6E088240BB}" name="Column4057"/>
    <tableColumn id="4058" xr3:uid="{E21FA569-BA9E-47CE-955E-A226E1B72AC1}" name="Column4058"/>
    <tableColumn id="4059" xr3:uid="{16A8905C-0C05-4BB4-BD2D-C1BC08680288}" name="Column4059"/>
    <tableColumn id="4060" xr3:uid="{4E182987-58AE-4E00-9466-488150FC0552}" name="Column4060"/>
    <tableColumn id="4061" xr3:uid="{BA726E83-3B2C-4F66-B681-C301042FE7D5}" name="Column4061"/>
    <tableColumn id="4062" xr3:uid="{D810D0BC-9C1A-499B-BC7E-DEBEF9543C79}" name="Column4062"/>
    <tableColumn id="4063" xr3:uid="{5A7D27A1-34B9-4F35-9DAE-4781F516F9F8}" name="Column4063"/>
    <tableColumn id="4064" xr3:uid="{5E9919FA-2A4E-497E-9AA9-94161D87BFC1}" name="Column4064"/>
    <tableColumn id="4065" xr3:uid="{F437D190-0A5F-4151-865B-DAADB0ADAEC2}" name="Column4065"/>
    <tableColumn id="4066" xr3:uid="{A42E7EA4-6809-4482-B3A4-B6C699600C21}" name="Column4066"/>
    <tableColumn id="4067" xr3:uid="{45677CB3-0946-4AD5-8152-7D5299885415}" name="Column4067"/>
    <tableColumn id="4068" xr3:uid="{7C4CF940-CE28-461A-8626-F3B60FC98B20}" name="Column4068"/>
    <tableColumn id="4069" xr3:uid="{F5388BE3-D5A8-4D32-829C-48241741B87C}" name="Column4069"/>
    <tableColumn id="4070" xr3:uid="{347BF710-24B3-43F4-81D9-411A5EED7B2A}" name="Column4070"/>
    <tableColumn id="4071" xr3:uid="{A4962ACD-1C64-4753-88C6-C7CDFB0DB618}" name="Column4071"/>
    <tableColumn id="4072" xr3:uid="{3D86AED2-8F06-43C7-B3DA-E34C87C2D161}" name="Column4072"/>
    <tableColumn id="4073" xr3:uid="{C21B0912-0037-41E8-AFE4-0DFE658E8335}" name="Column4073"/>
    <tableColumn id="4074" xr3:uid="{FEF9B5F3-ACB3-4CCF-A074-A8F52D07BFD8}" name="Column4074"/>
    <tableColumn id="4075" xr3:uid="{08F9EE50-015B-4BCA-A6F5-858EABD2F1F5}" name="Column4075"/>
    <tableColumn id="4076" xr3:uid="{E87917A0-03A4-4C94-AC35-47BE8C9EDB22}" name="Column4076"/>
    <tableColumn id="4077" xr3:uid="{64FE5647-A031-4565-9B66-DFEA256036B0}" name="Column4077"/>
    <tableColumn id="4078" xr3:uid="{CADC23A9-C87A-45E4-B102-5DEFA453A355}" name="Column4078"/>
    <tableColumn id="4079" xr3:uid="{08AA1A70-DFB1-4E5A-94A0-DEF61C729F06}" name="Column4079"/>
    <tableColumn id="4080" xr3:uid="{FB4A0D32-8F27-4E09-9A8A-DBAC99009C4E}" name="Column4080"/>
    <tableColumn id="4081" xr3:uid="{85FCA0A8-26D8-4F0D-9F33-B295BF51E941}" name="Column4081"/>
    <tableColumn id="4082" xr3:uid="{DA1A6970-67C6-48CB-A403-B2FB5FA75DF4}" name="Column4082"/>
    <tableColumn id="4083" xr3:uid="{AA5CA918-4F2C-47D4-B606-F9C0BEDE2175}" name="Column4083"/>
    <tableColumn id="4084" xr3:uid="{64D0CEEC-395F-49A1-802B-FC7CD59167D9}" name="Column4084"/>
    <tableColumn id="4085" xr3:uid="{6E83697A-B60A-4BF7-A0E2-0DD08DF18498}" name="Column4085"/>
    <tableColumn id="4086" xr3:uid="{475D7BE4-2B28-4CE1-8B3D-534E99B84EBF}" name="Column4086"/>
    <tableColumn id="4087" xr3:uid="{F16BEAF7-AA64-4E7A-95B1-E314E81C86ED}" name="Column4087"/>
    <tableColumn id="4088" xr3:uid="{02BE430C-6B30-4C54-A2CC-4325ABD7DA50}" name="Column4088"/>
    <tableColumn id="4089" xr3:uid="{A3F69E36-C80B-441C-90CE-10F8054971E0}" name="Column4089"/>
    <tableColumn id="4090" xr3:uid="{4F9052C3-1590-486F-8B02-939CC60CAC05}" name="Column4090"/>
    <tableColumn id="4091" xr3:uid="{482449D1-D965-47E7-BE1E-0076BE3A94B8}" name="Column4091"/>
    <tableColumn id="4092" xr3:uid="{3F496FC1-F105-4462-ACF7-716ABE882CE6}" name="Column4092"/>
    <tableColumn id="4093" xr3:uid="{809C24DA-086D-4A1A-8BDF-FAFB47E03D60}" name="Column4093"/>
    <tableColumn id="4094" xr3:uid="{93BED55E-FD99-481B-BB62-8FC3A6D633D3}" name="Column4094"/>
    <tableColumn id="4095" xr3:uid="{54059B3A-3517-4766-8CD3-8A27B8C0BB3C}" name="Column4095"/>
    <tableColumn id="4096" xr3:uid="{6085EB76-58CD-47C2-9CAD-BD12AE4CDAE6}" name="Column4096"/>
    <tableColumn id="4097" xr3:uid="{3F21CBE8-29D5-43E6-8C53-F19D06AFC55B}" name="Column4097"/>
    <tableColumn id="4098" xr3:uid="{99424632-64FA-4924-8405-563B268CFD0F}" name="Column4098"/>
    <tableColumn id="4099" xr3:uid="{9F875D7C-DDC7-45F9-996C-EAB47EF1170C}" name="Column4099"/>
    <tableColumn id="4100" xr3:uid="{46D94298-B6D4-42E5-B87B-1DC5D06259E4}" name="Column4100"/>
    <tableColumn id="4101" xr3:uid="{51C25B30-3FC5-4893-9356-23A72E48B7FA}" name="Column4101"/>
    <tableColumn id="4102" xr3:uid="{C6D58CA4-5651-4697-B993-21476BF5D0E3}" name="Column4102"/>
    <tableColumn id="4103" xr3:uid="{69EFFC4A-3181-4022-8C0E-CF14988DA918}" name="Column4103"/>
    <tableColumn id="4104" xr3:uid="{760C38B6-61A2-4ADC-8CD3-D09F06925541}" name="Column4104"/>
    <tableColumn id="4105" xr3:uid="{6470B599-A308-4A60-AA68-7C065A8B545F}" name="Column4105"/>
    <tableColumn id="4106" xr3:uid="{7EEF4DCC-70AA-4D44-A022-0FF9F7099F67}" name="Column4106"/>
    <tableColumn id="4107" xr3:uid="{F8435464-DF40-4D18-964A-201E58B4B14E}" name="Column4107"/>
    <tableColumn id="4108" xr3:uid="{E0C8B15D-C067-4AD3-B90A-E6DBC499FE11}" name="Column4108"/>
    <tableColumn id="4109" xr3:uid="{CA242FF3-30DF-4AC8-952E-A79423148DAA}" name="Column4109"/>
    <tableColumn id="4110" xr3:uid="{80E91751-647D-407B-8A53-A4F4C29A8DC6}" name="Column4110"/>
    <tableColumn id="4111" xr3:uid="{95735C8C-D33E-4B27-8432-BD69CFB3073E}" name="Column4111"/>
    <tableColumn id="4112" xr3:uid="{54125138-7DBE-4178-B587-8087D92D0F16}" name="Column4112"/>
    <tableColumn id="4113" xr3:uid="{2773704A-E20B-4DAB-B07A-8BC256EDF028}" name="Column4113"/>
    <tableColumn id="4114" xr3:uid="{ACAA46A9-4A09-497E-9CC9-AF6DB750AF06}" name="Column4114"/>
    <tableColumn id="4115" xr3:uid="{9E919138-8EA4-4066-B2EF-BB199714A9BF}" name="Column4115"/>
    <tableColumn id="4116" xr3:uid="{3311E167-313E-4B96-9F70-9887C415A0E5}" name="Column4116"/>
    <tableColumn id="4117" xr3:uid="{87746D68-32F0-4F76-8FFF-6B5B05886FE6}" name="Column4117"/>
    <tableColumn id="4118" xr3:uid="{6862C1BB-3B84-4BB9-95F1-5038C7C618F8}" name="Column4118"/>
    <tableColumn id="4119" xr3:uid="{DBE61546-CA1B-49A1-8423-450222E4636D}" name="Column4119"/>
    <tableColumn id="4120" xr3:uid="{D4F7D9B4-4E3B-44BA-993F-5CFBBE201045}" name="Column4120"/>
    <tableColumn id="4121" xr3:uid="{C7E3B8B9-C00D-47D7-AD5C-D81A79920E0D}" name="Column4121"/>
    <tableColumn id="4122" xr3:uid="{A45C9540-6561-4876-BAF9-79ED29872ECD}" name="Column4122"/>
    <tableColumn id="4123" xr3:uid="{020D0F41-63D2-483F-BB3B-CD307D4F5504}" name="Column4123"/>
    <tableColumn id="4124" xr3:uid="{189722D3-F4EE-4011-8D46-9BC798C73EEA}" name="Column4124"/>
    <tableColumn id="4125" xr3:uid="{951C0759-E8EB-4061-92B2-194B8B6540AE}" name="Column4125"/>
    <tableColumn id="4126" xr3:uid="{5A1E9539-853E-4BA0-8564-941DC388E3DC}" name="Column4126"/>
    <tableColumn id="4127" xr3:uid="{A9A62AFF-4518-45A1-9D86-700DBE9EA414}" name="Column4127"/>
    <tableColumn id="4128" xr3:uid="{7EBE4AC1-D861-411C-8BA2-F0EAF7F278F1}" name="Column4128"/>
    <tableColumn id="4129" xr3:uid="{59434031-1CCE-44ED-AC5C-FDF7AD5FEAFD}" name="Column4129"/>
    <tableColumn id="4130" xr3:uid="{5AEC222A-556E-4600-8BAD-CFEE8684FE73}" name="Column4130"/>
    <tableColumn id="4131" xr3:uid="{B62D9E9A-B341-433B-9230-D6B621273D6D}" name="Column4131"/>
    <tableColumn id="4132" xr3:uid="{68929899-6632-4A1D-899E-7CFA30B7A171}" name="Column4132"/>
    <tableColumn id="4133" xr3:uid="{118D57C7-51A3-4794-81E1-15DCCDAADC9F}" name="Column4133"/>
    <tableColumn id="4134" xr3:uid="{3AA741FA-DE66-4199-8FCB-ACA24DBD4A3C}" name="Column4134"/>
    <tableColumn id="4135" xr3:uid="{40780BA0-C232-442C-9991-0CC4AF8476F4}" name="Column4135"/>
    <tableColumn id="4136" xr3:uid="{1567D748-A394-4902-A46F-177AF1EF6606}" name="Column4136"/>
    <tableColumn id="4137" xr3:uid="{DE3B7D7E-6A56-4D53-8F5F-D9213DA106C8}" name="Column4137"/>
    <tableColumn id="4138" xr3:uid="{913112FE-6D0F-4450-8CBA-2358BA96EE49}" name="Column4138"/>
    <tableColumn id="4139" xr3:uid="{3DDB1853-AD8B-4DCB-874A-9407FBC86235}" name="Column4139"/>
    <tableColumn id="4140" xr3:uid="{701404A4-742E-4695-BA0A-412C4B7A493F}" name="Column4140"/>
    <tableColumn id="4141" xr3:uid="{70F19F4B-F061-439C-8F9C-EE98EBF949FF}" name="Column4141"/>
    <tableColumn id="4142" xr3:uid="{BDFD9A05-8A86-4653-91AD-0485C20570CF}" name="Column4142"/>
    <tableColumn id="4143" xr3:uid="{A1F4C1DA-DC3A-40E8-A9AF-3ACE7F1640BA}" name="Column4143"/>
    <tableColumn id="4144" xr3:uid="{48202DA3-B163-45CF-AD67-FA944C09F606}" name="Column4144"/>
    <tableColumn id="4145" xr3:uid="{9D8AD41E-B6F0-4F12-B50E-90553C19C629}" name="Column4145"/>
    <tableColumn id="4146" xr3:uid="{82A70D6F-BE4E-4780-A7A8-54837125852E}" name="Column4146"/>
    <tableColumn id="4147" xr3:uid="{C221EB1D-C030-449C-9F37-58225B94A60F}" name="Column4147"/>
    <tableColumn id="4148" xr3:uid="{29F03F6C-8B8C-4F01-8229-35E65FAC6A0D}" name="Column4148"/>
    <tableColumn id="4149" xr3:uid="{3F2F0F26-9282-4660-ABA0-F5CAF0D6DC37}" name="Column4149"/>
    <tableColumn id="4150" xr3:uid="{9BEAC33B-2EE2-406B-99B7-15472AEB3FAF}" name="Column4150"/>
    <tableColumn id="4151" xr3:uid="{C002A3BB-7CA5-4D65-8E64-441F6920DEF6}" name="Column4151"/>
    <tableColumn id="4152" xr3:uid="{CE475808-0142-4B55-9983-3F21AB674044}" name="Column4152"/>
    <tableColumn id="4153" xr3:uid="{78B24F4B-01F4-4D7E-B75F-91981EC6F7DB}" name="Column4153"/>
    <tableColumn id="4154" xr3:uid="{5C9E7B08-2A43-4CA7-8133-958312345CFA}" name="Column4154"/>
    <tableColumn id="4155" xr3:uid="{6DFA8E02-476F-4A9F-91BC-ECB5D0743D31}" name="Column4155"/>
    <tableColumn id="4156" xr3:uid="{090BA357-DC89-482B-8149-044288464842}" name="Column4156"/>
    <tableColumn id="4157" xr3:uid="{DC967672-5DE3-4A1D-AF4B-CB517964D425}" name="Column4157"/>
    <tableColumn id="4158" xr3:uid="{E73BD6DE-DC55-4EF7-8B90-96100EF8908B}" name="Column4158"/>
    <tableColumn id="4159" xr3:uid="{CEBAA94D-980E-4862-8BFA-58DC7B958068}" name="Column4159"/>
    <tableColumn id="4160" xr3:uid="{E6669C35-C78C-4737-95D5-8F63FFB9086B}" name="Column4160"/>
    <tableColumn id="4161" xr3:uid="{F0AD3B18-6AA3-4905-B2ED-F812AE794AF3}" name="Column4161"/>
    <tableColumn id="4162" xr3:uid="{EA13CEAB-C0BD-4090-8A9D-CDF7564D103D}" name="Column4162"/>
    <tableColumn id="4163" xr3:uid="{89DF625E-F36A-4989-9BF9-F323D05C8A04}" name="Column4163"/>
    <tableColumn id="4164" xr3:uid="{CA0753A6-09F5-4B9E-B70A-2207029E45C2}" name="Column4164"/>
    <tableColumn id="4165" xr3:uid="{D7C53542-7C1E-427F-92E3-36D9BB0D1D8B}" name="Column4165"/>
    <tableColumn id="4166" xr3:uid="{2F77459D-606E-46DC-9F09-731D334365A8}" name="Column4166"/>
    <tableColumn id="4167" xr3:uid="{4973208E-6BBF-4940-AE76-62DA24F7DC58}" name="Column4167"/>
    <tableColumn id="4168" xr3:uid="{3377235C-11FB-49F0-ADFB-6A7CC27B0304}" name="Column4168"/>
    <tableColumn id="4169" xr3:uid="{6693B510-55F8-466F-B7F9-F16C65306F76}" name="Column4169"/>
    <tableColumn id="4170" xr3:uid="{5E86B878-5A48-4B7E-AAAF-9C3F3E8F1907}" name="Column4170"/>
    <tableColumn id="4171" xr3:uid="{D590E64A-0682-4BE9-A374-FF9EB7165E55}" name="Column4171"/>
    <tableColumn id="4172" xr3:uid="{7B20526D-7979-4BEE-992F-D59734957D36}" name="Column4172"/>
    <tableColumn id="4173" xr3:uid="{E34E59A9-34A8-4751-9232-DB7F7059ABF4}" name="Column4173"/>
    <tableColumn id="4174" xr3:uid="{13610962-47E6-45C0-9A6F-34E6AAB558DE}" name="Column4174"/>
    <tableColumn id="4175" xr3:uid="{AFC11937-AF86-4401-BAF3-A474B272FF34}" name="Column4175"/>
    <tableColumn id="4176" xr3:uid="{D0CCD31E-EDC9-4F86-AF24-D36C58352C25}" name="Column4176"/>
    <tableColumn id="4177" xr3:uid="{B08E7178-BDCE-44FA-92B0-45DDF2C69289}" name="Column4177"/>
    <tableColumn id="4178" xr3:uid="{BCFF53B3-0988-4B6F-90D3-B3D2150D9085}" name="Column4178"/>
    <tableColumn id="4179" xr3:uid="{F23207F6-1131-487F-88AA-E57EFB72C4FE}" name="Column4179"/>
    <tableColumn id="4180" xr3:uid="{74B22D44-EEB5-42C3-8B9B-5CC29722FC21}" name="Column4180"/>
    <tableColumn id="4181" xr3:uid="{6DF1EDA0-025A-4BAC-9A60-16B6074C272A}" name="Column4181"/>
    <tableColumn id="4182" xr3:uid="{A2F1776F-BA5F-4FEF-9FC3-0458C07DFD38}" name="Column4182"/>
    <tableColumn id="4183" xr3:uid="{64483F47-A235-4732-8E72-26F831E679E4}" name="Column4183"/>
    <tableColumn id="4184" xr3:uid="{554F83A4-3EC6-4886-B201-72F4EB842761}" name="Column4184"/>
    <tableColumn id="4185" xr3:uid="{B54142F8-9F24-4F68-BA4E-722FB4DE35AC}" name="Column4185"/>
    <tableColumn id="4186" xr3:uid="{59A99F24-8854-411D-9C6C-5384C6046E2F}" name="Column4186"/>
    <tableColumn id="4187" xr3:uid="{C0529192-3DB7-400E-8951-18FD6508B08D}" name="Column4187"/>
    <tableColumn id="4188" xr3:uid="{4B089925-E71A-4361-BF78-0A7B768E22D9}" name="Column4188"/>
    <tableColumn id="4189" xr3:uid="{ACBD1CBE-FDF9-4770-A056-561A5FD8CBFF}" name="Column4189"/>
    <tableColumn id="4190" xr3:uid="{45125164-79FF-4140-9703-7CE91DDFD5C5}" name="Column4190"/>
    <tableColumn id="4191" xr3:uid="{821CAA79-1C86-4311-8279-F09042439B0E}" name="Column4191"/>
    <tableColumn id="4192" xr3:uid="{E40C2D79-9594-43DD-944B-87CF2CB61446}" name="Column4192"/>
    <tableColumn id="4193" xr3:uid="{A3E72A53-AA54-4CF6-811C-71C0D85424C5}" name="Column4193"/>
    <tableColumn id="4194" xr3:uid="{A92E857B-20BF-4571-96F6-8D67AF686C35}" name="Column4194"/>
    <tableColumn id="4195" xr3:uid="{71E33E07-8AD8-411A-916E-625A57ED24E2}" name="Column4195"/>
    <tableColumn id="4196" xr3:uid="{E39EA1C8-CFE7-4BF7-A10F-E05FB34D71B6}" name="Column4196"/>
    <tableColumn id="4197" xr3:uid="{69CD3211-EC33-494A-98D5-2834E07D3145}" name="Column4197"/>
    <tableColumn id="4198" xr3:uid="{BD99573E-3FA1-4705-A358-17055FBC33E9}" name="Column4198"/>
    <tableColumn id="4199" xr3:uid="{7C1F358D-0F2C-45DF-953C-A117F7EFFCD7}" name="Column4199"/>
    <tableColumn id="4200" xr3:uid="{1E564A98-251C-42BF-BEF4-A6699B52EF83}" name="Column4200"/>
    <tableColumn id="4201" xr3:uid="{DAFE7FB6-BF23-46AA-891B-E2399EAAACAD}" name="Column4201"/>
    <tableColumn id="4202" xr3:uid="{63D7EA68-F6F0-4612-9593-C1CFE6CCFBDF}" name="Column4202"/>
    <tableColumn id="4203" xr3:uid="{7A3F0854-A0C0-4C3C-A084-71431BA884B5}" name="Column4203"/>
    <tableColumn id="4204" xr3:uid="{8C6F85A7-E5FD-492A-BFA1-FD052BF74332}" name="Column4204"/>
    <tableColumn id="4205" xr3:uid="{F3B46C25-C3A3-47D7-B48B-C41C4FE6BA71}" name="Column4205"/>
    <tableColumn id="4206" xr3:uid="{3F06B6A2-227C-444E-9926-797D37A6A96D}" name="Column4206"/>
    <tableColumn id="4207" xr3:uid="{6B9FDD33-80DE-4C18-A4E3-EBDCB1AACC01}" name="Column4207"/>
    <tableColumn id="4208" xr3:uid="{6A70DE51-AC45-4E15-A334-B9B378A08033}" name="Column4208"/>
    <tableColumn id="4209" xr3:uid="{D061CB4B-F442-4112-ABC8-F140C9701665}" name="Column4209"/>
    <tableColumn id="4210" xr3:uid="{E8FCE970-2BC1-483C-A43A-D23A31D11AAF}" name="Column4210"/>
    <tableColumn id="4211" xr3:uid="{D4AD5C31-7EA8-434A-9A5F-33025EAD183D}" name="Column4211"/>
    <tableColumn id="4212" xr3:uid="{497CDC87-BACB-4B1A-B876-76EC803B9B3B}" name="Column4212"/>
    <tableColumn id="4213" xr3:uid="{9329CD66-ADCF-453A-983F-186260A2E550}" name="Column4213"/>
    <tableColumn id="4214" xr3:uid="{AC1E22AB-FAE3-41B8-B0F2-7F4BF141685E}" name="Column4214"/>
    <tableColumn id="4215" xr3:uid="{C184E40B-3006-41FA-95C6-8B66C51FEBAC}" name="Column4215"/>
    <tableColumn id="4216" xr3:uid="{5A2445F2-CA9D-41F5-BAAB-8A8112D79B73}" name="Column4216"/>
    <tableColumn id="4217" xr3:uid="{BED7F0D5-05FA-43B5-AB59-9D7FAD6D2858}" name="Column4217"/>
    <tableColumn id="4218" xr3:uid="{FB9E2AD8-0E5D-43F8-8BF1-97782EB277D7}" name="Column4218"/>
    <tableColumn id="4219" xr3:uid="{58349A51-3D4C-4667-AC79-CE97A69053B1}" name="Column4219"/>
    <tableColumn id="4220" xr3:uid="{EF33FCF1-F341-4ED8-9162-EEE3209AAE38}" name="Column4220"/>
    <tableColumn id="4221" xr3:uid="{F7FAAD73-E3C4-46A2-A4BA-407F693CFF06}" name="Column4221"/>
    <tableColumn id="4222" xr3:uid="{2218F9FD-5988-499C-8863-95FA0CAC22C3}" name="Column4222"/>
    <tableColumn id="4223" xr3:uid="{541A0245-628C-4ACD-9089-ED126413BDF3}" name="Column4223"/>
    <tableColumn id="4224" xr3:uid="{9256F19C-33F5-4A70-9B5F-53BE47BB791B}" name="Column4224"/>
    <tableColumn id="4225" xr3:uid="{100A8B9A-D04D-467E-B31A-40C4D907E690}" name="Column4225"/>
    <tableColumn id="4226" xr3:uid="{8453100E-361B-4D14-8B69-E1400B831B4B}" name="Column4226"/>
    <tableColumn id="4227" xr3:uid="{2599CC93-CEF5-40D6-B5AE-5A4A463DD441}" name="Column4227"/>
    <tableColumn id="4228" xr3:uid="{4F9342F2-9C0E-471E-9E79-01B7BECC0264}" name="Column4228"/>
    <tableColumn id="4229" xr3:uid="{33C177C1-F7C1-4F21-9FE8-4D6DFB5756ED}" name="Column4229"/>
    <tableColumn id="4230" xr3:uid="{5CF8FC45-6BCA-4BF8-9BB5-9C7D7DA94D87}" name="Column4230"/>
    <tableColumn id="4231" xr3:uid="{A3904EEB-E565-4615-B5E1-4EF10AA51946}" name="Column4231"/>
    <tableColumn id="4232" xr3:uid="{8E299087-B8D8-46D5-8086-7ED351A1E929}" name="Column4232"/>
    <tableColumn id="4233" xr3:uid="{37030F88-5354-40C3-89DE-9A1F3515C7E2}" name="Column4233"/>
    <tableColumn id="4234" xr3:uid="{B2FC80C9-AF97-456C-85D5-4599B90ADE75}" name="Column4234"/>
    <tableColumn id="4235" xr3:uid="{55A73335-7C75-433A-AE98-1BAC08B21B83}" name="Column4235"/>
    <tableColumn id="4236" xr3:uid="{08055628-C7DE-4D64-BCDF-74BFA57CBE4A}" name="Column4236"/>
    <tableColumn id="4237" xr3:uid="{2738B764-1238-4D83-A43F-8026D45C48B1}" name="Column4237"/>
    <tableColumn id="4238" xr3:uid="{C732F31C-4A73-49D6-8558-DBC1339C0E21}" name="Column4238"/>
    <tableColumn id="4239" xr3:uid="{3B6B5B00-9A2B-4D6F-A10C-743C7A475DC1}" name="Column4239"/>
    <tableColumn id="4240" xr3:uid="{DF247839-C6B3-45EC-9E64-E021C42D1BBC}" name="Column4240"/>
    <tableColumn id="4241" xr3:uid="{FD1A811C-BF9F-4DE4-9FED-0DE8B1B58B46}" name="Column4241"/>
    <tableColumn id="4242" xr3:uid="{474433CC-85F6-4B01-ACF4-FA0900888D58}" name="Column4242"/>
    <tableColumn id="4243" xr3:uid="{62135148-BFD2-4AA2-90F9-B67C3A13FAD1}" name="Column4243"/>
    <tableColumn id="4244" xr3:uid="{522D45D4-0DD4-42CA-A3B8-A040C1507A2E}" name="Column4244"/>
    <tableColumn id="4245" xr3:uid="{B46F701E-AC52-4B41-9287-ECBAF7FF3B91}" name="Column4245"/>
    <tableColumn id="4246" xr3:uid="{A810F0DD-BA2A-43D1-86FE-6D40B2FA029A}" name="Column4246"/>
    <tableColumn id="4247" xr3:uid="{5F218850-0DA8-462A-BD32-A71373525D4C}" name="Column4247"/>
    <tableColumn id="4248" xr3:uid="{7BA6F8C3-40C8-4377-AEB5-10FA4745CB8E}" name="Column4248"/>
    <tableColumn id="4249" xr3:uid="{61431990-8664-437D-926A-22E00D4521D1}" name="Column4249"/>
    <tableColumn id="4250" xr3:uid="{FFBE0236-952D-4A1C-8709-A6A09E8840D0}" name="Column4250"/>
    <tableColumn id="4251" xr3:uid="{261D4BD7-EBE8-45F3-84E7-4F58082C57F5}" name="Column4251"/>
    <tableColumn id="4252" xr3:uid="{F9C45662-C538-4B2D-ACF0-B91CFEDF3AE0}" name="Column4252"/>
    <tableColumn id="4253" xr3:uid="{8DDA8B71-0760-46AF-8DC6-1030CAD365EF}" name="Column4253"/>
    <tableColumn id="4254" xr3:uid="{B40821BB-CDCC-45E8-9458-3220ECE4B208}" name="Column4254"/>
    <tableColumn id="4255" xr3:uid="{49B52060-9721-4918-B97A-B0D8B40F47B8}" name="Column4255"/>
    <tableColumn id="4256" xr3:uid="{F159C787-1461-4BDA-A561-1559F7792C3D}" name="Column4256"/>
    <tableColumn id="4257" xr3:uid="{5E8AE01D-3863-4BCB-A72F-F0EAEF7337B2}" name="Column4257"/>
    <tableColumn id="4258" xr3:uid="{F8D29931-5386-468F-99A2-4BF6E1D0BB98}" name="Column4258"/>
    <tableColumn id="4259" xr3:uid="{237AB332-F80D-4C90-919F-6D1670220771}" name="Column4259"/>
    <tableColumn id="4260" xr3:uid="{0D343EDE-2C3F-48EA-8393-26A5C93CD3A6}" name="Column4260"/>
    <tableColumn id="4261" xr3:uid="{584964FB-E17D-4B8C-816F-A955FA75E52D}" name="Column4261"/>
    <tableColumn id="4262" xr3:uid="{D7154715-6FA6-48C4-B64D-155C5088C882}" name="Column4262"/>
    <tableColumn id="4263" xr3:uid="{95A7016A-AFB2-46B3-BAAC-ECD03D4EA18D}" name="Column4263"/>
    <tableColumn id="4264" xr3:uid="{756D20D3-941B-4265-A353-42799DC7A949}" name="Column4264"/>
    <tableColumn id="4265" xr3:uid="{0FFCA877-EC1E-4910-9C64-F8147C75D7AE}" name="Column4265"/>
    <tableColumn id="4266" xr3:uid="{82642985-0C22-4005-8A51-F3FEE59557D4}" name="Column4266"/>
    <tableColumn id="4267" xr3:uid="{9E0EA0AB-3BC5-4E0E-A3D6-812836E54D03}" name="Column4267"/>
    <tableColumn id="4268" xr3:uid="{E6E6F1FC-E4FE-4290-9B56-D1691D6D24E6}" name="Column4268"/>
    <tableColumn id="4269" xr3:uid="{9D334BC6-7799-4520-8713-5703824F0064}" name="Column4269"/>
    <tableColumn id="4270" xr3:uid="{46F56B11-5390-40E1-BA2D-43D298AF247D}" name="Column4270"/>
    <tableColumn id="4271" xr3:uid="{0163CE0C-07F6-4531-9455-6EDBDCF1C8C0}" name="Column4271"/>
    <tableColumn id="4272" xr3:uid="{B926B764-F3D1-4388-8B10-803B841D6284}" name="Column4272"/>
    <tableColumn id="4273" xr3:uid="{566383AF-2FF1-452E-A443-36FF50EAEABC}" name="Column4273"/>
    <tableColumn id="4274" xr3:uid="{E9FCADFA-1308-4C67-B1F2-DE468C32E22F}" name="Column4274"/>
    <tableColumn id="4275" xr3:uid="{B59B6D7E-3EB0-4FA6-89B5-6E9845A06E48}" name="Column4275"/>
    <tableColumn id="4276" xr3:uid="{94C09368-DAF6-472A-9279-5B8D42894F99}" name="Column4276"/>
    <tableColumn id="4277" xr3:uid="{86F1BF36-55AC-48BF-A458-3ED3EAE21AEA}" name="Column4277"/>
    <tableColumn id="4278" xr3:uid="{86536BF7-E90D-46E9-A0FB-CC66750D718E}" name="Column4278"/>
    <tableColumn id="4279" xr3:uid="{3A8FB56E-674F-4E41-87A9-8C38105DE45A}" name="Column4279"/>
    <tableColumn id="4280" xr3:uid="{F195CF8A-1547-4B11-9543-36558E6B9ABE}" name="Column4280"/>
    <tableColumn id="4281" xr3:uid="{97674016-ED0C-4D66-9EE1-4FF49DB05225}" name="Column4281"/>
    <tableColumn id="4282" xr3:uid="{96948FD7-8BF2-49BC-B322-756F7964DEAD}" name="Column4282"/>
    <tableColumn id="4283" xr3:uid="{AA27277A-C3D0-4F41-AE09-CFA8C8B0F9A6}" name="Column4283"/>
    <tableColumn id="4284" xr3:uid="{C462BC82-12A7-47C7-8AEC-6BFD87C7DA2C}" name="Column4284"/>
    <tableColumn id="4285" xr3:uid="{2D44A483-C097-4AE0-A477-E0D1B1B518BA}" name="Column4285"/>
    <tableColumn id="4286" xr3:uid="{5DD9EAAA-2493-4FCA-9B29-2EC27F65AFCF}" name="Column4286"/>
    <tableColumn id="4287" xr3:uid="{BB26BD5E-CDB7-4E9F-B618-7BC63572D498}" name="Column4287"/>
    <tableColumn id="4288" xr3:uid="{5786F3FF-4A1C-43F7-83FB-54A86A25A7B8}" name="Column4288"/>
    <tableColumn id="4289" xr3:uid="{9C35B159-CCE9-467D-854C-F97D8D813D88}" name="Column4289"/>
    <tableColumn id="4290" xr3:uid="{32147AB8-89A7-4F8E-8724-9690491A5803}" name="Column4290"/>
    <tableColumn id="4291" xr3:uid="{DC7B57E0-0D59-4AE4-889D-F25158EBBCC6}" name="Column4291"/>
    <tableColumn id="4292" xr3:uid="{706CA354-A344-4AD3-9743-112D2CD5F3C6}" name="Column4292"/>
    <tableColumn id="4293" xr3:uid="{B37CF9C6-39F9-4647-9057-A2985C85D653}" name="Column4293"/>
    <tableColumn id="4294" xr3:uid="{94508BA6-B013-46FC-A964-AEA3809809BE}" name="Column4294"/>
    <tableColumn id="4295" xr3:uid="{DC1C783F-6887-4EE2-8E26-8AC3C9F1D2A8}" name="Column4295"/>
    <tableColumn id="4296" xr3:uid="{BFBEB12C-8743-4DE0-9018-B377A84F8F46}" name="Column4296"/>
    <tableColumn id="4297" xr3:uid="{525F084B-928B-4F01-BF34-26DF857CFCD7}" name="Column4297"/>
    <tableColumn id="4298" xr3:uid="{93BDFBD3-88D5-4D25-A71A-3DC6F7715831}" name="Column4298"/>
    <tableColumn id="4299" xr3:uid="{45433A5E-305D-4CB1-A996-1B068090CF65}" name="Column4299"/>
    <tableColumn id="4300" xr3:uid="{28DE4744-30D3-42EA-B849-2C379FF84CDB}" name="Column4300"/>
    <tableColumn id="4301" xr3:uid="{1A9796B7-466E-4ACF-8CF5-463BE9B72FB3}" name="Column4301"/>
    <tableColumn id="4302" xr3:uid="{EDC1182E-2F15-4785-80EC-18C7AB44A493}" name="Column4302"/>
    <tableColumn id="4303" xr3:uid="{40E87ECE-3F21-43C4-AC48-22AE2CCD695C}" name="Column4303"/>
    <tableColumn id="4304" xr3:uid="{DC353E54-96F0-4959-A11B-B8B51B01AF44}" name="Column4304"/>
    <tableColumn id="4305" xr3:uid="{37676D66-EA31-4E97-87F9-E92CA48FBD83}" name="Column4305"/>
    <tableColumn id="4306" xr3:uid="{D6771D26-04C7-4DE9-8BF9-90716AC28EED}" name="Column4306"/>
    <tableColumn id="4307" xr3:uid="{094DDBAC-279B-47D9-BC3E-51994806866D}" name="Column4307"/>
    <tableColumn id="4308" xr3:uid="{74D6E82F-5C03-49B8-8E8B-DD722AB0EAA8}" name="Column4308"/>
    <tableColumn id="4309" xr3:uid="{AC0CF097-8F0B-465B-BE8D-B2F1CFA10794}" name="Column4309"/>
    <tableColumn id="4310" xr3:uid="{79CB8BF9-97CD-4042-BB96-7E9AFF9EAF04}" name="Column4310"/>
    <tableColumn id="4311" xr3:uid="{3AA5FEA2-2211-4370-A7EB-1D35D97C95ED}" name="Column4311"/>
    <tableColumn id="4312" xr3:uid="{61CD0877-7734-4810-AEB1-8A86E9C50931}" name="Column4312"/>
    <tableColumn id="4313" xr3:uid="{7309B7E4-A576-4A11-B904-3350F0B8C348}" name="Column4313"/>
    <tableColumn id="4314" xr3:uid="{5D9F936F-83EE-4ADC-B6E2-87C6F966123D}" name="Column4314"/>
    <tableColumn id="4315" xr3:uid="{399AE7C8-F5DF-49B1-B01B-0BD65CB526E6}" name="Column4315"/>
    <tableColumn id="4316" xr3:uid="{97975FEA-2CED-4C35-818D-E74A55B74850}" name="Column4316"/>
    <tableColumn id="4317" xr3:uid="{D0254FF6-1FAD-4CEA-8087-3664B018691A}" name="Column4317"/>
    <tableColumn id="4318" xr3:uid="{0ADA39B9-816C-45EC-BB08-5F8A888ACA11}" name="Column4318"/>
    <tableColumn id="4319" xr3:uid="{0E689194-308C-48A9-97F7-89B9D988FF2E}" name="Column4319"/>
    <tableColumn id="4320" xr3:uid="{6D59D171-1BAB-4430-84DB-E951B506C261}" name="Column4320"/>
    <tableColumn id="4321" xr3:uid="{2D86B006-7043-471F-A151-49C385F93F23}" name="Column4321"/>
    <tableColumn id="4322" xr3:uid="{ED3C3164-00C7-47C6-9BF4-E2F8BEB4481C}" name="Column4322"/>
    <tableColumn id="4323" xr3:uid="{D4CCE2B7-0C94-4A3A-AB7C-48C22EC599AC}" name="Column4323"/>
    <tableColumn id="4324" xr3:uid="{6DF6FDEC-D410-4563-BA05-6ACC97F1D0B8}" name="Column4324"/>
    <tableColumn id="4325" xr3:uid="{E07E12C4-02A6-4FCB-B3F7-54E55EDCB25F}" name="Column4325"/>
    <tableColumn id="4326" xr3:uid="{22748D9F-7011-4907-8FDB-D198130BB862}" name="Column4326"/>
    <tableColumn id="4327" xr3:uid="{F689521A-CF13-4ADE-8BA8-4EE42F805C76}" name="Column4327"/>
    <tableColumn id="4328" xr3:uid="{97BE051C-EFC5-4A51-AC26-B2139F3118EA}" name="Column4328"/>
    <tableColumn id="4329" xr3:uid="{537F5C04-0AFD-436B-847D-733AE3531927}" name="Column4329"/>
    <tableColumn id="4330" xr3:uid="{489ED02F-0113-4D1F-8419-5644E80C1740}" name="Column4330"/>
    <tableColumn id="4331" xr3:uid="{F1BD7875-5CC0-4E59-96F1-7114FC1CD2D8}" name="Column4331"/>
    <tableColumn id="4332" xr3:uid="{7C1BA688-F084-4E7F-B91C-4969646C9CD1}" name="Column4332"/>
    <tableColumn id="4333" xr3:uid="{ECD3244B-70B5-44D0-A6E2-7A7331A2AB8E}" name="Column4333"/>
    <tableColumn id="4334" xr3:uid="{227E342A-28A3-4C33-B514-4EB2F8FE7084}" name="Column4334"/>
    <tableColumn id="4335" xr3:uid="{A00D6B57-39F7-4FF4-B6D8-56798755CD9D}" name="Column4335"/>
    <tableColumn id="4336" xr3:uid="{3A4D7FE5-A0F6-490D-9E23-27D3EC76210E}" name="Column4336"/>
    <tableColumn id="4337" xr3:uid="{36EBBA84-B592-4B01-8E37-E1CA4A1CEAEE}" name="Column4337"/>
    <tableColumn id="4338" xr3:uid="{BAA4C9C2-A0AA-4538-8099-AFFB45E2E808}" name="Column4338"/>
    <tableColumn id="4339" xr3:uid="{58F133F3-17F9-434F-99D2-43D49A8F8106}" name="Column4339"/>
    <tableColumn id="4340" xr3:uid="{63FA2932-A783-41AC-9DEE-99A7C0BA9DFA}" name="Column4340"/>
    <tableColumn id="4341" xr3:uid="{9F5DBAA3-5ABE-4B4B-8942-5587CB0D3BB5}" name="Column4341"/>
    <tableColumn id="4342" xr3:uid="{F4EEA366-74BF-4B2C-9CA6-A16F14E8F6DB}" name="Column4342"/>
    <tableColumn id="4343" xr3:uid="{0F416382-6561-4815-83CC-BEE0D3AEFDE3}" name="Column4343"/>
    <tableColumn id="4344" xr3:uid="{E3C917CA-51E8-4678-8557-D28F5BF16A05}" name="Column4344"/>
    <tableColumn id="4345" xr3:uid="{BDD36192-C32B-4F67-9013-946456355049}" name="Column4345"/>
    <tableColumn id="4346" xr3:uid="{5E7CDD47-0E7E-4244-BA0E-5B570BC8BDFA}" name="Column4346"/>
    <tableColumn id="4347" xr3:uid="{39D017CD-CE5F-410B-A143-DF6D1FE9EF85}" name="Column4347"/>
    <tableColumn id="4348" xr3:uid="{3458A023-CF42-45A1-BDF8-5BBBE0F0E3EE}" name="Column4348"/>
    <tableColumn id="4349" xr3:uid="{0F4C6B1F-C82E-433B-9FDA-DF415A0A036E}" name="Column4349"/>
    <tableColumn id="4350" xr3:uid="{40890B85-20D2-4860-BE1B-A45CD39B20B7}" name="Column4350"/>
    <tableColumn id="4351" xr3:uid="{72EBFB55-9489-4083-901E-8CDEAD803786}" name="Column4351"/>
    <tableColumn id="4352" xr3:uid="{7D1AE6DF-850A-4EFE-ACF2-BC9445E26D21}" name="Column4352"/>
    <tableColumn id="4353" xr3:uid="{E0F7C92D-D6C7-45F6-B042-C69F3878194E}" name="Column4353"/>
    <tableColumn id="4354" xr3:uid="{D8D4D808-FA9F-4E60-8FF2-77D0A30910E5}" name="Column4354"/>
    <tableColumn id="4355" xr3:uid="{0FBF5804-4BB8-4545-A3EC-5772A1B78C41}" name="Column4355"/>
    <tableColumn id="4356" xr3:uid="{395F969C-53F6-45AF-BDA5-C6F71D00AD08}" name="Column4356"/>
    <tableColumn id="4357" xr3:uid="{4D88A1EA-4F33-4594-9AD9-909E51257F14}" name="Column4357"/>
    <tableColumn id="4358" xr3:uid="{7CB08C25-0073-4D8A-81AE-406BF7156239}" name="Column4358"/>
    <tableColumn id="4359" xr3:uid="{2BD5F37C-0DE4-4E7B-8354-029443AA1795}" name="Column4359"/>
    <tableColumn id="4360" xr3:uid="{7DA4CF47-55A3-492A-B9E1-AB41EF45BAF8}" name="Column4360"/>
    <tableColumn id="4361" xr3:uid="{1785544B-4303-459C-8A6C-A5734BD7EFEF}" name="Column4361"/>
    <tableColumn id="4362" xr3:uid="{87D903A7-994D-43E9-B6A6-BD1138DB5510}" name="Column4362"/>
    <tableColumn id="4363" xr3:uid="{308056D1-D911-4729-98C2-E4A7DA63B4F0}" name="Column4363"/>
    <tableColumn id="4364" xr3:uid="{C4A500C1-D51D-4438-9FD7-6D28D8AB4DFB}" name="Column4364"/>
    <tableColumn id="4365" xr3:uid="{FA0F70D5-63E5-4A02-B2AF-397AF9F7705B}" name="Column4365"/>
    <tableColumn id="4366" xr3:uid="{D323BB50-93A2-4646-93E3-A0C768F63512}" name="Column4366"/>
    <tableColumn id="4367" xr3:uid="{F5DEB736-2DFB-4E8B-A78F-EBFE0BF5769E}" name="Column4367"/>
    <tableColumn id="4368" xr3:uid="{D6AD5AE0-8D05-439C-971E-49B1679735A3}" name="Column4368"/>
    <tableColumn id="4369" xr3:uid="{001FE2C8-36AD-43D2-886E-F0F93190E302}" name="Column4369"/>
    <tableColumn id="4370" xr3:uid="{1A8D6BA5-1447-4013-8B41-2DAFE9CEA6DD}" name="Column4370"/>
    <tableColumn id="4371" xr3:uid="{34C6150A-DB82-450C-A9CB-E31E080192D0}" name="Column4371"/>
    <tableColumn id="4372" xr3:uid="{50EA116E-8550-4D26-AF5E-93FB6D89D729}" name="Column4372"/>
    <tableColumn id="4373" xr3:uid="{D017F17C-EDD4-4DD3-818F-C16C5382C8B5}" name="Column4373"/>
    <tableColumn id="4374" xr3:uid="{05732B07-A054-4198-97D3-15B788204CE0}" name="Column4374"/>
    <tableColumn id="4375" xr3:uid="{CB7E8D6C-3025-4FD1-8E9D-8877893832F6}" name="Column4375"/>
    <tableColumn id="4376" xr3:uid="{97388068-18C8-4E0D-BED1-538B4F1BBBD6}" name="Column4376"/>
    <tableColumn id="4377" xr3:uid="{552BAE95-D11D-4892-BF14-993F31151B23}" name="Column4377"/>
    <tableColumn id="4378" xr3:uid="{D02983A3-9B67-4413-A87F-36C0B6F9EE5C}" name="Column4378"/>
    <tableColumn id="4379" xr3:uid="{23A70558-95D0-4D7E-AF49-9E02EEF7D6FF}" name="Column4379"/>
    <tableColumn id="4380" xr3:uid="{3532ABBE-C06E-4251-8E6B-FD6ED53670AE}" name="Column4380"/>
    <tableColumn id="4381" xr3:uid="{B71C3F28-B213-43E0-9499-3A08AB8F305F}" name="Column4381"/>
    <tableColumn id="4382" xr3:uid="{E487B73D-C9B7-4403-96CE-E49059C8314E}" name="Column4382"/>
    <tableColumn id="4383" xr3:uid="{8B2E9661-7517-443C-82C8-6EE078E5F789}" name="Column4383"/>
    <tableColumn id="4384" xr3:uid="{234B9387-0954-4AAC-854F-7306EAE89025}" name="Column4384"/>
    <tableColumn id="4385" xr3:uid="{0B068817-0C27-49F9-8C27-B842FACE4B1A}" name="Column4385"/>
    <tableColumn id="4386" xr3:uid="{727B033A-963C-4798-A6E2-D704305B7C65}" name="Column4386"/>
    <tableColumn id="4387" xr3:uid="{26193AA5-7B43-429A-B625-AB83110712C8}" name="Column4387"/>
    <tableColumn id="4388" xr3:uid="{98661F4B-06B9-4DBC-935E-7CBEAEC1A672}" name="Column4388"/>
    <tableColumn id="4389" xr3:uid="{2E750B9E-C0AC-440D-8F84-E0345D263390}" name="Column4389"/>
    <tableColumn id="4390" xr3:uid="{19EBF962-1577-4377-9D1D-2FF946A979E4}" name="Column4390"/>
    <tableColumn id="4391" xr3:uid="{7AAF4E5A-71E9-445D-8B8E-107B1C8BDAFD}" name="Column4391"/>
    <tableColumn id="4392" xr3:uid="{5C56F745-2ABA-49B5-9F71-1816F1AEE470}" name="Column4392"/>
    <tableColumn id="4393" xr3:uid="{CE80EC85-9358-44A8-AF6C-FDE0F8928921}" name="Column4393"/>
    <tableColumn id="4394" xr3:uid="{B3711E05-666A-4D2F-AD7C-81A97D98495A}" name="Column4394"/>
    <tableColumn id="4395" xr3:uid="{9133A7FC-96BE-4084-B4B2-FA67A9EB860F}" name="Column4395"/>
    <tableColumn id="4396" xr3:uid="{C1EC52AB-CB4E-4683-8EFE-A238C9F489A3}" name="Column4396"/>
    <tableColumn id="4397" xr3:uid="{F61E64F0-D3D0-4A63-A3B0-BF3E02FC4102}" name="Column4397"/>
    <tableColumn id="4398" xr3:uid="{3F14C8DB-CCB5-4F7A-9976-8465D8791E5C}" name="Column4398"/>
    <tableColumn id="4399" xr3:uid="{A4D55F1E-04C1-47F8-9A3F-205BB18100A2}" name="Column4399"/>
    <tableColumn id="4400" xr3:uid="{7308A778-DFDF-4567-9DE1-A14FC103BFC9}" name="Column4400"/>
    <tableColumn id="4401" xr3:uid="{8E16032E-4E15-4CD1-A3AC-B53E36DA5CCD}" name="Column4401"/>
    <tableColumn id="4402" xr3:uid="{B43D62CD-6D25-4CEA-8655-940C06D9C631}" name="Column4402"/>
    <tableColumn id="4403" xr3:uid="{25BA80A8-523A-4485-9F0D-5134F56FE062}" name="Column4403"/>
    <tableColumn id="4404" xr3:uid="{EF376CC7-A7D5-4930-875F-5897AF105D21}" name="Column4404"/>
    <tableColumn id="4405" xr3:uid="{ADB323EF-AC7A-4157-951A-B459E53A5EFA}" name="Column4405"/>
    <tableColumn id="4406" xr3:uid="{1650B430-2EBE-4862-AFD0-E0BEFE1D543C}" name="Column4406"/>
    <tableColumn id="4407" xr3:uid="{D8935BC5-E7CE-464C-B2E3-EC8C521A6C5F}" name="Column4407"/>
    <tableColumn id="4408" xr3:uid="{CC43B46F-6680-4B95-B820-8489F5847C04}" name="Column4408"/>
    <tableColumn id="4409" xr3:uid="{D8E542A1-C0C9-47AE-AB48-81064115158E}" name="Column4409"/>
    <tableColumn id="4410" xr3:uid="{AE479A4D-37CC-4075-821F-D84FD15B3CCD}" name="Column4410"/>
    <tableColumn id="4411" xr3:uid="{09DEDD77-C46C-45D1-BA1C-D9F1CB9322E9}" name="Column4411"/>
    <tableColumn id="4412" xr3:uid="{C9E5C742-18E6-4709-9C63-F8F3ED0BD65E}" name="Column4412"/>
    <tableColumn id="4413" xr3:uid="{09DFB942-D388-4B0F-B918-2D46DC8B378C}" name="Column4413"/>
    <tableColumn id="4414" xr3:uid="{D561A9E1-6DE7-47FE-B610-D22A2A3EBBE0}" name="Column4414"/>
    <tableColumn id="4415" xr3:uid="{6A1C6883-C7BD-4504-A186-6EF717E45634}" name="Column4415"/>
    <tableColumn id="4416" xr3:uid="{63F41587-3816-4FE0-BFC5-BD1B906B1D0D}" name="Column4416"/>
    <tableColumn id="4417" xr3:uid="{E35E3BF3-CE1A-4022-AD9B-5EFD7F6B7194}" name="Column4417"/>
    <tableColumn id="4418" xr3:uid="{EACFD27C-41C2-43AA-B291-D0812A1C35F9}" name="Column4418"/>
    <tableColumn id="4419" xr3:uid="{62C699FF-4019-40F4-BD42-F63B8C2A5775}" name="Column4419"/>
    <tableColumn id="4420" xr3:uid="{1F659AF9-CBBE-4881-870C-ED26FD4447A2}" name="Column4420"/>
    <tableColumn id="4421" xr3:uid="{ED63D74C-631C-4D59-942F-5EFDC69F2CF4}" name="Column4421"/>
    <tableColumn id="4422" xr3:uid="{7614711F-190F-406C-BE92-C9F80F2BDC05}" name="Column4422"/>
    <tableColumn id="4423" xr3:uid="{F16C4B57-2135-4FCD-ACE4-3499BA2AA598}" name="Column4423"/>
    <tableColumn id="4424" xr3:uid="{2C668EBE-F8F2-4EEB-90FC-7838272192E9}" name="Column4424"/>
    <tableColumn id="4425" xr3:uid="{9ADDEEDC-42ED-405C-8EBD-8BE97D215D4B}" name="Column4425"/>
    <tableColumn id="4426" xr3:uid="{C19564D9-B385-4BE2-AD40-C40ED1388A47}" name="Column4426"/>
    <tableColumn id="4427" xr3:uid="{ABC11844-4FD4-4AD0-B209-EAA27F5FF13C}" name="Column4427"/>
    <tableColumn id="4428" xr3:uid="{B2229F15-DF16-45FC-A045-AE5333631707}" name="Column4428"/>
    <tableColumn id="4429" xr3:uid="{EFF9B151-4019-4DBC-A3BD-14B6974BBF98}" name="Column4429"/>
    <tableColumn id="4430" xr3:uid="{B6C9DC15-654C-45BD-A288-AC7D5718ABD7}" name="Column4430"/>
    <tableColumn id="4431" xr3:uid="{3D2F2B83-46E7-4F01-B860-C9111A7B1507}" name="Column4431"/>
    <tableColumn id="4432" xr3:uid="{61F0DB1F-1B4E-4551-B579-F0E093E2DD6F}" name="Column4432"/>
    <tableColumn id="4433" xr3:uid="{B658E63E-747E-435C-826C-AFF58421AAC2}" name="Column4433"/>
    <tableColumn id="4434" xr3:uid="{8BB0EE4D-6406-4F41-9C8E-0D9FF4CAE3BA}" name="Column4434"/>
    <tableColumn id="4435" xr3:uid="{3C4A3E62-2B28-43FC-8087-88BA3FB89280}" name="Column4435"/>
    <tableColumn id="4436" xr3:uid="{0CCCD3D0-6648-497F-886E-38F04E65D77C}" name="Column4436"/>
    <tableColumn id="4437" xr3:uid="{04D29733-F269-4A16-B99D-EBCA586E1FD1}" name="Column4437"/>
    <tableColumn id="4438" xr3:uid="{79117E3B-2113-40A4-B531-B51B96610C64}" name="Column4438"/>
    <tableColumn id="4439" xr3:uid="{98AB59E4-FB11-45F7-A9A3-8E7482D12BD9}" name="Column4439"/>
    <tableColumn id="4440" xr3:uid="{71B4C604-3E58-4324-8BED-3F248975D8DB}" name="Column4440"/>
    <tableColumn id="4441" xr3:uid="{4A329546-374A-472C-A042-42E8079C0CC6}" name="Column4441"/>
    <tableColumn id="4442" xr3:uid="{8FB143CD-5454-4F8D-A26E-289F65ECDAFE}" name="Column4442"/>
    <tableColumn id="4443" xr3:uid="{49E6710C-DE1D-4B21-A6D0-2E3A15C75600}" name="Column4443"/>
    <tableColumn id="4444" xr3:uid="{9E23B9FB-D0A5-4E6A-8D57-271F313DE2BD}" name="Column4444"/>
    <tableColumn id="4445" xr3:uid="{AFD54F7B-4EE2-4B04-BA61-845FF50EC2D2}" name="Column4445"/>
    <tableColumn id="4446" xr3:uid="{6481E6A1-F6E4-4E48-9FE6-43C92CF2C46C}" name="Column4446"/>
    <tableColumn id="4447" xr3:uid="{04438572-31C8-4078-BACA-22E9D650FE8A}" name="Column4447"/>
    <tableColumn id="4448" xr3:uid="{D2F2DBBF-50CA-4963-83F9-0D361E8FCD09}" name="Column4448"/>
    <tableColumn id="4449" xr3:uid="{6EBA3B80-B1E1-46DB-9F34-3C6B9D71BC9C}" name="Column4449"/>
    <tableColumn id="4450" xr3:uid="{F9F63AAD-66B1-49EC-B621-9A66CF67E205}" name="Column4450"/>
    <tableColumn id="4451" xr3:uid="{EB2FC78D-5664-4DE6-ABEA-067D7C51419B}" name="Column4451"/>
    <tableColumn id="4452" xr3:uid="{1B7BF06F-04A7-4F98-A645-541D356C43CD}" name="Column4452"/>
    <tableColumn id="4453" xr3:uid="{90D1028A-5BCB-481D-BA78-D129C62182D9}" name="Column4453"/>
    <tableColumn id="4454" xr3:uid="{BE11D570-4342-4292-BCCC-EC3480251FEB}" name="Column4454"/>
    <tableColumn id="4455" xr3:uid="{03B8650C-1CF4-49C5-96F8-B2BDFA60BA2A}" name="Column4455"/>
    <tableColumn id="4456" xr3:uid="{D1BEF1EF-1A5B-456D-BA7D-F04897EA80E0}" name="Column4456"/>
    <tableColumn id="4457" xr3:uid="{4E76ED95-3DE0-4750-A934-57C883D9D1BB}" name="Column4457"/>
    <tableColumn id="4458" xr3:uid="{D5D9D8BC-35CC-4844-AA9B-3B58E5EC61A2}" name="Column4458"/>
    <tableColumn id="4459" xr3:uid="{8937ED75-89D9-43C0-B030-8FDF18159F37}" name="Column4459"/>
    <tableColumn id="4460" xr3:uid="{A4D9550A-23E2-459E-B0F9-A6EA042BC59C}" name="Column4460"/>
    <tableColumn id="4461" xr3:uid="{8FE8706B-6491-4621-BA41-57C2A31D166A}" name="Column4461"/>
    <tableColumn id="4462" xr3:uid="{4E743868-3CE8-4065-8FAC-5AD6004E7CA8}" name="Column4462"/>
    <tableColumn id="4463" xr3:uid="{1881C120-843F-488D-A66D-341BAC5FB15C}" name="Column4463"/>
    <tableColumn id="4464" xr3:uid="{A07FC495-972E-4B02-A6CE-850D1D713EAA}" name="Column4464"/>
    <tableColumn id="4465" xr3:uid="{7619CA4A-9F59-4E87-86C8-833C69D23B58}" name="Column4465"/>
    <tableColumn id="4466" xr3:uid="{5DF315BB-7DF0-4DE0-954A-77F5927F9B69}" name="Column4466"/>
    <tableColumn id="4467" xr3:uid="{BFE7E392-E285-4E8A-8EB9-6D0EF841267C}" name="Column4467"/>
    <tableColumn id="4468" xr3:uid="{1F9D87EE-EFD2-42EA-97E4-0A09303FE105}" name="Column4468"/>
    <tableColumn id="4469" xr3:uid="{D83A2E3F-90C4-4620-B5C3-4BA3F15FA985}" name="Column4469"/>
    <tableColumn id="4470" xr3:uid="{631BC959-7371-4892-962B-DC2BB04AB9EF}" name="Column4470"/>
    <tableColumn id="4471" xr3:uid="{3EDD4C12-00D9-4A14-B220-9634D92E0125}" name="Column4471"/>
    <tableColumn id="4472" xr3:uid="{982412E8-3CBE-48EB-838F-59392CBC4891}" name="Column4472"/>
    <tableColumn id="4473" xr3:uid="{10DBA637-5333-4A56-8091-BDE92F3799C7}" name="Column4473"/>
    <tableColumn id="4474" xr3:uid="{D25B1968-63E0-4B56-B3B9-FEEF9918C95B}" name="Column4474"/>
    <tableColumn id="4475" xr3:uid="{3A0959AD-C7E4-423A-AEEE-298D42FE5C16}" name="Column4475"/>
    <tableColumn id="4476" xr3:uid="{B2A8F1F0-5622-42BB-8822-74A3933AD6B4}" name="Column4476"/>
    <tableColumn id="4477" xr3:uid="{953565B6-C5D4-49A9-8492-F167AE3CBCCF}" name="Column4477"/>
    <tableColumn id="4478" xr3:uid="{E8EF48F4-A75E-4D8D-A586-1AE62EDEB72A}" name="Column4478"/>
    <tableColumn id="4479" xr3:uid="{1DF13FE1-E8CF-4C82-9411-88A5660755E8}" name="Column4479"/>
    <tableColumn id="4480" xr3:uid="{7244B848-A5E8-450C-88C7-AF027C74B29C}" name="Column4480"/>
    <tableColumn id="4481" xr3:uid="{30167D85-0BE9-4DCA-87F1-3736ADDE29D1}" name="Column4481"/>
    <tableColumn id="4482" xr3:uid="{5629E1C9-932C-4B7F-9BDF-E1C87E9E527B}" name="Column4482"/>
    <tableColumn id="4483" xr3:uid="{6355D35B-7579-43BB-AC56-AF3B99985B55}" name="Column4483"/>
    <tableColumn id="4484" xr3:uid="{148D0856-5FDE-4401-814A-A4AFEB34705B}" name="Column4484"/>
    <tableColumn id="4485" xr3:uid="{2A88C456-C059-4A19-84B0-74BC99504000}" name="Column4485"/>
    <tableColumn id="4486" xr3:uid="{F0DFAD98-2DA9-4EB5-B060-790321490002}" name="Column4486"/>
    <tableColumn id="4487" xr3:uid="{7CFB48D1-9880-4A8A-BDB6-998A0E13F8FD}" name="Column4487"/>
    <tableColumn id="4488" xr3:uid="{EF8AF8AF-77FD-472F-AB94-9E35F985D418}" name="Column4488"/>
    <tableColumn id="4489" xr3:uid="{57CDC0BF-920F-4FCE-A42C-D5F4E66628E3}" name="Column4489"/>
    <tableColumn id="4490" xr3:uid="{A64787AA-45AE-40FD-A058-7C3EB0AA817D}" name="Column4490"/>
    <tableColumn id="4491" xr3:uid="{3FD7C4A2-0649-4431-A7C1-5B9C0CBC0436}" name="Column4491"/>
    <tableColumn id="4492" xr3:uid="{9E547503-F952-4FD1-B023-F8463C934D0B}" name="Column4492"/>
    <tableColumn id="4493" xr3:uid="{133B0E83-F6F1-4EEE-BF52-C776E55704ED}" name="Column4493"/>
    <tableColumn id="4494" xr3:uid="{9D77E2C6-3275-47A2-9B05-37498959577B}" name="Column4494"/>
    <tableColumn id="4495" xr3:uid="{DE9773B9-F645-4C26-97FF-099703CDCEC5}" name="Column4495"/>
    <tableColumn id="4496" xr3:uid="{B9C55811-3E81-4A5D-BBEE-7448CD2EEFB7}" name="Column4496"/>
    <tableColumn id="4497" xr3:uid="{37BECED9-64E3-4E31-BDD9-5B3B983169E5}" name="Column4497"/>
    <tableColumn id="4498" xr3:uid="{E1C92D60-BFC4-4D40-B7DA-714C1C6901BE}" name="Column4498"/>
    <tableColumn id="4499" xr3:uid="{FB5FF959-F784-4EEB-80F5-F0AB9A9FD185}" name="Column4499"/>
    <tableColumn id="4500" xr3:uid="{C9D9FF56-6E87-4B68-BC45-1E86320968CC}" name="Column4500"/>
    <tableColumn id="4501" xr3:uid="{59F51438-883D-4CD7-B7A5-694F106418BD}" name="Column4501"/>
    <tableColumn id="4502" xr3:uid="{C107D116-87D9-4C5E-B978-5B19DE90F595}" name="Column4502"/>
    <tableColumn id="4503" xr3:uid="{8DE409C2-CA34-4C37-8891-24697806BD77}" name="Column4503"/>
    <tableColumn id="4504" xr3:uid="{EC09FB36-16AE-4B1A-B9BA-8FC30517C088}" name="Column4504"/>
    <tableColumn id="4505" xr3:uid="{5C81B1FD-9A0C-4F34-99A7-3074CD34EA82}" name="Column4505"/>
    <tableColumn id="4506" xr3:uid="{7CEC3219-100B-4085-AAEA-B80AA59AD04F}" name="Column4506"/>
    <tableColumn id="4507" xr3:uid="{6F13FCE7-5EA8-4656-B726-FE729136038C}" name="Column4507"/>
    <tableColumn id="4508" xr3:uid="{6D7B07F9-A3C7-4F74-BAE8-1D1E0A85AE71}" name="Column4508"/>
    <tableColumn id="4509" xr3:uid="{9D318D3F-ABE5-4CAE-96BD-C1D4182F0834}" name="Column4509"/>
    <tableColumn id="4510" xr3:uid="{9A409B51-A8A1-4042-8158-91867C6125E0}" name="Column4510"/>
    <tableColumn id="4511" xr3:uid="{7A8876C7-3C8E-417C-828B-968152CE7009}" name="Column4511"/>
    <tableColumn id="4512" xr3:uid="{9F91642D-DAE3-4009-87EB-05E4F528AE60}" name="Column4512"/>
    <tableColumn id="4513" xr3:uid="{6713DFB1-9ECE-4AB0-8F72-B444A7CF080C}" name="Column4513"/>
    <tableColumn id="4514" xr3:uid="{E3D1C3EF-5F78-4756-9814-E9319765637F}" name="Column4514"/>
    <tableColumn id="4515" xr3:uid="{A98DC9D6-F9AC-430F-A2FF-0EC277F02F73}" name="Column4515"/>
    <tableColumn id="4516" xr3:uid="{CDE5A797-D0E9-4F5B-AB0D-352AE821BA95}" name="Column4516"/>
    <tableColumn id="4517" xr3:uid="{4453FEF7-1AA5-4383-85AF-F222E59B2B4E}" name="Column4517"/>
    <tableColumn id="4518" xr3:uid="{B55EF700-C6DC-48C3-BB44-1190C85B8EBF}" name="Column4518"/>
    <tableColumn id="4519" xr3:uid="{774A6E87-05D3-45A7-9FCF-11FED23C408B}" name="Column4519"/>
    <tableColumn id="4520" xr3:uid="{461A3F2F-912A-4089-8144-ADDCDEA6215A}" name="Column4520"/>
    <tableColumn id="4521" xr3:uid="{C1AC3544-F168-4EFB-9349-F9B1EF81EC9F}" name="Column4521"/>
    <tableColumn id="4522" xr3:uid="{93946D1D-3151-4EF0-93C5-CE36E0D80113}" name="Column4522"/>
    <tableColumn id="4523" xr3:uid="{A3001D97-BCE0-4DE4-AE95-BDB3963854C6}" name="Column4523"/>
    <tableColumn id="4524" xr3:uid="{D72B0E52-05CF-4D82-8EDB-774ADB79769A}" name="Column4524"/>
    <tableColumn id="4525" xr3:uid="{D3AC4A35-30AE-4773-9883-9841E99C35FC}" name="Column4525"/>
    <tableColumn id="4526" xr3:uid="{8C3727E9-AF3D-4FA4-8B04-C449C217F177}" name="Column4526"/>
    <tableColumn id="4527" xr3:uid="{A839C152-A3B0-4761-BC3A-48B845CD0DF7}" name="Column4527"/>
    <tableColumn id="4528" xr3:uid="{18056F8F-1F62-4DED-9C50-0FE82F6261AC}" name="Column4528"/>
    <tableColumn id="4529" xr3:uid="{E542A3EA-57C1-4BCC-9739-7DCA3B890F98}" name="Column4529"/>
    <tableColumn id="4530" xr3:uid="{B98BA46D-544B-4F4F-BF56-F6ADE622B4CE}" name="Column4530"/>
    <tableColumn id="4531" xr3:uid="{38F9A316-A5CC-4E08-96E5-1FE221532527}" name="Column4531"/>
    <tableColumn id="4532" xr3:uid="{9F8236D7-4DDB-45EC-A18D-D892521AD733}" name="Column4532"/>
    <tableColumn id="4533" xr3:uid="{3D5DE91F-10A8-42A0-8C4C-9C026D5A5062}" name="Column4533"/>
    <tableColumn id="4534" xr3:uid="{CEFCD6D9-FE4B-4152-AF86-CA1B23708F88}" name="Column4534"/>
    <tableColumn id="4535" xr3:uid="{86F157BE-CE2B-4764-9C4B-5E4AC12FD268}" name="Column4535"/>
    <tableColumn id="4536" xr3:uid="{F92B8187-2F8B-4FEF-A751-B5DAFD9D2D07}" name="Column4536"/>
    <tableColumn id="4537" xr3:uid="{8AA370F3-DB29-46E1-83E3-A6378CB71A69}" name="Column4537"/>
    <tableColumn id="4538" xr3:uid="{B3F7103C-5C30-4C69-8AD8-4EFADE14E4C8}" name="Column4538"/>
    <tableColumn id="4539" xr3:uid="{31EDA6B5-68BA-4B59-B636-D9BF0B166DE4}" name="Column4539"/>
    <tableColumn id="4540" xr3:uid="{B3E9002F-3030-40D9-87B6-9281EA88514E}" name="Column4540"/>
    <tableColumn id="4541" xr3:uid="{5068AF82-64F4-42FD-B81A-79010A14849B}" name="Column4541"/>
    <tableColumn id="4542" xr3:uid="{0786919D-B507-47CB-AB47-706DA903C7A2}" name="Column4542"/>
    <tableColumn id="4543" xr3:uid="{4D85ADDD-2A08-4436-A8C4-C4B0ACDD3821}" name="Column4543"/>
    <tableColumn id="4544" xr3:uid="{4B980A32-6993-4FE9-8739-CE7FDABEFDC7}" name="Column4544"/>
    <tableColumn id="4545" xr3:uid="{7DC347D4-BE78-43E5-B265-86000DC5AB85}" name="Column4545"/>
    <tableColumn id="4546" xr3:uid="{A6E86EBA-2D0D-4CB2-AB97-BD7F9CE64D31}" name="Column4546"/>
    <tableColumn id="4547" xr3:uid="{6A70B71E-7C87-46AE-A408-46FD151EAF14}" name="Column4547"/>
    <tableColumn id="4548" xr3:uid="{75A97EDA-CF72-40D0-ABDC-F48EC705FC1F}" name="Column4548"/>
    <tableColumn id="4549" xr3:uid="{AF8AED2F-85AA-4364-95D0-C8529FCF813A}" name="Column4549"/>
    <tableColumn id="4550" xr3:uid="{56AC7B17-3E07-4C12-ACD2-EBF22C71BB7F}" name="Column4550"/>
    <tableColumn id="4551" xr3:uid="{E3C1B697-7DEC-48F0-AC7D-C52ED1853B70}" name="Column4551"/>
    <tableColumn id="4552" xr3:uid="{9A685097-FAC2-492B-A4BE-B0B2C9C7F5F2}" name="Column4552"/>
    <tableColumn id="4553" xr3:uid="{1DBCB5CD-FE7D-40AF-9EB4-E9B68DD9F689}" name="Column4553"/>
    <tableColumn id="4554" xr3:uid="{0E6D2294-8962-4D36-AFA5-4FE45CEC02D8}" name="Column4554"/>
    <tableColumn id="4555" xr3:uid="{4150EC1F-9945-4AB0-A12B-75614EF1646A}" name="Column4555"/>
    <tableColumn id="4556" xr3:uid="{D393589A-FE52-4FA2-8DEA-3284F6481E77}" name="Column4556"/>
    <tableColumn id="4557" xr3:uid="{FFEA69CF-BBD1-4123-8B80-1CB76843CDFA}" name="Column4557"/>
    <tableColumn id="4558" xr3:uid="{0180B2C7-E35B-4472-8199-C952B96D3CE6}" name="Column4558"/>
    <tableColumn id="4559" xr3:uid="{D7C70A3C-7EBE-4A25-90BE-903500FBF0F5}" name="Column4559"/>
    <tableColumn id="4560" xr3:uid="{BB6F590A-C63A-417E-8171-8333B8D7BDA7}" name="Column4560"/>
    <tableColumn id="4561" xr3:uid="{49A6EBE6-BD4B-4931-8485-DCDCD4FC1276}" name="Column4561"/>
    <tableColumn id="4562" xr3:uid="{297E62BE-19C5-46C5-BF96-8D2901716EA1}" name="Column4562"/>
    <tableColumn id="4563" xr3:uid="{2F6E9562-E7BB-4980-9096-3032CA1C668D}" name="Column4563"/>
    <tableColumn id="4564" xr3:uid="{8AAC3768-99BE-4C7F-8276-DD502BE85E0D}" name="Column4564"/>
    <tableColumn id="4565" xr3:uid="{81DC3800-D11E-48C4-A40D-B5112798421C}" name="Column4565"/>
    <tableColumn id="4566" xr3:uid="{E6D6DC87-CAA3-445F-A867-C448BDC481C0}" name="Column4566"/>
    <tableColumn id="4567" xr3:uid="{0035CAFA-BF39-44A6-8929-4A0BD434A470}" name="Column4567"/>
    <tableColumn id="4568" xr3:uid="{7B10A669-1452-4E95-A278-71C94C718D0D}" name="Column4568"/>
    <tableColumn id="4569" xr3:uid="{8653A009-A160-4D32-9CDA-73BFF7752BF1}" name="Column4569"/>
    <tableColumn id="4570" xr3:uid="{57ED296E-160F-4396-BD16-3E6DBF928732}" name="Column4570"/>
    <tableColumn id="4571" xr3:uid="{7B148831-3A67-40E3-950B-741051E546FC}" name="Column4571"/>
    <tableColumn id="4572" xr3:uid="{98188BF2-11F4-4DEC-9573-0036DE209162}" name="Column4572"/>
    <tableColumn id="4573" xr3:uid="{3AF1B345-59EB-451F-A56D-03C25CE7C13A}" name="Column4573"/>
    <tableColumn id="4574" xr3:uid="{4231DA44-34CA-4E9D-B9BA-9C84FD18A524}" name="Column4574"/>
    <tableColumn id="4575" xr3:uid="{AF7D18ED-67B8-49CE-919F-AEB74784C072}" name="Column4575"/>
    <tableColumn id="4576" xr3:uid="{A6A87FBC-29DB-4516-A617-417BD4830EF2}" name="Column4576"/>
    <tableColumn id="4577" xr3:uid="{69A5CCA7-5316-4DFE-92BF-18BC812682DB}" name="Column4577"/>
    <tableColumn id="4578" xr3:uid="{D1009E52-554B-4DE4-B778-C6F0BD8F328C}" name="Column4578"/>
    <tableColumn id="4579" xr3:uid="{535D51DD-0FD1-4BC9-9385-9BC7B466014E}" name="Column4579"/>
    <tableColumn id="4580" xr3:uid="{A6C39804-67ED-4EBA-963F-AD3960EB9F3E}" name="Column4580"/>
    <tableColumn id="4581" xr3:uid="{DAB61CB7-FE17-4D4C-8741-2DB7DB21BCD1}" name="Column4581"/>
    <tableColumn id="4582" xr3:uid="{703771BD-A6A6-461C-A078-0A3F1E9A9DDA}" name="Column4582"/>
    <tableColumn id="4583" xr3:uid="{A616F345-11EA-4D5A-8CDD-4C565077DB1F}" name="Column4583"/>
    <tableColumn id="4584" xr3:uid="{DE81AE64-AFDC-4EFC-82C2-A11067DE0A18}" name="Column4584"/>
    <tableColumn id="4585" xr3:uid="{4E628C1B-2981-40DA-97F3-27755D03C6D2}" name="Column4585"/>
    <tableColumn id="4586" xr3:uid="{3668A49C-1AEE-4FEE-877B-3263E1F77D56}" name="Column4586"/>
    <tableColumn id="4587" xr3:uid="{8C96EEB0-1E6D-4BE1-A260-80C67F264F5D}" name="Column4587"/>
    <tableColumn id="4588" xr3:uid="{513DF7BF-3DCA-495A-BB1E-7B9DE4167ADC}" name="Column4588"/>
    <tableColumn id="4589" xr3:uid="{31B3822B-8017-4861-A093-EAE44DB13DF1}" name="Column4589"/>
    <tableColumn id="4590" xr3:uid="{54BC83ED-FFB0-4CFD-9042-3A20D6231993}" name="Column4590"/>
    <tableColumn id="4591" xr3:uid="{B2B5A8A3-4802-470C-A4D0-BDADA609C3C7}" name="Column4591"/>
    <tableColumn id="4592" xr3:uid="{F5144BA2-33C5-4CA7-A372-2136753CB15A}" name="Column4592"/>
    <tableColumn id="4593" xr3:uid="{5EFF11B3-F2D4-4C96-B055-ADBC05028BEC}" name="Column4593"/>
    <tableColumn id="4594" xr3:uid="{36B03B8D-A356-4096-B6F2-6D8F1F05774A}" name="Column4594"/>
    <tableColumn id="4595" xr3:uid="{ACD5DD69-F772-4BC9-88F8-BF6C67234E3E}" name="Column4595"/>
    <tableColumn id="4596" xr3:uid="{24EF81DA-3971-4F6D-B00C-F6396BD257D2}" name="Column4596"/>
    <tableColumn id="4597" xr3:uid="{C784DA0C-19BE-4F73-9BB6-978DD0243467}" name="Column4597"/>
    <tableColumn id="4598" xr3:uid="{796F616A-8CDC-41F3-81F1-3C274F701F02}" name="Column4598"/>
    <tableColumn id="4599" xr3:uid="{896070C7-061B-499A-A341-745F7EE095D1}" name="Column4599"/>
    <tableColumn id="4600" xr3:uid="{3E2C9E1E-63DA-435D-84BC-9F78A61FBA17}" name="Column4600"/>
    <tableColumn id="4601" xr3:uid="{ECD3D0FB-E92E-4DD8-9D97-52B461B38DD6}" name="Column4601"/>
    <tableColumn id="4602" xr3:uid="{2DE239C7-F204-49CB-9A7B-FBE910EBE65C}" name="Column4602"/>
    <tableColumn id="4603" xr3:uid="{8C9D21F7-B4D4-4057-B17C-8B1870D044B3}" name="Column4603"/>
    <tableColumn id="4604" xr3:uid="{3EF5EA45-7ED6-44D5-B4A1-48723E24345C}" name="Column4604"/>
    <tableColumn id="4605" xr3:uid="{2ABE21BC-705B-4502-912E-87FFCB892781}" name="Column4605"/>
    <tableColumn id="4606" xr3:uid="{928652B8-9440-49F3-B76E-3FA7E886DCCA}" name="Column4606"/>
    <tableColumn id="4607" xr3:uid="{7C161128-3519-4CD5-8F71-48243EB1B1B5}" name="Column4607"/>
    <tableColumn id="4608" xr3:uid="{595479CA-4576-4AB6-87D8-245DB7B787F5}" name="Column4608"/>
    <tableColumn id="4609" xr3:uid="{E10772DA-EE74-44C7-BA07-BA047CB75598}" name="Column4609"/>
    <tableColumn id="4610" xr3:uid="{EBF2582A-F8C5-42A5-AC36-FB4EDF3331E7}" name="Column4610"/>
    <tableColumn id="4611" xr3:uid="{83E479BB-BE26-4A7B-A0DF-B6FDBDBC2870}" name="Column4611"/>
    <tableColumn id="4612" xr3:uid="{530458E3-6C06-4EEE-9770-70B2200C76CF}" name="Column4612"/>
    <tableColumn id="4613" xr3:uid="{E3B821D6-385A-4C88-85B5-521D47B1AD07}" name="Column4613"/>
    <tableColumn id="4614" xr3:uid="{A5F14B59-5A01-467A-A41F-FD475DFC83FE}" name="Column4614"/>
    <tableColumn id="4615" xr3:uid="{58DF7B76-5845-485A-90AF-1B6072486488}" name="Column4615"/>
    <tableColumn id="4616" xr3:uid="{C4C49F69-6344-463D-91F9-8524C8BFEEEB}" name="Column4616"/>
    <tableColumn id="4617" xr3:uid="{156893A5-BEB4-49C2-AF30-70017DD56324}" name="Column4617"/>
    <tableColumn id="4618" xr3:uid="{7CB9315B-02B5-4F8F-BBF8-B45451C5CA7D}" name="Column4618"/>
    <tableColumn id="4619" xr3:uid="{288A333D-EFEB-4B2E-AE5B-6FEF7011F581}" name="Column4619"/>
    <tableColumn id="4620" xr3:uid="{56BC302C-06BC-423D-87C2-8AE7908AA1E4}" name="Column4620"/>
    <tableColumn id="4621" xr3:uid="{6F54A9E2-006E-4B10-A49D-2EF893D31566}" name="Column4621"/>
    <tableColumn id="4622" xr3:uid="{1803FB44-8861-459E-A298-28591D73CFE9}" name="Column4622"/>
    <tableColumn id="4623" xr3:uid="{70EFB10B-E3F3-4D6F-9F0C-0DEED7B589DE}" name="Column4623"/>
    <tableColumn id="4624" xr3:uid="{0072A420-56D3-42E0-86D6-A242A26AF93E}" name="Column4624"/>
    <tableColumn id="4625" xr3:uid="{69EECBD2-09CA-4AD1-A7B0-3E6C8638BC3A}" name="Column4625"/>
    <tableColumn id="4626" xr3:uid="{DFF4F231-B24B-4309-A8D4-AB971FF67959}" name="Column4626"/>
    <tableColumn id="4627" xr3:uid="{AD26EDB2-11B9-4772-9543-5C3A1B655B9A}" name="Column4627"/>
    <tableColumn id="4628" xr3:uid="{880C2DB2-1ECC-4D92-8CF4-32EC4A320923}" name="Column4628"/>
    <tableColumn id="4629" xr3:uid="{59DD1638-691F-4E85-B84F-C4BF42FD2118}" name="Column4629"/>
    <tableColumn id="4630" xr3:uid="{9AE76D94-35CB-4EB3-95F5-CA9959F8C16A}" name="Column4630"/>
    <tableColumn id="4631" xr3:uid="{DD1CA147-73E1-48A5-A049-12644DBAB9C8}" name="Column4631"/>
    <tableColumn id="4632" xr3:uid="{64ADB09D-632F-4980-9BF6-C7FFE67007B0}" name="Column4632"/>
    <tableColumn id="4633" xr3:uid="{FB8C270E-8916-4306-BE56-C606752604F3}" name="Column4633"/>
    <tableColumn id="4634" xr3:uid="{9C58E817-8E36-4FD4-A85D-6FBD1D78C165}" name="Column4634"/>
    <tableColumn id="4635" xr3:uid="{29977855-DE24-4050-804A-D77847999872}" name="Column4635"/>
    <tableColumn id="4636" xr3:uid="{A6013C6B-0B2D-436E-9E88-1D91C40EA755}" name="Column4636"/>
    <tableColumn id="4637" xr3:uid="{165775D8-2E44-47CD-8229-FBEF6AB12612}" name="Column4637"/>
    <tableColumn id="4638" xr3:uid="{C8C0C995-50EF-4FBB-BFF4-EB0EE81C1A33}" name="Column4638"/>
    <tableColumn id="4639" xr3:uid="{36920717-2050-4447-9AAD-7AAAF4E534B7}" name="Column4639"/>
    <tableColumn id="4640" xr3:uid="{4B7946F9-ECFE-45F7-8CE9-CB232BF5790E}" name="Column4640"/>
    <tableColumn id="4641" xr3:uid="{919F0EC9-1488-4EA1-BEDB-051241BDDE1B}" name="Column4641"/>
    <tableColumn id="4642" xr3:uid="{C011FB3C-7A15-412E-A37C-FA8B26810139}" name="Column4642"/>
    <tableColumn id="4643" xr3:uid="{E564960A-F6C8-4198-84D6-8B6288DFE504}" name="Column4643"/>
    <tableColumn id="4644" xr3:uid="{070126E0-6AED-408A-90D6-3AA7245ABE28}" name="Column4644"/>
    <tableColumn id="4645" xr3:uid="{CE74EF01-7895-4940-8C1C-0A55A1D8342B}" name="Column4645"/>
    <tableColumn id="4646" xr3:uid="{63FE0A9E-F274-4192-BD95-65AC36F01093}" name="Column4646"/>
    <tableColumn id="4647" xr3:uid="{6AE4B1C2-D360-4244-8BC5-6C0D1226E730}" name="Column4647"/>
    <tableColumn id="4648" xr3:uid="{6D4252CB-97F1-4E4C-9AA7-DFA7514AAE31}" name="Column4648"/>
    <tableColumn id="4649" xr3:uid="{78C972B2-4C98-419A-B9BD-6BFAD79196EC}" name="Column4649"/>
    <tableColumn id="4650" xr3:uid="{118ED67B-86AF-4F88-90B1-A78816B7E838}" name="Column4650"/>
    <tableColumn id="4651" xr3:uid="{2D40D8F7-A7DD-415C-97C4-3CA4167199BD}" name="Column4651"/>
    <tableColumn id="4652" xr3:uid="{222E481B-B30E-443F-ADE6-F10A2B1626A4}" name="Column4652"/>
    <tableColumn id="4653" xr3:uid="{84D0FB72-FB27-48D8-B1D0-EE7D676BEB56}" name="Column4653"/>
    <tableColumn id="4654" xr3:uid="{EB877D51-C351-4590-BC67-7CEA848FEF30}" name="Column4654"/>
    <tableColumn id="4655" xr3:uid="{771625C7-FFEE-43DD-B9B1-7DC372E1F5B5}" name="Column4655"/>
    <tableColumn id="4656" xr3:uid="{1E731A7D-5A0A-418C-8EF6-B733C967FDD2}" name="Column4656"/>
    <tableColumn id="4657" xr3:uid="{849203E7-C92E-4C8C-9D9A-2B1ABBD3740E}" name="Column4657"/>
    <tableColumn id="4658" xr3:uid="{B8956320-24B3-4435-9395-C41945FE6A2A}" name="Column4658"/>
    <tableColumn id="4659" xr3:uid="{A814A576-8DDF-4C87-A249-AABBA07ECF0C}" name="Column4659"/>
    <tableColumn id="4660" xr3:uid="{04090F90-E9ED-4C50-9B68-4C46E50EAA3A}" name="Column4660"/>
    <tableColumn id="4661" xr3:uid="{43DE0B53-96FC-4635-AAD3-2D4248D9622B}" name="Column4661"/>
    <tableColumn id="4662" xr3:uid="{0D36AEB7-2509-4B66-9B5F-103C83087961}" name="Column4662"/>
    <tableColumn id="4663" xr3:uid="{69B8288C-F5B2-4583-9A0E-03FCBF445535}" name="Column4663"/>
    <tableColumn id="4664" xr3:uid="{F09F2589-480B-412D-9C5B-009AE454336D}" name="Column4664"/>
    <tableColumn id="4665" xr3:uid="{23386245-C3E0-46FC-B110-7A8183306DD2}" name="Column4665"/>
    <tableColumn id="4666" xr3:uid="{AD51C4E7-675A-445B-8E87-CF2DB74649B3}" name="Column4666"/>
    <tableColumn id="4667" xr3:uid="{BF331601-1E31-4695-A16C-55B15051A248}" name="Column4667"/>
    <tableColumn id="4668" xr3:uid="{BB4D50E5-298B-4E19-9814-88E2DA29A069}" name="Column4668"/>
    <tableColumn id="4669" xr3:uid="{390D09B0-08A8-4766-8BFC-E72D0D3AE261}" name="Column4669"/>
    <tableColumn id="4670" xr3:uid="{AB561D2E-B1F6-4972-9BBA-4B24BAB5E522}" name="Column4670"/>
    <tableColumn id="4671" xr3:uid="{CBF8A657-D5FB-4CE3-869C-20B07812A026}" name="Column4671"/>
    <tableColumn id="4672" xr3:uid="{A89F7752-AEE1-4E3C-BD3F-91367CEEE1D7}" name="Column4672"/>
    <tableColumn id="4673" xr3:uid="{5A25D05C-E367-48C0-B54A-1F229E0858B2}" name="Column4673"/>
    <tableColumn id="4674" xr3:uid="{9E614F62-B6B5-4D37-960B-C0F56C4CE104}" name="Column4674"/>
    <tableColumn id="4675" xr3:uid="{292ED8D1-B90A-4F21-91A0-2EBA429403F9}" name="Column4675"/>
    <tableColumn id="4676" xr3:uid="{4306B9C2-4950-4967-AAA2-C751A438BC40}" name="Column4676"/>
    <tableColumn id="4677" xr3:uid="{EA3838CC-D97F-40FE-B98D-1E7FAC6B7363}" name="Column4677"/>
    <tableColumn id="4678" xr3:uid="{4FB72441-11C6-45E8-9A35-BD15F2334F4D}" name="Column4678"/>
    <tableColumn id="4679" xr3:uid="{0C512497-7E3F-4F75-93EB-2D437950D6BA}" name="Column4679"/>
    <tableColumn id="4680" xr3:uid="{3A96B5A5-21CD-49CA-A1F3-C31EDF9CE0B9}" name="Column4680"/>
    <tableColumn id="4681" xr3:uid="{C90ED547-2A64-435D-8B8F-056B9D7FA69A}" name="Column4681"/>
    <tableColumn id="4682" xr3:uid="{BD41D567-E83F-4746-AE34-3C1251AF6925}" name="Column4682"/>
    <tableColumn id="4683" xr3:uid="{F6CD254F-D705-48E2-91FB-92676FBABCA6}" name="Column4683"/>
    <tableColumn id="4684" xr3:uid="{EDBB854B-CE55-40CD-AEAE-1384E2649206}" name="Column4684"/>
    <tableColumn id="4685" xr3:uid="{4F403886-DE59-4FFA-AF0B-13278EF014A3}" name="Column4685"/>
    <tableColumn id="4686" xr3:uid="{BEAC3AF6-F40C-4E64-8C9B-59A9F420A003}" name="Column4686"/>
    <tableColumn id="4687" xr3:uid="{8E50FF30-0D55-4E27-832C-C7ADDA52457F}" name="Column4687"/>
    <tableColumn id="4688" xr3:uid="{BCF3EF0D-CB2B-4ED5-8A10-F77D248DD854}" name="Column4688"/>
    <tableColumn id="4689" xr3:uid="{BA2ED164-057B-4A3A-9736-C311B6E37B0A}" name="Column4689"/>
    <tableColumn id="4690" xr3:uid="{E4872D97-AC86-423B-BEBF-34F56ACE0E80}" name="Column4690"/>
    <tableColumn id="4691" xr3:uid="{91DD23F3-837C-4D45-BEAC-71BA5C00CD7C}" name="Column4691"/>
    <tableColumn id="4692" xr3:uid="{20D7D82C-1CEA-41B6-A0F3-574B0C6D33D0}" name="Column4692"/>
    <tableColumn id="4693" xr3:uid="{706AB829-2577-46A8-83E4-52474AC1FE70}" name="Column4693"/>
    <tableColumn id="4694" xr3:uid="{56785D86-CD61-4C11-80DA-6936DDCEEB73}" name="Column4694"/>
    <tableColumn id="4695" xr3:uid="{36CE69AF-7793-4C7C-ABB4-AA245E86590A}" name="Column4695"/>
    <tableColumn id="4696" xr3:uid="{0A6D78D0-4F7A-44BC-BAAB-EE1B7FEFB956}" name="Column4696"/>
    <tableColumn id="4697" xr3:uid="{9EE17851-E1D4-4D48-905A-55E0212B786E}" name="Column4697"/>
    <tableColumn id="4698" xr3:uid="{8D533406-B2C8-4019-ADEF-C17DA2FA9C03}" name="Column4698"/>
    <tableColumn id="4699" xr3:uid="{997A4366-3683-4961-9D5C-B8878FCF96F8}" name="Column4699"/>
    <tableColumn id="4700" xr3:uid="{03EF4518-9DAE-4B0C-BB45-C9FE34CF69E1}" name="Column4700"/>
    <tableColumn id="4701" xr3:uid="{13AC59F5-B2A4-4822-9ECA-25496B87AC02}" name="Column4701"/>
    <tableColumn id="4702" xr3:uid="{0DD0186B-D426-4726-9899-1F778BA2C769}" name="Column4702"/>
    <tableColumn id="4703" xr3:uid="{5BED399E-7C97-4ED5-8549-39FCDFBAD913}" name="Column4703"/>
    <tableColumn id="4704" xr3:uid="{DEBB7F11-80E5-4EFC-AED1-5B28EA1FEAC5}" name="Column4704"/>
    <tableColumn id="4705" xr3:uid="{B948CB27-2A1F-4880-A345-0CFA3384F123}" name="Column4705"/>
    <tableColumn id="4706" xr3:uid="{9E19F633-7801-4917-8E35-6C97DACA64E4}" name="Column4706"/>
    <tableColumn id="4707" xr3:uid="{E3B5699C-706C-4D0D-A4A7-7E0DC1786BCB}" name="Column4707"/>
    <tableColumn id="4708" xr3:uid="{2BCCB4C8-30C4-4673-879E-BE18810705FC}" name="Column4708"/>
    <tableColumn id="4709" xr3:uid="{4851D0F7-3DFC-487A-9998-45D31AB6C53D}" name="Column4709"/>
    <tableColumn id="4710" xr3:uid="{338E3D3C-EEE6-4C68-ACAB-F83E3E911DCC}" name="Column4710"/>
    <tableColumn id="4711" xr3:uid="{C9A55EF4-CDC3-4C78-9D08-B929CA047CE5}" name="Column4711"/>
    <tableColumn id="4712" xr3:uid="{1CED61FD-5276-491F-8E2F-8DAE14B1FEBF}" name="Column4712"/>
    <tableColumn id="4713" xr3:uid="{060C435E-E2FD-4057-880D-1196478762BD}" name="Column4713"/>
    <tableColumn id="4714" xr3:uid="{6AB046F8-6D61-49D0-9507-D38A4C16FD1D}" name="Column4714"/>
    <tableColumn id="4715" xr3:uid="{442F2507-059C-4AD8-A45F-823CD29BB05A}" name="Column4715"/>
    <tableColumn id="4716" xr3:uid="{F3588ADC-1C80-432C-BD7B-D97615E07C4B}" name="Column4716"/>
    <tableColumn id="4717" xr3:uid="{B4CFEA8E-2A3A-4FA1-841E-037CB7FB71A0}" name="Column4717"/>
    <tableColumn id="4718" xr3:uid="{542A7DDC-0B9F-4EC3-BA7D-80847A48C217}" name="Column4718"/>
    <tableColumn id="4719" xr3:uid="{FB3C97C9-33D6-46C6-8292-101CE5824D51}" name="Column4719"/>
    <tableColumn id="4720" xr3:uid="{5C53B7C6-C910-4BEF-87BF-85F780C5E6CB}" name="Column4720"/>
    <tableColumn id="4721" xr3:uid="{8005F155-8334-4703-835C-39E75664F437}" name="Column4721"/>
    <tableColumn id="4722" xr3:uid="{5790CBD3-EB68-407B-ACE0-AF161F24A13E}" name="Column4722"/>
    <tableColumn id="4723" xr3:uid="{3BA41EFA-8015-4B09-BEE9-3FB3421B50CA}" name="Column4723"/>
    <tableColumn id="4724" xr3:uid="{3931CA76-841E-487F-8A1B-40409E7C9A3F}" name="Column4724"/>
    <tableColumn id="4725" xr3:uid="{6F963C39-3ED3-4CAD-AE6C-43BB263DBF59}" name="Column4725"/>
    <tableColumn id="4726" xr3:uid="{AF83610B-7F6E-4E57-8268-3B1C8A04DE22}" name="Column4726"/>
    <tableColumn id="4727" xr3:uid="{05DDE5A3-3362-4BDF-B4CE-54599B17D4E5}" name="Column4727"/>
    <tableColumn id="4728" xr3:uid="{F9035040-8B4C-468B-AC13-5E74653E5B94}" name="Column4728"/>
    <tableColumn id="4729" xr3:uid="{52FBC001-DCB1-477F-9D6B-52CBC276502D}" name="Column4729"/>
    <tableColumn id="4730" xr3:uid="{E7F9D10C-124F-410D-9A6D-7D3158C35581}" name="Column4730"/>
    <tableColumn id="4731" xr3:uid="{B0A74691-C709-4212-AC49-DF6078B29790}" name="Column4731"/>
    <tableColumn id="4732" xr3:uid="{2B520644-88EC-44AE-8A4B-40E02126D466}" name="Column4732"/>
    <tableColumn id="4733" xr3:uid="{7470F17E-BBA1-419D-8F82-2CA5D88AE4F3}" name="Column4733"/>
    <tableColumn id="4734" xr3:uid="{8EDC5094-C216-4E76-9FCA-E2C00BE1E92C}" name="Column4734"/>
    <tableColumn id="4735" xr3:uid="{EF7B1A90-2FA9-46FA-9D53-A13B5D917FDC}" name="Column4735"/>
    <tableColumn id="4736" xr3:uid="{CA83381D-FF43-4EDC-B88C-CC988F976AFD}" name="Column4736"/>
    <tableColumn id="4737" xr3:uid="{53E8415E-7C92-4500-8FB0-4946F8931E52}" name="Column4737"/>
    <tableColumn id="4738" xr3:uid="{3835756F-3444-4B2E-9BDD-4CD53AAD3D8D}" name="Column4738"/>
    <tableColumn id="4739" xr3:uid="{F5385318-082E-498D-808F-C6BAECAB4BCA}" name="Column4739"/>
    <tableColumn id="4740" xr3:uid="{8D219387-40CF-4116-B304-53E59CA0D317}" name="Column4740"/>
    <tableColumn id="4741" xr3:uid="{66F0A843-64A0-4229-A0E0-72A845BAB496}" name="Column4741"/>
    <tableColumn id="4742" xr3:uid="{7106886B-D485-48BD-A3BC-85DCEE680939}" name="Column4742"/>
    <tableColumn id="4743" xr3:uid="{B58CAAE5-4B6C-421A-8262-F24841FCC443}" name="Column4743"/>
    <tableColumn id="4744" xr3:uid="{60BCB618-E6D3-47BA-9491-E4B58BAF6033}" name="Column4744"/>
    <tableColumn id="4745" xr3:uid="{7405128B-F9E0-4D17-A576-8C32AE2CBD7C}" name="Column4745"/>
    <tableColumn id="4746" xr3:uid="{00A9943B-B915-43B9-9369-4B5FD9CAD9F9}" name="Column4746"/>
    <tableColumn id="4747" xr3:uid="{28BCDF98-0B23-4BE4-A4AC-248F8311381C}" name="Column4747"/>
    <tableColumn id="4748" xr3:uid="{2AC5B103-C0C0-47FD-99A3-31FDEDA9EA8C}" name="Column4748"/>
    <tableColumn id="4749" xr3:uid="{FEDFB919-75CD-4634-B076-6E70A62101D2}" name="Column4749"/>
    <tableColumn id="4750" xr3:uid="{91BD4C2C-DDE4-411C-9979-8108388A0EF6}" name="Column4750"/>
    <tableColumn id="4751" xr3:uid="{DF91E68F-E6AD-4BEC-9B2C-BCB947201E08}" name="Column4751"/>
    <tableColumn id="4752" xr3:uid="{5A73EF37-AE07-4546-A096-0BC7A3135DAB}" name="Column4752"/>
    <tableColumn id="4753" xr3:uid="{D8425998-BBD6-4012-8736-3A2D0E41B843}" name="Column4753"/>
    <tableColumn id="4754" xr3:uid="{F42797C8-ABFF-47D5-BE56-E0668FD8506A}" name="Column4754"/>
    <tableColumn id="4755" xr3:uid="{C5889CD0-90E8-428B-B9A6-670E9E79E5DB}" name="Column4755"/>
    <tableColumn id="4756" xr3:uid="{1D89B990-7D47-4C0A-AD33-D3D0D7966D36}" name="Column4756"/>
    <tableColumn id="4757" xr3:uid="{9ECD6FA9-B414-46AD-BB66-FB32BC66D8D4}" name="Column4757"/>
    <tableColumn id="4758" xr3:uid="{4856EB83-9FC5-4A73-BACD-26796EEC3F71}" name="Column4758"/>
    <tableColumn id="4759" xr3:uid="{F79C4629-CFD2-4662-ABC5-80A88103D322}" name="Column4759"/>
    <tableColumn id="4760" xr3:uid="{89F32834-C5B2-4A27-96BA-5C5E175F9D65}" name="Column4760"/>
    <tableColumn id="4761" xr3:uid="{3F98220C-38A1-4B5B-8FA8-234A75AAB22E}" name="Column4761"/>
    <tableColumn id="4762" xr3:uid="{3C9844FA-A41A-40E4-A24B-09EFB9BCE72C}" name="Column4762"/>
    <tableColumn id="4763" xr3:uid="{CF85E0D1-746C-4E7B-9D4B-69E5F1E313C6}" name="Column4763"/>
    <tableColumn id="4764" xr3:uid="{DB609527-B265-4152-B3A0-C00286EBD530}" name="Column4764"/>
    <tableColumn id="4765" xr3:uid="{FEF52C22-CAA0-4832-9FB7-E0416C774DAD}" name="Column4765"/>
    <tableColumn id="4766" xr3:uid="{78A40B55-8640-4F37-B9F2-08975A2C82C9}" name="Column4766"/>
    <tableColumn id="4767" xr3:uid="{F15B8FEB-0942-42BA-8F85-45986A523772}" name="Column4767"/>
    <tableColumn id="4768" xr3:uid="{D46242E2-9FE6-42A6-B7CC-CFBA64A6B67E}" name="Column4768"/>
    <tableColumn id="4769" xr3:uid="{42C4F7E3-CB3C-4414-8285-B68A64780C1C}" name="Column4769"/>
    <tableColumn id="4770" xr3:uid="{5828D7E9-3AD7-4267-83D3-0B872EE179E3}" name="Column4770"/>
    <tableColumn id="4771" xr3:uid="{B6221A0A-40DB-47B8-8C49-CA4B270CD365}" name="Column4771"/>
    <tableColumn id="4772" xr3:uid="{02CFEB9C-BFB1-4073-903B-D44341CD284D}" name="Column4772"/>
    <tableColumn id="4773" xr3:uid="{D4E77858-6739-4194-AF9B-59BA86E66A0F}" name="Column4773"/>
    <tableColumn id="4774" xr3:uid="{84D3F394-018D-4EF3-891D-A77779C9A5FA}" name="Column4774"/>
    <tableColumn id="4775" xr3:uid="{1C11BD54-7C19-41DE-AF1F-F2D5907658B1}" name="Column4775"/>
    <tableColumn id="4776" xr3:uid="{0126EEEA-8FEB-44B5-9014-1D676514E69F}" name="Column4776"/>
    <tableColumn id="4777" xr3:uid="{37BFF903-6908-428B-B596-47B28253A5D0}" name="Column4777"/>
    <tableColumn id="4778" xr3:uid="{02BEB7D9-3FCD-4484-BD9B-529D4AC2D384}" name="Column4778"/>
    <tableColumn id="4779" xr3:uid="{0EC6236A-2110-40FB-8EED-CCD0D76DD2C3}" name="Column4779"/>
    <tableColumn id="4780" xr3:uid="{040260A2-B99B-4226-AF9A-273273B12158}" name="Column4780"/>
    <tableColumn id="4781" xr3:uid="{E3C76712-FD00-4D80-8F42-723485179980}" name="Column4781"/>
    <tableColumn id="4782" xr3:uid="{6C7C6ED3-3C09-43A2-B954-6C5243EDE8DD}" name="Column4782"/>
    <tableColumn id="4783" xr3:uid="{CBB2815A-B365-414D-938E-07807EB9E8B9}" name="Column4783"/>
    <tableColumn id="4784" xr3:uid="{63DF8E12-7487-408E-9E02-7093348F878D}" name="Column4784"/>
    <tableColumn id="4785" xr3:uid="{72322C00-4A25-41EA-870D-EB0129EA39DE}" name="Column4785"/>
    <tableColumn id="4786" xr3:uid="{371E18DA-6D81-45DA-A00F-1F1AE2DAE25E}" name="Column4786"/>
    <tableColumn id="4787" xr3:uid="{F5E2CAA7-E63D-48DD-A3AC-48E95D356660}" name="Column4787"/>
    <tableColumn id="4788" xr3:uid="{C6D2C303-F836-4468-BD96-9F949A967741}" name="Column4788"/>
    <tableColumn id="4789" xr3:uid="{50A2DB87-2E9B-4CB7-8DFD-88F5BB0C1DA4}" name="Column4789"/>
    <tableColumn id="4790" xr3:uid="{E2C7A1E9-C95F-46FB-87A4-EE29C411151F}" name="Column4790"/>
    <tableColumn id="4791" xr3:uid="{4A020BD6-E5E2-49EE-AF49-57D2D549A3EA}" name="Column4791"/>
    <tableColumn id="4792" xr3:uid="{6BC98252-68AE-4694-91E8-BEA63CF1A7DE}" name="Column4792"/>
    <tableColumn id="4793" xr3:uid="{43711B29-9A39-4A7D-A0D0-05C2890D47F2}" name="Column4793"/>
    <tableColumn id="4794" xr3:uid="{B671F463-6FFD-4233-827F-FEE02053D31F}" name="Column4794"/>
    <tableColumn id="4795" xr3:uid="{04378AAD-7D3A-4FE0-98AD-C4760409BA00}" name="Column4795"/>
    <tableColumn id="4796" xr3:uid="{8539333C-B536-4E9B-A90A-BEBA0C01519D}" name="Column4796"/>
    <tableColumn id="4797" xr3:uid="{6A79CE16-9262-4BF8-B866-626E23D18A42}" name="Column4797"/>
    <tableColumn id="4798" xr3:uid="{94AA5077-3DB3-4F27-A92A-C6415BBDEB16}" name="Column4798"/>
    <tableColumn id="4799" xr3:uid="{296E0CEC-747D-4393-892E-A5EEDEBF44F3}" name="Column4799"/>
    <tableColumn id="4800" xr3:uid="{6B5E5CBF-62DD-479C-B789-F1DA3D4F60F0}" name="Column4800"/>
    <tableColumn id="4801" xr3:uid="{DBE17330-8A49-4A89-9EE3-B4E9963F2F5B}" name="Column4801"/>
    <tableColumn id="4802" xr3:uid="{29828D62-0745-4BDE-A38B-4CCF07249C00}" name="Column4802"/>
    <tableColumn id="4803" xr3:uid="{199C5D98-C309-4F1B-83E2-386836DE4104}" name="Column4803"/>
    <tableColumn id="4804" xr3:uid="{34CD47A6-FB0E-43ED-A1D7-00D799B8D002}" name="Column4804"/>
    <tableColumn id="4805" xr3:uid="{E9888FD0-19EF-43D1-A055-7B6BF6685932}" name="Column4805"/>
    <tableColumn id="4806" xr3:uid="{482BBDF7-73D8-4AFA-8041-68E78D3731A4}" name="Column4806"/>
    <tableColumn id="4807" xr3:uid="{E4AE4ACD-C1CC-445F-B3CC-C9136C931BB5}" name="Column4807"/>
    <tableColumn id="4808" xr3:uid="{ECB4BC7E-5530-472F-9430-B2E93AFFAD52}" name="Column4808"/>
    <tableColumn id="4809" xr3:uid="{D33DFCC7-D217-43DD-8FAA-F894F3F314C1}" name="Column4809"/>
    <tableColumn id="4810" xr3:uid="{EDAFC319-F239-4D18-A919-4A92859C2F87}" name="Column4810"/>
    <tableColumn id="4811" xr3:uid="{87BC18CD-B6F0-489A-8638-8838AD1EF5C6}" name="Column4811"/>
    <tableColumn id="4812" xr3:uid="{F0AC080E-009D-4E77-B2F5-F6508A95B901}" name="Column4812"/>
    <tableColumn id="4813" xr3:uid="{4D58A46B-0D81-4AF1-95A1-E2820D24F58E}" name="Column4813"/>
    <tableColumn id="4814" xr3:uid="{02FD52AA-D5AF-4DFC-B057-1A2713A7A2EC}" name="Column4814"/>
    <tableColumn id="4815" xr3:uid="{10A70B1B-89D5-46F4-8CEC-62A0CB92E201}" name="Column4815"/>
    <tableColumn id="4816" xr3:uid="{1E737299-6360-4CCF-8CBA-FF964F93BBA4}" name="Column4816"/>
    <tableColumn id="4817" xr3:uid="{E2457E8B-7D37-4BA0-AC1B-A9B242265F9E}" name="Column4817"/>
    <tableColumn id="4818" xr3:uid="{2A4F7E1F-0284-4792-BDCC-754BFB3A3795}" name="Column4818"/>
    <tableColumn id="4819" xr3:uid="{8ED89E6F-30F4-4C5F-B2BD-AD315EE27457}" name="Column4819"/>
    <tableColumn id="4820" xr3:uid="{DDB469F5-E91F-47AD-829A-8D815AFE49B5}" name="Column4820"/>
    <tableColumn id="4821" xr3:uid="{46125529-7604-458A-B072-9175A1CE327D}" name="Column4821"/>
    <tableColumn id="4822" xr3:uid="{22683788-73DD-4082-A4D4-A1FE27BB97F2}" name="Column4822"/>
    <tableColumn id="4823" xr3:uid="{166644B7-E94F-445A-BC78-89A1C2D59B60}" name="Column4823"/>
    <tableColumn id="4824" xr3:uid="{80843792-5309-4031-A416-E51B72F1C710}" name="Column4824"/>
    <tableColumn id="4825" xr3:uid="{8D757793-39C9-45E4-A690-A5E57C60D33C}" name="Column4825"/>
    <tableColumn id="4826" xr3:uid="{14392DB5-C957-4DFF-A173-9B7785BDA0C8}" name="Column4826"/>
    <tableColumn id="4827" xr3:uid="{E61B4BDB-782C-45AF-A399-F62D6CC6AFC2}" name="Column4827"/>
    <tableColumn id="4828" xr3:uid="{4C55E394-F7DC-4A7C-8F5F-BA6F885CB59D}" name="Column4828"/>
    <tableColumn id="4829" xr3:uid="{656A9F05-C00A-469E-8D7A-867B52A83D04}" name="Column4829"/>
    <tableColumn id="4830" xr3:uid="{1E06A855-69F1-4B34-991E-C5F98666A872}" name="Column4830"/>
    <tableColumn id="4831" xr3:uid="{4C6DB7E7-70C8-4D98-908A-930A87EB65C0}" name="Column4831"/>
    <tableColumn id="4832" xr3:uid="{6BF3CA03-D5F1-4C13-A92A-28D02DD2F200}" name="Column4832"/>
    <tableColumn id="4833" xr3:uid="{17387F6B-6843-47C1-8A44-1EAB7BF8DF5D}" name="Column4833"/>
    <tableColumn id="4834" xr3:uid="{AB75D960-6396-4283-9B40-23296CE794DC}" name="Column4834"/>
    <tableColumn id="4835" xr3:uid="{B4E2DE32-F9F5-4DAB-AAA2-F6FB787610D4}" name="Column4835"/>
    <tableColumn id="4836" xr3:uid="{515BE7FC-DB61-4EDB-B44D-EE8A45C511A1}" name="Column4836"/>
    <tableColumn id="4837" xr3:uid="{5EF3A427-2989-442E-A788-E92D318234A5}" name="Column4837"/>
    <tableColumn id="4838" xr3:uid="{24F2DF07-FA6D-47C9-8489-49DD0433AAEA}" name="Column4838"/>
    <tableColumn id="4839" xr3:uid="{6120791E-8763-4EBC-AEA3-9C2301F660BF}" name="Column4839"/>
    <tableColumn id="4840" xr3:uid="{A2B8C59A-CADE-41B6-B02A-D24DB13448D0}" name="Column4840"/>
    <tableColumn id="4841" xr3:uid="{5DE310A5-A718-4FF0-AD45-E7046A33271B}" name="Column4841"/>
    <tableColumn id="4842" xr3:uid="{E1BD0D51-E6AC-446E-B7B9-663915F74AA2}" name="Column4842"/>
    <tableColumn id="4843" xr3:uid="{28EFFDE4-B4BF-487A-8FF2-CCF573A32782}" name="Column4843"/>
    <tableColumn id="4844" xr3:uid="{D7ED0F9E-FE98-49A7-A17E-F966B86553CD}" name="Column4844"/>
    <tableColumn id="4845" xr3:uid="{8854FEB1-2AC3-4D70-902E-0690A58AD2EC}" name="Column4845"/>
    <tableColumn id="4846" xr3:uid="{9B29D126-B518-42F9-977F-B65764487B5D}" name="Column4846"/>
    <tableColumn id="4847" xr3:uid="{87A6AB9B-FEF8-4FEC-BB43-01FDAEAC21C2}" name="Column4847"/>
    <tableColumn id="4848" xr3:uid="{4AB63243-E5DC-4668-848D-95A45930560B}" name="Column4848"/>
    <tableColumn id="4849" xr3:uid="{7C5DBAE6-BBEE-4F43-8183-840530022507}" name="Column4849"/>
    <tableColumn id="4850" xr3:uid="{642E6D5B-1576-4E7A-9CC1-086EB46E9041}" name="Column4850"/>
    <tableColumn id="4851" xr3:uid="{BB5E3B93-1F4C-4114-B8CE-5D6181458FE6}" name="Column4851"/>
    <tableColumn id="4852" xr3:uid="{20C8140C-E7C5-49A8-B8B7-3628A8FE8891}" name="Column4852"/>
    <tableColumn id="4853" xr3:uid="{F654E500-7D87-46A9-843D-6C5E33FE9AC2}" name="Column4853"/>
    <tableColumn id="4854" xr3:uid="{A7AF1DB2-10CA-49E4-AF00-9DE6253F3709}" name="Column4854"/>
    <tableColumn id="4855" xr3:uid="{FA87F19E-C918-4329-B7CE-EDFEE1DAD7EF}" name="Column4855"/>
    <tableColumn id="4856" xr3:uid="{406CC4E3-7396-4588-B961-64C4864197A0}" name="Column4856"/>
    <tableColumn id="4857" xr3:uid="{D128FDE2-3758-4A23-A664-00EC6046D7E5}" name="Column4857"/>
    <tableColumn id="4858" xr3:uid="{7C43C6E8-17AC-464A-A126-FF40829FFF84}" name="Column4858"/>
    <tableColumn id="4859" xr3:uid="{BCFDC0B0-7F39-4B05-B0E5-54789ACA69B1}" name="Column4859"/>
    <tableColumn id="4860" xr3:uid="{89E30031-8F9D-4B1B-ADB9-CC0048B0E113}" name="Column4860"/>
    <tableColumn id="4861" xr3:uid="{C7BB4665-C044-462C-82E4-7D6F6D876A61}" name="Column4861"/>
    <tableColumn id="4862" xr3:uid="{9C0E7B57-2B2C-447C-8DB4-9B7BCC9EFDC9}" name="Column4862"/>
    <tableColumn id="4863" xr3:uid="{E35742EC-CB1E-4528-8BA2-F3FD677D1F40}" name="Column4863"/>
    <tableColumn id="4864" xr3:uid="{E6B0666A-B766-4839-AE5A-EFA05C986C8C}" name="Column4864"/>
    <tableColumn id="4865" xr3:uid="{F1B3611E-BC0C-4E1E-9FCA-6177E51C62FC}" name="Column4865"/>
    <tableColumn id="4866" xr3:uid="{73E4DF88-1BAD-4230-870F-664A0043F00D}" name="Column4866"/>
    <tableColumn id="4867" xr3:uid="{444E388C-E516-484B-BFD1-B9A796D9D3B5}" name="Column4867"/>
    <tableColumn id="4868" xr3:uid="{8B177CB2-D866-409A-98BA-5A14485E8EF5}" name="Column4868"/>
    <tableColumn id="4869" xr3:uid="{0030E3C6-3069-4480-A208-F390C40AD6F8}" name="Column4869"/>
    <tableColumn id="4870" xr3:uid="{052DEF4E-0A04-4B2E-9A82-0D6A7D755E98}" name="Column4870"/>
    <tableColumn id="4871" xr3:uid="{4B4CFC4C-4523-4346-961F-9B3128300E52}" name="Column4871"/>
    <tableColumn id="4872" xr3:uid="{21985D23-4876-47AE-8514-5EEBD1855975}" name="Column4872"/>
    <tableColumn id="4873" xr3:uid="{3483665A-F527-4512-8021-72C07D0F4DEE}" name="Column4873"/>
    <tableColumn id="4874" xr3:uid="{99C3C67E-9FC8-4953-BED7-B13A0AAF32FE}" name="Column4874"/>
    <tableColumn id="4875" xr3:uid="{41C06958-AD6A-4F81-BED7-B5E65C35366E}" name="Column4875"/>
    <tableColumn id="4876" xr3:uid="{960C0B7D-4DE3-4411-A895-F9CBE07B58F1}" name="Column4876"/>
    <tableColumn id="4877" xr3:uid="{C378C3E3-36E7-4702-96CB-63CAACAA71BD}" name="Column4877"/>
    <tableColumn id="4878" xr3:uid="{F0537C5B-1095-4038-BEA0-67BF6763D400}" name="Column4878"/>
    <tableColumn id="4879" xr3:uid="{0DB4C998-D847-4299-899A-F58F81EC56F0}" name="Column4879"/>
    <tableColumn id="4880" xr3:uid="{D946241E-1312-4D96-9B5D-3CAF06EFB721}" name="Column4880"/>
    <tableColumn id="4881" xr3:uid="{A1CD1C53-A966-47A8-B167-F8F5F5043A8D}" name="Column4881"/>
    <tableColumn id="4882" xr3:uid="{0C7AB5B0-21D7-4C0F-8321-70CD823C6F05}" name="Column4882"/>
    <tableColumn id="4883" xr3:uid="{66F5AA14-BF72-4E58-B4C3-76D782FC488B}" name="Column4883"/>
    <tableColumn id="4884" xr3:uid="{446AF4D5-CAFE-49AB-A247-8D8303A8EEDA}" name="Column4884"/>
    <tableColumn id="4885" xr3:uid="{F5592425-AFA6-43A4-A6E3-B4B9F0681531}" name="Column4885"/>
    <tableColumn id="4886" xr3:uid="{065FED2C-0020-4717-BA35-31E173DE33DC}" name="Column4886"/>
    <tableColumn id="4887" xr3:uid="{382433EB-AF7A-4CC9-AB53-9D025561FB8C}" name="Column4887"/>
    <tableColumn id="4888" xr3:uid="{1A3D5C41-BC35-4E2E-9267-84310398E9FA}" name="Column4888"/>
    <tableColumn id="4889" xr3:uid="{AE6A8E71-CAB5-4716-A2DE-C1CA43CEC02C}" name="Column4889"/>
    <tableColumn id="4890" xr3:uid="{E9486BF3-0CD0-4FFC-9FC0-C4579D2007BF}" name="Column4890"/>
    <tableColumn id="4891" xr3:uid="{EA635341-F6C3-45FD-BD40-01F8B48BCCB5}" name="Column4891"/>
    <tableColumn id="4892" xr3:uid="{AD7B97CF-97CD-4707-9263-0CA0E12AD9AA}" name="Column4892"/>
    <tableColumn id="4893" xr3:uid="{75C28C4C-08B2-4C27-8844-6F3D67A89DA1}" name="Column4893"/>
    <tableColumn id="4894" xr3:uid="{347B97DD-C2B7-4112-827F-1AD1283277CF}" name="Column4894"/>
    <tableColumn id="4895" xr3:uid="{A60DEDC0-3EFA-4888-849D-1026F1453284}" name="Column4895"/>
    <tableColumn id="4896" xr3:uid="{6CE6008B-DCFF-4CCE-8B67-0CE7E4E0D95D}" name="Column4896"/>
    <tableColumn id="4897" xr3:uid="{31E4A75C-2AF2-4F2B-B349-3802E7C850E3}" name="Column4897"/>
    <tableColumn id="4898" xr3:uid="{393FC3C0-85BE-434C-BCAB-CB4D11EC9DDA}" name="Column4898"/>
    <tableColumn id="4899" xr3:uid="{927A5474-6A7B-420B-AE91-BEA9519C022B}" name="Column4899"/>
    <tableColumn id="4900" xr3:uid="{62CF0EE9-754A-4083-8B68-2DAB152708B6}" name="Column4900"/>
    <tableColumn id="4901" xr3:uid="{7ABB9BF7-C1A0-4593-B6EB-D10B212B18EE}" name="Column4901"/>
    <tableColumn id="4902" xr3:uid="{0FAB8698-7103-466E-8236-9654C59EBC8E}" name="Column4902"/>
    <tableColumn id="4903" xr3:uid="{7DC5C5A5-CA8C-416A-94D0-4124F511DB48}" name="Column4903"/>
    <tableColumn id="4904" xr3:uid="{A42147D1-18FE-4FAC-94A4-EBBF06430EC7}" name="Column4904"/>
    <tableColumn id="4905" xr3:uid="{AFF0396B-B6EF-4DB3-8C1F-6ABA1DB62091}" name="Column4905"/>
    <tableColumn id="4906" xr3:uid="{9DC9F33F-6323-47EC-A6B9-78C2039B8921}" name="Column4906"/>
    <tableColumn id="4907" xr3:uid="{50214A02-D3C3-440F-AE1A-1AF9B9C5ACBF}" name="Column4907"/>
    <tableColumn id="4908" xr3:uid="{7B906744-64CC-4550-A257-23189AC032C8}" name="Column4908"/>
    <tableColumn id="4909" xr3:uid="{13CAC56D-2CE5-499C-B8BE-A04994EA9CFA}" name="Column4909"/>
    <tableColumn id="4910" xr3:uid="{A3B5BE2E-662A-4450-965C-4A6F9D2291F1}" name="Column4910"/>
    <tableColumn id="4911" xr3:uid="{2E6E556A-B8EE-4BFC-8486-F670A52A74C3}" name="Column4911"/>
    <tableColumn id="4912" xr3:uid="{2AE3BE58-1FD2-41DD-A43E-A3230D394713}" name="Column4912"/>
    <tableColumn id="4913" xr3:uid="{300D5C40-31DB-41E5-848A-68DB5CE7CFC5}" name="Column4913"/>
    <tableColumn id="4914" xr3:uid="{FE64E131-F26D-476F-9663-273661F84F68}" name="Column4914"/>
    <tableColumn id="4915" xr3:uid="{6D3E1A9C-4286-4A45-9A45-B2B788584186}" name="Column4915"/>
    <tableColumn id="4916" xr3:uid="{DE1D3724-7859-43B3-AB7B-E1B20C393011}" name="Column4916"/>
    <tableColumn id="4917" xr3:uid="{ED9E8B3C-FF7F-4AC4-9329-E6FACECEA88E}" name="Column4917"/>
    <tableColumn id="4918" xr3:uid="{52CC3660-4FA5-436F-AB09-D26C2BDC2E32}" name="Column4918"/>
    <tableColumn id="4919" xr3:uid="{14785B32-4073-429D-9493-4881A9CC9896}" name="Column4919"/>
    <tableColumn id="4920" xr3:uid="{06BA3CC6-0284-482A-B98E-CE24A1029078}" name="Column4920"/>
    <tableColumn id="4921" xr3:uid="{7B170D73-E517-4D8E-A0B2-9CAE0310457D}" name="Column4921"/>
    <tableColumn id="4922" xr3:uid="{02F2D0D0-78A6-4922-BC5A-5CBF0B9152CA}" name="Column4922"/>
    <tableColumn id="4923" xr3:uid="{DE459F44-ED4B-40C2-B4AA-265AB657019D}" name="Column4923"/>
    <tableColumn id="4924" xr3:uid="{21368E8A-46E2-43AC-AEE2-CBCECF894370}" name="Column4924"/>
    <tableColumn id="4925" xr3:uid="{9E3BC3EE-CEF5-411C-8A4D-3F32C36EFAC1}" name="Column4925"/>
    <tableColumn id="4926" xr3:uid="{433C9CEE-1A43-47EF-BA85-67886FE51B93}" name="Column4926"/>
    <tableColumn id="4927" xr3:uid="{86A64571-826F-4AA6-8BA6-C2DCA48F34F1}" name="Column4927"/>
    <tableColumn id="4928" xr3:uid="{F241607B-FE71-437A-A224-295A76A92165}" name="Column4928"/>
    <tableColumn id="4929" xr3:uid="{D95653C6-6CDA-4445-8A9C-202EFA5143E3}" name="Column4929"/>
    <tableColumn id="4930" xr3:uid="{4294B433-E766-4D8D-8671-F9A2476B1663}" name="Column4930"/>
    <tableColumn id="4931" xr3:uid="{2A72A8A8-EC93-43DE-B152-0359821F06FD}" name="Column4931"/>
    <tableColumn id="4932" xr3:uid="{F50813FD-B8B3-44DB-9DCA-0E49C0346974}" name="Column4932"/>
    <tableColumn id="4933" xr3:uid="{CBCA4E34-730D-49B4-82DA-39EA19C55CC3}" name="Column4933"/>
    <tableColumn id="4934" xr3:uid="{86B27994-2AF3-44A5-B4CF-9FB6357ACA36}" name="Column4934"/>
    <tableColumn id="4935" xr3:uid="{5DBFED5F-7EB6-4115-B3E1-C8E28D170A92}" name="Column4935"/>
    <tableColumn id="4936" xr3:uid="{EC5E0DD4-D0A2-4000-8929-7DB9FD050F62}" name="Column4936"/>
    <tableColumn id="4937" xr3:uid="{C75ACC98-EF28-4923-AEEA-6DBD59D8D0F5}" name="Column4937"/>
    <tableColumn id="4938" xr3:uid="{46AE2D6A-CE60-4381-B54D-4895125282C0}" name="Column4938"/>
    <tableColumn id="4939" xr3:uid="{25566DD3-6285-4910-8CE4-E39AC38817AB}" name="Column4939"/>
    <tableColumn id="4940" xr3:uid="{DD1188E4-04CD-4E37-9599-C696FAA5D78D}" name="Column4940"/>
    <tableColumn id="4941" xr3:uid="{E700E56E-6627-4229-B701-D4D696920ADC}" name="Column4941"/>
    <tableColumn id="4942" xr3:uid="{E931AAC5-B20B-4AE4-A770-A23FADA38DDC}" name="Column4942"/>
    <tableColumn id="4943" xr3:uid="{2657C375-F685-4B7F-A859-C8CF41204017}" name="Column4943"/>
    <tableColumn id="4944" xr3:uid="{55A0C327-A9D2-4D4C-89DE-66EFAF36C653}" name="Column4944"/>
    <tableColumn id="4945" xr3:uid="{A48E028D-1367-44F8-ABE9-113EAB85472B}" name="Column4945"/>
    <tableColumn id="4946" xr3:uid="{BD497429-15A3-4B28-A9EE-083036025E34}" name="Column4946"/>
    <tableColumn id="4947" xr3:uid="{3CE73EA2-A6A7-41D9-8D56-FA27F3966C43}" name="Column4947"/>
    <tableColumn id="4948" xr3:uid="{4AF075AF-7ABA-47DB-BB66-8B369C423552}" name="Column4948"/>
    <tableColumn id="4949" xr3:uid="{09617320-9CEB-4E2E-8755-553BF071EE9E}" name="Column4949"/>
    <tableColumn id="4950" xr3:uid="{EEC64B3C-EAF9-46C2-BCBE-D8D93DCC2C16}" name="Column4950"/>
    <tableColumn id="4951" xr3:uid="{02F94929-750C-47C0-8AAD-2C5894273A7B}" name="Column4951"/>
    <tableColumn id="4952" xr3:uid="{EF8C65C1-BA0B-4CF3-B44B-A0277CA0E20D}" name="Column4952"/>
    <tableColumn id="4953" xr3:uid="{DDFE90B9-BFFE-411D-963D-0846D74BF0A4}" name="Column4953"/>
    <tableColumn id="4954" xr3:uid="{2D10075F-5045-440B-AC31-B6C8041F2105}" name="Column4954"/>
    <tableColumn id="4955" xr3:uid="{780CFDD8-371A-4908-AD8F-1F1DCE6FED02}" name="Column4955"/>
    <tableColumn id="4956" xr3:uid="{443C487D-C7EE-42C3-88EE-3E0D4B657BAB}" name="Column4956"/>
    <tableColumn id="4957" xr3:uid="{5E599E6D-3CC2-42E5-813E-A07D1F2E2B57}" name="Column4957"/>
    <tableColumn id="4958" xr3:uid="{E6DA817C-FF86-4DF3-8359-75825811514A}" name="Column4958"/>
    <tableColumn id="4959" xr3:uid="{CBE33108-6763-4F3A-9D3F-F695CD27197B}" name="Column4959"/>
    <tableColumn id="4960" xr3:uid="{A44DC012-C5D3-48CA-8E21-79204560DC39}" name="Column4960"/>
    <tableColumn id="4961" xr3:uid="{8156700D-E477-4017-903B-9165BDF447A6}" name="Column4961"/>
    <tableColumn id="4962" xr3:uid="{A7268CCF-AD69-4C07-8FFE-3C5F74B85A30}" name="Column4962"/>
    <tableColumn id="4963" xr3:uid="{AF5C26F9-C140-42B2-A270-6525CC68E57F}" name="Column4963"/>
    <tableColumn id="4964" xr3:uid="{E8AC972A-5945-4931-8736-DE5A864C1CF7}" name="Column4964"/>
    <tableColumn id="4965" xr3:uid="{68ADABFE-F393-40A4-BB4E-8D79477C29D3}" name="Column4965"/>
    <tableColumn id="4966" xr3:uid="{5B9FAFB8-EEA7-470C-9D90-A73FA5D2B076}" name="Column4966"/>
    <tableColumn id="4967" xr3:uid="{9137727D-3CF1-4352-B132-B2CB34DA365F}" name="Column4967"/>
    <tableColumn id="4968" xr3:uid="{943725B6-7021-4E9A-8AE3-240FB79FCB84}" name="Column4968"/>
    <tableColumn id="4969" xr3:uid="{7CD8EA53-698E-48DE-A769-1DDF2DA2F1C1}" name="Column4969"/>
    <tableColumn id="4970" xr3:uid="{A23DCB8C-3B40-49AA-BF53-8648C39FED5F}" name="Column4970"/>
    <tableColumn id="4971" xr3:uid="{4F86ECAE-1150-4ADC-B6B9-7AB18E91504B}" name="Column4971"/>
    <tableColumn id="4972" xr3:uid="{E0133B8D-F74D-4603-856E-309AE4CB474A}" name="Column4972"/>
    <tableColumn id="4973" xr3:uid="{29BA0209-0AF8-4EE2-A7A7-3FD3A0B32AE9}" name="Column4973"/>
    <tableColumn id="4974" xr3:uid="{E203AC47-DB49-4C36-90A7-55CDCDCAEAEC}" name="Column4974"/>
    <tableColumn id="4975" xr3:uid="{E5FAB682-E590-4596-8C7F-34819F51CF72}" name="Column4975"/>
    <tableColumn id="4976" xr3:uid="{1F473A1C-A00F-4C66-A25A-C696CD5CD0C2}" name="Column4976"/>
    <tableColumn id="4977" xr3:uid="{3ADF162F-9437-4E54-914D-D9CAC751F5CC}" name="Column4977"/>
    <tableColumn id="4978" xr3:uid="{2F4B6139-96C4-4678-86FF-EBC3584A587F}" name="Column4978"/>
    <tableColumn id="4979" xr3:uid="{D088A858-C4A2-469E-96EA-370866A97B53}" name="Column4979"/>
    <tableColumn id="4980" xr3:uid="{89D54162-42AB-43D4-9E60-F2828C5E782F}" name="Column4980"/>
    <tableColumn id="4981" xr3:uid="{9810140C-E46A-471B-87BE-7C7C5B32E92F}" name="Column4981"/>
    <tableColumn id="4982" xr3:uid="{67DD08FC-ACA9-4075-9B87-823A2C4ECBA1}" name="Column4982"/>
    <tableColumn id="4983" xr3:uid="{742AFD4C-9E66-48F6-89B4-1494AFD93BD1}" name="Column4983"/>
    <tableColumn id="4984" xr3:uid="{28C66FCC-563A-4929-B007-0CC521EC6177}" name="Column4984"/>
    <tableColumn id="4985" xr3:uid="{F01E0F16-19D3-49C8-A81B-7C4804E3DFB1}" name="Column4985"/>
    <tableColumn id="4986" xr3:uid="{5D2DA7C8-78C6-45F8-BED5-BB99B83C697F}" name="Column4986"/>
    <tableColumn id="4987" xr3:uid="{CF7769CB-D869-4D7B-A522-A2EAEAF14EE9}" name="Column4987"/>
    <tableColumn id="4988" xr3:uid="{B62D4C71-E828-4149-B0B1-A6724D7A7A81}" name="Column4988"/>
    <tableColumn id="4989" xr3:uid="{8BA4FDB2-0BEF-4F66-A7C2-87BE7875C509}" name="Column4989"/>
    <tableColumn id="4990" xr3:uid="{E19D8E42-6D70-4E90-8794-2B31A07EC7DA}" name="Column4990"/>
    <tableColumn id="4991" xr3:uid="{F8B23646-D1D8-467B-8DA8-9A2750977802}" name="Column4991"/>
    <tableColumn id="4992" xr3:uid="{318047BD-FC0A-495A-911E-49492E73F914}" name="Column4992"/>
    <tableColumn id="4993" xr3:uid="{664672C0-39FB-4287-800D-FC2FF1F38B19}" name="Column4993"/>
    <tableColumn id="4994" xr3:uid="{23738059-01A7-4026-91D6-7EB9905CB4B9}" name="Column4994"/>
    <tableColumn id="4995" xr3:uid="{984D9313-8D36-45BC-AF1D-353FC74C71B1}" name="Column4995"/>
    <tableColumn id="4996" xr3:uid="{9E73B5A1-6B4D-4026-8D1F-B9FEF215D3A9}" name="Column4996"/>
    <tableColumn id="4997" xr3:uid="{0B86897B-A467-49E5-A00C-7A32301A1991}" name="Column4997"/>
    <tableColumn id="4998" xr3:uid="{30E35ACE-DEFB-438F-834B-EA79826F27BC}" name="Column4998"/>
    <tableColumn id="4999" xr3:uid="{A8D84845-A432-4D5D-9333-74D4BC6B6CE2}" name="Column4999"/>
    <tableColumn id="5000" xr3:uid="{72210CB8-C8FC-4457-BADE-8DFE85383140}" name="Column5000"/>
    <tableColumn id="5001" xr3:uid="{D3401AD0-7EFA-4341-92DF-EB6E2801CC55}" name="Column5001"/>
    <tableColumn id="5002" xr3:uid="{CA43316C-0A46-4F77-88A5-1FCBEE4FE644}" name="Column5002"/>
    <tableColumn id="5003" xr3:uid="{ECA4558B-0593-404B-B484-71BAAF854882}" name="Column5003"/>
    <tableColumn id="5004" xr3:uid="{C30A0759-F5DD-4A9E-8CF1-379329E47E97}" name="Column5004"/>
    <tableColumn id="5005" xr3:uid="{7BBAC6B0-4F50-4353-903D-33146F7EDC17}" name="Column5005"/>
    <tableColumn id="5006" xr3:uid="{E071B0C3-448A-4CD8-BB53-2828F7C77953}" name="Column5006"/>
    <tableColumn id="5007" xr3:uid="{ECF2D73C-8B94-4947-B08C-67EB3DD83534}" name="Column5007"/>
    <tableColumn id="5008" xr3:uid="{FC233293-2810-4B5B-A24D-7FFF72A8582C}" name="Column5008"/>
    <tableColumn id="5009" xr3:uid="{E92D7FE8-D3C0-48FF-B1A2-E89E2F406C00}" name="Column5009"/>
    <tableColumn id="5010" xr3:uid="{F8EEC5E2-ED84-4320-965C-FBAFFF3A7907}" name="Column5010"/>
    <tableColumn id="5011" xr3:uid="{4F85DD47-EA2C-45B8-813E-5567BEF5714B}" name="Column5011"/>
    <tableColumn id="5012" xr3:uid="{20AB618D-5E22-4247-A3F3-10FBB551E89F}" name="Column5012"/>
    <tableColumn id="5013" xr3:uid="{982850FB-5CFB-4948-895B-FE67E5DE76D9}" name="Column5013"/>
    <tableColumn id="5014" xr3:uid="{0F5CAA21-4A8F-41C1-9237-7394D8955AB8}" name="Column5014"/>
    <tableColumn id="5015" xr3:uid="{B4C0E374-663B-449B-A5CF-5084779C781B}" name="Column5015"/>
    <tableColumn id="5016" xr3:uid="{5D078A3B-3DB7-4355-8EEB-08C5079C932C}" name="Column5016"/>
    <tableColumn id="5017" xr3:uid="{68984A01-8A96-460E-B361-F9AB0F9C93DB}" name="Column5017"/>
    <tableColumn id="5018" xr3:uid="{BB83C926-35B1-4AF4-8792-D2ACB47BCBE4}" name="Column5018"/>
    <tableColumn id="5019" xr3:uid="{59A46459-7F49-41AD-9D55-80DFEE0D4EE4}" name="Column5019"/>
    <tableColumn id="5020" xr3:uid="{C09C9468-7BC2-44A1-A971-825C5588EB71}" name="Column5020"/>
    <tableColumn id="5021" xr3:uid="{25DDB78A-B32B-4385-995C-1FB05093520D}" name="Column5021"/>
    <tableColumn id="5022" xr3:uid="{46028F6D-A6B1-46BB-BE62-C245E2F4A054}" name="Column5022"/>
    <tableColumn id="5023" xr3:uid="{0828F8AF-7E8C-42D1-AA2D-41FE248855FF}" name="Column5023"/>
    <tableColumn id="5024" xr3:uid="{C6C4E832-11DB-477A-8B99-3B8347492D9C}" name="Column5024"/>
    <tableColumn id="5025" xr3:uid="{3089D67D-D3D1-40F8-A0A6-3D249D687850}" name="Column5025"/>
    <tableColumn id="5026" xr3:uid="{50D46099-25F2-49BC-83C2-CACC81D2F827}" name="Column5026"/>
    <tableColumn id="5027" xr3:uid="{AE27B488-F5DF-4382-8F4C-CA675E1C1C66}" name="Column5027"/>
    <tableColumn id="5028" xr3:uid="{C9400C4B-BA47-47A2-843D-F3BCE23266B6}" name="Column5028"/>
    <tableColumn id="5029" xr3:uid="{712674BB-C2C4-4480-90AE-9757403AC478}" name="Column5029"/>
    <tableColumn id="5030" xr3:uid="{66AD1A30-B0A8-4749-85F8-6D9B4A72F709}" name="Column5030"/>
    <tableColumn id="5031" xr3:uid="{D0F22A7B-402D-4FD1-A511-119EE1E6E470}" name="Column5031"/>
    <tableColumn id="5032" xr3:uid="{FB08D982-508E-4768-9D68-AE368D43558D}" name="Column5032"/>
    <tableColumn id="5033" xr3:uid="{9F314F54-E72B-4D46-845D-25A7B66AFFA7}" name="Column5033"/>
    <tableColumn id="5034" xr3:uid="{12538971-0C5F-41A9-AEC4-5190BCBDCF0E}" name="Column5034"/>
    <tableColumn id="5035" xr3:uid="{A3C019C4-0E3A-48EB-8517-6C1EDBA91469}" name="Column5035"/>
    <tableColumn id="5036" xr3:uid="{DC8499F6-DF19-4940-B86A-461B3529582C}" name="Column5036"/>
    <tableColumn id="5037" xr3:uid="{97FB4BEA-E830-41B5-BE16-E15619F53394}" name="Column5037"/>
    <tableColumn id="5038" xr3:uid="{93195DF8-4B23-4EB1-B749-3A643133CF0A}" name="Column5038"/>
    <tableColumn id="5039" xr3:uid="{877B0F19-EA43-4B07-B7D6-BE4B4CD1BE46}" name="Column5039"/>
    <tableColumn id="5040" xr3:uid="{51946ADF-97FE-4B46-B267-6E9AE61D97B4}" name="Column5040"/>
    <tableColumn id="5041" xr3:uid="{1D86C3DD-5D45-4C0E-B699-E74CE3420D84}" name="Column5041"/>
    <tableColumn id="5042" xr3:uid="{4EE1E8F1-DBF5-4211-8264-D130F7AB0519}" name="Column5042"/>
    <tableColumn id="5043" xr3:uid="{B6DE5019-5BF8-4F7B-967A-A5D6B49A10A6}" name="Column5043"/>
    <tableColumn id="5044" xr3:uid="{AB1F5C61-0E16-402B-877E-0590F7E7BE15}" name="Column5044"/>
    <tableColumn id="5045" xr3:uid="{82B8EA80-05E9-4831-BE03-E5C12BFEFA1D}" name="Column5045"/>
    <tableColumn id="5046" xr3:uid="{FCAE5BD7-A1A1-4414-9739-C163D5490B7C}" name="Column5046"/>
    <tableColumn id="5047" xr3:uid="{803EAEC7-EBD0-4027-B85C-7FCE9D204C93}" name="Column5047"/>
    <tableColumn id="5048" xr3:uid="{27E6C9E7-A074-4FD3-B9B9-87139CD93FB6}" name="Column5048"/>
    <tableColumn id="5049" xr3:uid="{7939C564-47FB-412F-8CDC-18E442A59326}" name="Column5049"/>
    <tableColumn id="5050" xr3:uid="{5E94BC47-410D-448C-96A3-72FEFDB3DDE5}" name="Column5050"/>
    <tableColumn id="5051" xr3:uid="{BB6A90C0-759A-4A1B-9CE6-C6B33DFA6535}" name="Column5051"/>
    <tableColumn id="5052" xr3:uid="{F67E3A8E-4D7C-44CF-873F-02B632115575}" name="Column5052"/>
    <tableColumn id="5053" xr3:uid="{D57C7713-73AC-427E-B68C-95599C1D9005}" name="Column5053"/>
    <tableColumn id="5054" xr3:uid="{DE7C78DA-51C0-4E17-AA0E-B1C42E5005C4}" name="Column5054"/>
    <tableColumn id="5055" xr3:uid="{08C40E17-91CE-4D74-91BB-86FA13D0F521}" name="Column5055"/>
    <tableColumn id="5056" xr3:uid="{040BAFC5-20FC-4991-9D8A-7CB53FF38FE7}" name="Column5056"/>
    <tableColumn id="5057" xr3:uid="{4E71FB92-2AB9-4D8C-A5B0-192D1B215CA1}" name="Column5057"/>
    <tableColumn id="5058" xr3:uid="{FA1C6744-B706-4B55-91B8-338EC451408B}" name="Column5058"/>
    <tableColumn id="5059" xr3:uid="{6382E1E4-01F9-40B8-A649-2D23A3FABF18}" name="Column5059"/>
    <tableColumn id="5060" xr3:uid="{B81FE67A-F6E3-432A-BDE0-8954C3CCEA6F}" name="Column5060"/>
    <tableColumn id="5061" xr3:uid="{C8259CBD-3DFE-4688-9BAF-4B2B13FE2E4E}" name="Column5061"/>
    <tableColumn id="5062" xr3:uid="{14BED017-3CF8-46E4-9FC5-DF0E9C31E1E0}" name="Column5062"/>
    <tableColumn id="5063" xr3:uid="{3A7CEE93-EDE4-4E76-8B39-CB0EDEDA3D2F}" name="Column5063"/>
    <tableColumn id="5064" xr3:uid="{72DF87B4-CAC1-455D-B525-3B7C7CEBC063}" name="Column5064"/>
    <tableColumn id="5065" xr3:uid="{45A827BC-7209-471D-A93F-7A78B168E9FA}" name="Column5065"/>
    <tableColumn id="5066" xr3:uid="{D8B831A6-079B-4E70-BB6B-5EFE65766ED0}" name="Column5066"/>
    <tableColumn id="5067" xr3:uid="{C7B81B3D-AEC7-48EE-A83E-011936830A9A}" name="Column5067"/>
    <tableColumn id="5068" xr3:uid="{FCC0CB14-D532-42D2-AD4E-A160808CC625}" name="Column5068"/>
    <tableColumn id="5069" xr3:uid="{2877C6E7-6904-43AB-AEFC-0F5F94CD5E5F}" name="Column5069"/>
    <tableColumn id="5070" xr3:uid="{726243A9-DF38-46A8-A962-37AFF2B27530}" name="Column5070"/>
    <tableColumn id="5071" xr3:uid="{571AB637-B235-4DF2-885E-1C9CCA799FC1}" name="Column5071"/>
    <tableColumn id="5072" xr3:uid="{A88EDE73-44E9-44C6-86C5-281325FA131F}" name="Column5072"/>
    <tableColumn id="5073" xr3:uid="{8E8D5915-7DC9-411C-91FE-92866D38F0EC}" name="Column5073"/>
    <tableColumn id="5074" xr3:uid="{A8034CCE-4481-42FA-9194-D440E81A1517}" name="Column5074"/>
    <tableColumn id="5075" xr3:uid="{E043A0C2-3875-4F5F-AE23-C8E107A67D1A}" name="Column5075"/>
    <tableColumn id="5076" xr3:uid="{78732E5C-8566-4272-AE53-446E20EB4283}" name="Column5076"/>
    <tableColumn id="5077" xr3:uid="{B4584185-6375-4339-B1E7-4F095958C1A5}" name="Column5077"/>
    <tableColumn id="5078" xr3:uid="{51499AF8-EE0F-4BCF-AE24-45228BEF3F1C}" name="Column5078"/>
    <tableColumn id="5079" xr3:uid="{6EF6D3D8-70C6-4121-8312-407E2A385026}" name="Column5079"/>
    <tableColumn id="5080" xr3:uid="{A88201EA-85E5-4556-B42E-F0D0C7C3AE5F}" name="Column5080"/>
    <tableColumn id="5081" xr3:uid="{D1C1BA05-F560-4094-8E1B-C2C718262A29}" name="Column5081"/>
    <tableColumn id="5082" xr3:uid="{B3C37BAC-B712-42CB-91A4-C2AA98F32461}" name="Column5082"/>
    <tableColumn id="5083" xr3:uid="{11D378AF-8349-4396-8C0C-AC08BEED4494}" name="Column5083"/>
    <tableColumn id="5084" xr3:uid="{D900CFB3-A254-41FF-90F6-73C5242347B4}" name="Column5084"/>
    <tableColumn id="5085" xr3:uid="{7BEAC459-BBA0-4F0E-8CC8-D5DE1724A275}" name="Column5085"/>
    <tableColumn id="5086" xr3:uid="{55E6D886-54C8-4C33-97E4-87E6B70F435F}" name="Column5086"/>
    <tableColumn id="5087" xr3:uid="{94DCA93E-92DD-4525-8B89-DD7E3B6C360C}" name="Column5087"/>
    <tableColumn id="5088" xr3:uid="{52548CB8-8842-4DFA-8BE1-B5F8164F1943}" name="Column5088"/>
    <tableColumn id="5089" xr3:uid="{474BF564-1F5B-451B-A6AC-C8B8F4F5D5F6}" name="Column5089"/>
    <tableColumn id="5090" xr3:uid="{8542FAAB-12CC-420E-867D-4C37F316E823}" name="Column5090"/>
    <tableColumn id="5091" xr3:uid="{442600C7-0EAD-44F7-BF2A-4BE3E2037B3B}" name="Column5091"/>
    <tableColumn id="5092" xr3:uid="{8C39BE84-CAC6-416C-B3BF-703F9EC318E3}" name="Column5092"/>
    <tableColumn id="5093" xr3:uid="{88D901C8-E5C4-43E3-81A5-14327848372B}" name="Column5093"/>
    <tableColumn id="5094" xr3:uid="{60071A14-3B92-4FAD-B686-DC9F578056D1}" name="Column5094"/>
    <tableColumn id="5095" xr3:uid="{01EF02E2-3D65-421F-9A10-2A72F74FE6A8}" name="Column5095"/>
    <tableColumn id="5096" xr3:uid="{3BE91B60-A5D2-4878-9733-A53C59ED329A}" name="Column5096"/>
    <tableColumn id="5097" xr3:uid="{92498025-A97B-49CE-A60A-0E8507D312BC}" name="Column5097"/>
    <tableColumn id="5098" xr3:uid="{4EA019E7-CC39-4C30-A08F-093C5BB10CAF}" name="Column5098"/>
    <tableColumn id="5099" xr3:uid="{66AA14BE-4BFE-47E0-A4D8-4DF6346412B6}" name="Column5099"/>
    <tableColumn id="5100" xr3:uid="{29671B67-B1AF-4374-BC25-CC3DBC63F83F}" name="Column5100"/>
    <tableColumn id="5101" xr3:uid="{62CB0F85-9AA3-4A71-B011-E711D5B2E8D2}" name="Column5101"/>
    <tableColumn id="5102" xr3:uid="{C1B57F88-F17A-4AC1-8A0C-B7FF9029C380}" name="Column5102"/>
    <tableColumn id="5103" xr3:uid="{49D6B9CF-6E7A-4221-B5CB-FA064365F3AB}" name="Column5103"/>
    <tableColumn id="5104" xr3:uid="{EFA2A2FA-30D6-4DEC-9403-F07DBDF71971}" name="Column5104"/>
    <tableColumn id="5105" xr3:uid="{25C4B224-1743-4F06-8D2F-94B577C6B96B}" name="Column5105"/>
    <tableColumn id="5106" xr3:uid="{D2F8632E-5965-43D6-ACAE-C052576640C3}" name="Column5106"/>
    <tableColumn id="5107" xr3:uid="{D2E6E7E1-6322-4C47-91C9-B5DD638FFEDD}" name="Column5107"/>
    <tableColumn id="5108" xr3:uid="{8ADC047F-C319-4096-8492-6F90BDFA42BD}" name="Column5108"/>
    <tableColumn id="5109" xr3:uid="{5878686A-B199-4AF6-9F8B-9DFD8912C418}" name="Column5109"/>
    <tableColumn id="5110" xr3:uid="{2D553097-E5E2-425A-9214-727A41C92105}" name="Column5110"/>
    <tableColumn id="5111" xr3:uid="{BDCD2C73-56BB-4FE8-9C0F-D07FBF74FB67}" name="Column5111"/>
    <tableColumn id="5112" xr3:uid="{BEF5A548-8252-4CF5-BD91-320A11F67D41}" name="Column5112"/>
    <tableColumn id="5113" xr3:uid="{43FE7F2E-86CB-4F2D-9560-5D913A445A01}" name="Column5113"/>
    <tableColumn id="5114" xr3:uid="{C1625499-2BC5-4985-8BEF-1EFB15001968}" name="Column5114"/>
    <tableColumn id="5115" xr3:uid="{BE96E969-9032-456A-9828-A1CDF399E2E0}" name="Column5115"/>
    <tableColumn id="5116" xr3:uid="{BAB9646A-0A47-4335-AC59-803A9700A309}" name="Column5116"/>
    <tableColumn id="5117" xr3:uid="{8B25F732-6BAB-481B-8743-7FFE8A3A9E53}" name="Column5117"/>
    <tableColumn id="5118" xr3:uid="{92AE90BE-FE27-4B66-8E44-44D2088F65E1}" name="Column5118"/>
    <tableColumn id="5119" xr3:uid="{A44C08D7-529A-4422-A3EC-AC36553BEC13}" name="Column5119"/>
    <tableColumn id="5120" xr3:uid="{E9A9091D-7B7D-4590-A43F-6E7B42B7BFFD}" name="Column5120"/>
    <tableColumn id="5121" xr3:uid="{D657FDB4-0142-4AD9-BC3A-4F57EF55E735}" name="Column5121"/>
    <tableColumn id="5122" xr3:uid="{45E82CC7-80A9-4632-9451-E089AA777E5B}" name="Column5122"/>
    <tableColumn id="5123" xr3:uid="{FE3DA088-F396-49C7-B777-C06A52EB34B0}" name="Column5123"/>
    <tableColumn id="5124" xr3:uid="{CBF94A5C-7065-46FA-9D03-5B7C54408354}" name="Column5124"/>
    <tableColumn id="5125" xr3:uid="{2C73C191-6CA3-44F4-95A1-21A366EC5F0A}" name="Column5125"/>
    <tableColumn id="5126" xr3:uid="{8F0160E2-4CC5-49F9-B3E7-F01B02019E09}" name="Column5126"/>
    <tableColumn id="5127" xr3:uid="{89BF3E6B-6B76-4059-BAA8-FB2133BE5D79}" name="Column5127"/>
    <tableColumn id="5128" xr3:uid="{F5D24F62-0646-401A-9B91-6484918FFC14}" name="Column5128"/>
    <tableColumn id="5129" xr3:uid="{7E7A3985-1182-4607-8664-FFB3F1B57B1D}" name="Column5129"/>
    <tableColumn id="5130" xr3:uid="{D96184BA-3496-4FE5-BC0A-BE2F97BED588}" name="Column5130"/>
    <tableColumn id="5131" xr3:uid="{BCF2BC3C-42CD-4842-9885-490B26B2ECCB}" name="Column5131"/>
    <tableColumn id="5132" xr3:uid="{582AE475-EA4B-477C-9E6A-3E5D86258AE5}" name="Column5132"/>
    <tableColumn id="5133" xr3:uid="{2A93D76E-04C1-407C-B15D-903274DED622}" name="Column5133"/>
    <tableColumn id="5134" xr3:uid="{D6681077-1F4C-4F74-9781-C1BB59FBB881}" name="Column5134"/>
    <tableColumn id="5135" xr3:uid="{2129AF55-5659-45A7-88FE-18CE9DE57613}" name="Column5135"/>
    <tableColumn id="5136" xr3:uid="{070BA7AC-76E4-4AFA-875A-8F7AABA37E4A}" name="Column5136"/>
    <tableColumn id="5137" xr3:uid="{65BE8770-77A6-4092-9266-C6025C99E53E}" name="Column5137"/>
    <tableColumn id="5138" xr3:uid="{D9EB9B30-AC4C-44CC-B724-01FCF5C3FB56}" name="Column5138"/>
    <tableColumn id="5139" xr3:uid="{8EA2D33F-2A32-4D31-A045-591F5DE09C65}" name="Column5139"/>
    <tableColumn id="5140" xr3:uid="{36ADC0B2-40BA-4A73-9E88-EAABB01EE3C0}" name="Column5140"/>
    <tableColumn id="5141" xr3:uid="{C19C4B9E-5A46-43F6-9C9D-030E8F0ABCE5}" name="Column5141"/>
    <tableColumn id="5142" xr3:uid="{642C0FF8-2317-4002-A41D-D4D5C621527C}" name="Column5142"/>
    <tableColumn id="5143" xr3:uid="{D9D5662F-A268-4F56-9D85-E79820321D79}" name="Column5143"/>
    <tableColumn id="5144" xr3:uid="{4447AB5B-222F-464F-8C9F-521A22432E80}" name="Column5144"/>
    <tableColumn id="5145" xr3:uid="{F5ED2612-281C-4F9D-AD9A-FD5F3F92794C}" name="Column5145"/>
    <tableColumn id="5146" xr3:uid="{56A485A2-675E-4A3F-88A5-D7C1414B7C87}" name="Column5146"/>
    <tableColumn id="5147" xr3:uid="{D02D4A43-685D-4006-94F7-153C79E288FB}" name="Column5147"/>
    <tableColumn id="5148" xr3:uid="{A1C2F30A-CCB2-4BC4-8689-07C0B3801F1C}" name="Column5148"/>
    <tableColumn id="5149" xr3:uid="{50FC2D80-2ABB-42B9-8EF6-E353EAD3E34E}" name="Column5149"/>
    <tableColumn id="5150" xr3:uid="{E178CCE4-EDE5-48E1-84F6-34623810C0A5}" name="Column5150"/>
    <tableColumn id="5151" xr3:uid="{0DC21D55-237A-4C3C-8BAC-DF837F561690}" name="Column5151"/>
    <tableColumn id="5152" xr3:uid="{C02615F6-0E97-473D-9919-33876CCF5ECC}" name="Column5152"/>
    <tableColumn id="5153" xr3:uid="{88227ED8-D730-452D-ACDC-B4A5DB6BBF3C}" name="Column5153"/>
    <tableColumn id="5154" xr3:uid="{B85B9F2A-AA4D-4A93-8963-818D44E43D4A}" name="Column5154"/>
    <tableColumn id="5155" xr3:uid="{A3CFCC4D-5BEC-4356-ABCC-C841915BB937}" name="Column5155"/>
    <tableColumn id="5156" xr3:uid="{C2C844EE-1632-4A19-8BAD-074080C3FB81}" name="Column5156"/>
    <tableColumn id="5157" xr3:uid="{5D56CBCB-43AC-4FA9-B8C2-E2971FAB80B8}" name="Column5157"/>
    <tableColumn id="5158" xr3:uid="{804DA2FD-4D2A-438F-9D5C-DBEDA0456236}" name="Column5158"/>
    <tableColumn id="5159" xr3:uid="{A769D64E-E92B-4A7A-A032-546EB193280E}" name="Column5159"/>
    <tableColumn id="5160" xr3:uid="{037399C5-ACD8-47B8-9A5B-2F164DB0BE3D}" name="Column5160"/>
    <tableColumn id="5161" xr3:uid="{B16E9B87-069C-4346-A86B-8C6A23803E76}" name="Column5161"/>
    <tableColumn id="5162" xr3:uid="{9A2C2F2B-903B-4B9B-8202-C68BEE6900C9}" name="Column5162"/>
    <tableColumn id="5163" xr3:uid="{49E28F4D-3A6A-401A-821E-E5510A175E34}" name="Column5163"/>
    <tableColumn id="5164" xr3:uid="{D87B2455-BD78-430B-A4C1-E9BDBC05AC27}" name="Column5164"/>
    <tableColumn id="5165" xr3:uid="{5D7329CB-4E13-420E-8367-E6AA11D7AC34}" name="Column5165"/>
    <tableColumn id="5166" xr3:uid="{DE0E1EEA-5A8C-4C9B-ADBA-5C39867E09F4}" name="Column5166"/>
    <tableColumn id="5167" xr3:uid="{FC5E2CD3-1326-4CC7-93D0-C457F36F5B29}" name="Column5167"/>
    <tableColumn id="5168" xr3:uid="{4BA4AD3C-B5A0-46C1-840B-2F9E34992657}" name="Column5168"/>
    <tableColumn id="5169" xr3:uid="{169D6938-732B-4AC1-B953-80714C3B131F}" name="Column5169"/>
    <tableColumn id="5170" xr3:uid="{3A61D8CF-B8B3-410A-934A-86C7ED85527C}" name="Column5170"/>
    <tableColumn id="5171" xr3:uid="{7224E09D-8BBF-468E-8CA9-BFCBB7DDF585}" name="Column5171"/>
    <tableColumn id="5172" xr3:uid="{42A1953A-31A4-4EC4-A99D-AB31700AEE82}" name="Column5172"/>
    <tableColumn id="5173" xr3:uid="{33D80E8E-43C4-4F13-B198-C52E9F50B5E8}" name="Column5173"/>
    <tableColumn id="5174" xr3:uid="{28B0C560-EE75-4587-97F5-4163D41640B3}" name="Column5174"/>
    <tableColumn id="5175" xr3:uid="{9129BDFC-DC38-4211-B1F7-5B90EDB41BF0}" name="Column5175"/>
    <tableColumn id="5176" xr3:uid="{51A6E4E6-EDD9-447E-AAA0-C93D4AF73201}" name="Column5176"/>
    <tableColumn id="5177" xr3:uid="{C7BD8D79-6297-4A19-91F1-0A3208A0C696}" name="Column5177"/>
    <tableColumn id="5178" xr3:uid="{1E645DAE-0C69-4811-9C8A-2B017F3DDB49}" name="Column5178"/>
    <tableColumn id="5179" xr3:uid="{244F8A7A-089B-4F6F-A51B-4FE3BD299048}" name="Column5179"/>
    <tableColumn id="5180" xr3:uid="{A29160F7-CF5B-4197-843E-6E64AF866813}" name="Column5180"/>
    <tableColumn id="5181" xr3:uid="{9869F446-129C-453F-9286-3E337A5A99CD}" name="Column5181"/>
    <tableColumn id="5182" xr3:uid="{1FC5337B-7D4B-4710-9A33-805318E30B23}" name="Column5182"/>
    <tableColumn id="5183" xr3:uid="{09067656-9341-474A-A4F1-87E7F79844F3}" name="Column5183"/>
    <tableColumn id="5184" xr3:uid="{970BC223-9451-47A0-AE83-3E036CB7C5DF}" name="Column5184"/>
    <tableColumn id="5185" xr3:uid="{833CA35B-5A3B-4ED6-8279-CE43D9D97F36}" name="Column5185"/>
    <tableColumn id="5186" xr3:uid="{B8522A7C-4775-45B5-BF69-6E8EA60862D7}" name="Column5186"/>
    <tableColumn id="5187" xr3:uid="{7971C25C-9F51-41E8-96AA-338BEBB37928}" name="Column5187"/>
    <tableColumn id="5188" xr3:uid="{EB8B558A-BD7F-4F3A-B42E-7E15199CA9FB}" name="Column5188"/>
    <tableColumn id="5189" xr3:uid="{DD5FAA98-AF90-429D-B38F-2362D5D07A29}" name="Column5189"/>
    <tableColumn id="5190" xr3:uid="{46FFD504-E504-40B2-BAA6-217AC7F4D858}" name="Column5190"/>
    <tableColumn id="5191" xr3:uid="{E859DB86-FD87-4A2B-A5E6-425326C452CB}" name="Column5191"/>
    <tableColumn id="5192" xr3:uid="{C4E80F35-9AC6-439B-BA8F-1D767095CF44}" name="Column5192"/>
    <tableColumn id="5193" xr3:uid="{898144E9-8DD7-4646-85A6-FA2095D59864}" name="Column5193"/>
    <tableColumn id="5194" xr3:uid="{5452A6E1-C7CC-450F-9141-15AAEF2ABB3A}" name="Column5194"/>
    <tableColumn id="5195" xr3:uid="{F1E67055-F4AF-4554-B260-81E921DB1F8B}" name="Column5195"/>
    <tableColumn id="5196" xr3:uid="{A0872D62-7ABD-475F-9DDC-E4ABADF5BEB5}" name="Column5196"/>
    <tableColumn id="5197" xr3:uid="{CF84BD99-610C-4240-86ED-AE3072D46769}" name="Column5197"/>
    <tableColumn id="5198" xr3:uid="{F0037A13-8EF7-4B2B-BC79-9F47C9C788F3}" name="Column5198"/>
    <tableColumn id="5199" xr3:uid="{5B6B9FA8-79DB-4DC3-95A5-CD81EDD867D3}" name="Column5199"/>
    <tableColumn id="5200" xr3:uid="{B36A4C63-0112-48E1-8259-940EA9BDC356}" name="Column5200"/>
    <tableColumn id="5201" xr3:uid="{E1E723FE-3B0A-4BEA-BAB4-74099841329B}" name="Column5201"/>
    <tableColumn id="5202" xr3:uid="{000B5D89-BF32-4393-A0B7-FADE8920065E}" name="Column5202"/>
    <tableColumn id="5203" xr3:uid="{9778C3D4-92F3-46C2-91C8-BCA33691EDAA}" name="Column5203"/>
    <tableColumn id="5204" xr3:uid="{A641782B-DA97-4D82-B524-468A42482CC7}" name="Column5204"/>
    <tableColumn id="5205" xr3:uid="{174E3763-85F7-434D-94F5-D2E43DFE839E}" name="Column5205"/>
    <tableColumn id="5206" xr3:uid="{D6A38610-07DE-4D1D-B5BA-E7D58F91CB94}" name="Column5206"/>
    <tableColumn id="5207" xr3:uid="{2F0FAE97-1446-4423-9ECD-5A5E3F8227C5}" name="Column5207"/>
    <tableColumn id="5208" xr3:uid="{5F9263BF-ED1D-4327-AB04-EF54533288AB}" name="Column5208"/>
    <tableColumn id="5209" xr3:uid="{443C3A43-25B4-49F3-8EC3-FBBE44EAC379}" name="Column5209"/>
    <tableColumn id="5210" xr3:uid="{E1FEE635-FB60-44F5-A3DD-71802CCBAD83}" name="Column5210"/>
    <tableColumn id="5211" xr3:uid="{3AF186B7-1491-4B50-AFE2-7C62AEE6D01B}" name="Column5211"/>
    <tableColumn id="5212" xr3:uid="{6A684C69-6E0E-4D50-BC70-93DD9236FD70}" name="Column5212"/>
    <tableColumn id="5213" xr3:uid="{3EF75E14-78A8-42C2-9262-B7C47AD33F95}" name="Column5213"/>
    <tableColumn id="5214" xr3:uid="{5A317886-FF46-497C-ADEA-065B69D79C36}" name="Column5214"/>
    <tableColumn id="5215" xr3:uid="{32885819-C464-45B7-975D-DD9793009C65}" name="Column5215"/>
    <tableColumn id="5216" xr3:uid="{B5C2A0F6-1254-4D27-9434-B48E58187F5D}" name="Column5216"/>
    <tableColumn id="5217" xr3:uid="{49794ADC-3BD2-4A20-9771-0EC14970A60D}" name="Column5217"/>
    <tableColumn id="5218" xr3:uid="{192684F4-653B-48C0-9470-132BC6B34F3F}" name="Column5218"/>
    <tableColumn id="5219" xr3:uid="{0109B778-D8A7-4126-8D66-DD630367143F}" name="Column5219"/>
    <tableColumn id="5220" xr3:uid="{76BCAB5A-B432-44AB-A31F-8A2F641D132A}" name="Column5220"/>
    <tableColumn id="5221" xr3:uid="{B88C4FF8-B22E-4A79-9389-460FD2D9B4C5}" name="Column5221"/>
    <tableColumn id="5222" xr3:uid="{57F3CABC-1357-45E0-BB00-4C4D9B1108DF}" name="Column5222"/>
    <tableColumn id="5223" xr3:uid="{EBEBD680-8A32-486C-ABE5-3C0E230560AC}" name="Column5223"/>
    <tableColumn id="5224" xr3:uid="{F93331AD-89EB-494F-B051-B6F7E2DA7AFF}" name="Column5224"/>
    <tableColumn id="5225" xr3:uid="{38B82D39-CC6D-4FAB-8C87-8A1420E8BE7C}" name="Column5225"/>
    <tableColumn id="5226" xr3:uid="{3C13D53E-31A8-4376-98EB-105FFAAF6819}" name="Column5226"/>
    <tableColumn id="5227" xr3:uid="{984C183F-1B1E-4B8E-AA53-2DF00A599B67}" name="Column5227"/>
    <tableColumn id="5228" xr3:uid="{7861F3C5-397D-4094-9349-CE6CBF5DFDDB}" name="Column5228"/>
    <tableColumn id="5229" xr3:uid="{4015EB51-3191-4E97-B044-DDF0BE3EC9A0}" name="Column5229"/>
    <tableColumn id="5230" xr3:uid="{AA88D1DE-8049-4BDD-A45D-68BC630045DD}" name="Column5230"/>
    <tableColumn id="5231" xr3:uid="{70CFD5F5-10FB-4FB2-A79E-A88822CBF5FA}" name="Column5231"/>
    <tableColumn id="5232" xr3:uid="{042DB341-2998-4026-BCB9-F81BEA6C7C61}" name="Column5232"/>
    <tableColumn id="5233" xr3:uid="{E45B4A40-3750-471C-AA1B-6632A2B35970}" name="Column5233"/>
    <tableColumn id="5234" xr3:uid="{FB8DFD3B-73DC-4023-9979-4B5F3E31E13D}" name="Column5234"/>
    <tableColumn id="5235" xr3:uid="{2D7BFE8D-A116-4471-A687-536F35BF2CEB}" name="Column5235"/>
    <tableColumn id="5236" xr3:uid="{1DDB32A0-CC15-4DE5-BB31-CC111A7083DD}" name="Column5236"/>
    <tableColumn id="5237" xr3:uid="{B994793B-323E-4E39-9D96-B7BE7708CE5B}" name="Column5237"/>
    <tableColumn id="5238" xr3:uid="{12A607F9-A659-4A75-983C-1BA76BE34D24}" name="Column5238"/>
    <tableColumn id="5239" xr3:uid="{233B96CF-5C09-46AC-8F5B-C29A3B9F57FE}" name="Column5239"/>
    <tableColumn id="5240" xr3:uid="{DB09B90E-8FCE-4022-B419-CA55985A74BE}" name="Column5240"/>
    <tableColumn id="5241" xr3:uid="{ABD051C1-1A81-465B-B673-B91ABCA2C8C0}" name="Column5241"/>
    <tableColumn id="5242" xr3:uid="{9AC94787-50F2-4C84-948D-DAC47A47F5CC}" name="Column5242"/>
    <tableColumn id="5243" xr3:uid="{9256BE03-A3A7-405C-8253-6948061A8677}" name="Column5243"/>
    <tableColumn id="5244" xr3:uid="{F9E5F36C-9968-450F-9AF6-1B7377B95F6A}" name="Column5244"/>
    <tableColumn id="5245" xr3:uid="{41D34453-64DE-4C60-8164-2F8CD6759D6C}" name="Column5245"/>
    <tableColumn id="5246" xr3:uid="{0819F622-C28F-411B-876D-9B7448295D3A}" name="Column5246"/>
    <tableColumn id="5247" xr3:uid="{08107114-2D3C-4051-85E2-0550344C9864}" name="Column5247"/>
    <tableColumn id="5248" xr3:uid="{926BD2D9-366F-467A-8B27-7D0D156216DA}" name="Column5248"/>
    <tableColumn id="5249" xr3:uid="{868FD9B3-F28A-4842-8E46-BDA6821C99B2}" name="Column5249"/>
    <tableColumn id="5250" xr3:uid="{94063460-D79A-44CC-9BE0-A9C7E3A66263}" name="Column5250"/>
    <tableColumn id="5251" xr3:uid="{6FD3A088-557C-47EF-8838-1FB7901C24A4}" name="Column5251"/>
    <tableColumn id="5252" xr3:uid="{071A1A26-6156-45F1-9EA6-A6D00FEA41B0}" name="Column5252"/>
    <tableColumn id="5253" xr3:uid="{011DBD41-A375-4E73-A29A-F70804D1E865}" name="Column5253"/>
    <tableColumn id="5254" xr3:uid="{E9C85C01-1DAD-4786-BD00-11AB2484D66F}" name="Column5254"/>
    <tableColumn id="5255" xr3:uid="{14997E45-DCF3-4C34-B530-A616FC2A070B}" name="Column5255"/>
    <tableColumn id="5256" xr3:uid="{82D79ECA-6058-4BAF-AAC0-F953AAF151B9}" name="Column5256"/>
    <tableColumn id="5257" xr3:uid="{E6178821-8F70-4455-AB42-E39D2F52A1A1}" name="Column5257"/>
    <tableColumn id="5258" xr3:uid="{CFA82D53-79DB-44E1-899C-038BB9E9394E}" name="Column5258"/>
    <tableColumn id="5259" xr3:uid="{C5FDADBF-E9E0-42E0-9BE4-B972CD830946}" name="Column5259"/>
    <tableColumn id="5260" xr3:uid="{81824398-EF44-47F4-941A-27954A7B95B0}" name="Column5260"/>
    <tableColumn id="5261" xr3:uid="{930AB588-C1C3-4F2B-B35B-A21F100BE1B7}" name="Column5261"/>
    <tableColumn id="5262" xr3:uid="{ADE969C3-34D2-487B-9405-AE47A6732558}" name="Column5262"/>
    <tableColumn id="5263" xr3:uid="{433489CA-E832-4251-9A48-9306241AE93D}" name="Column5263"/>
    <tableColumn id="5264" xr3:uid="{B188E4E0-FA74-4502-8286-0EBA3F40AF44}" name="Column5264"/>
    <tableColumn id="5265" xr3:uid="{2D3CF3F5-79CD-49F8-8C41-0E3AB94911FC}" name="Column5265"/>
    <tableColumn id="5266" xr3:uid="{A5D4D3A5-C2C9-466B-84D4-7B781A2C0B96}" name="Column5266"/>
    <tableColumn id="5267" xr3:uid="{BCC543CD-EA75-40ED-842E-5C252C216616}" name="Column5267"/>
    <tableColumn id="5268" xr3:uid="{FAE3DBF8-04CB-456E-9E8B-88B90B4DA132}" name="Column5268"/>
    <tableColumn id="5269" xr3:uid="{5806B6D6-51F7-45B9-A32B-116D92350532}" name="Column5269"/>
    <tableColumn id="5270" xr3:uid="{B47C641E-1B66-4DD9-815F-29DE4317A1F9}" name="Column5270"/>
    <tableColumn id="5271" xr3:uid="{04B3E7B6-773D-45B5-81E3-C5625823AD2C}" name="Column5271"/>
    <tableColumn id="5272" xr3:uid="{603B5203-C93C-4AA4-B600-B274A50AF1A7}" name="Column5272"/>
    <tableColumn id="5273" xr3:uid="{DD39EFDB-E40C-40FF-BEB5-A6330EF7904A}" name="Column5273"/>
    <tableColumn id="5274" xr3:uid="{7DD9E36E-99FB-4293-9CC9-6F75AE24FB14}" name="Column5274"/>
    <tableColumn id="5275" xr3:uid="{83B9658C-1B60-44EB-9A78-7C6F98B159A1}" name="Column5275"/>
    <tableColumn id="5276" xr3:uid="{570202A7-C443-447F-9EF4-2E7330279AAD}" name="Column5276"/>
    <tableColumn id="5277" xr3:uid="{18206238-EF1E-4E56-95E2-F4A26E89EB52}" name="Column5277"/>
    <tableColumn id="5278" xr3:uid="{20B01390-1BF3-41B7-8741-37562A71A67D}" name="Column5278"/>
    <tableColumn id="5279" xr3:uid="{FDBAB8EC-E852-4A8E-A530-D1B4FD0BE3E7}" name="Column5279"/>
    <tableColumn id="5280" xr3:uid="{CBD35D91-CAE4-4F8F-80A7-724A1B939D74}" name="Column5280"/>
    <tableColumn id="5281" xr3:uid="{1236ADC5-98F1-4AD5-9922-51DD35A25802}" name="Column5281"/>
    <tableColumn id="5282" xr3:uid="{1D943E3C-DA48-4FB3-AC70-77FFDB8B2A33}" name="Column5282"/>
    <tableColumn id="5283" xr3:uid="{30F95529-EFD7-41D1-9209-9C586EB9C280}" name="Column5283"/>
    <tableColumn id="5284" xr3:uid="{6F9BB384-0889-448B-8228-87932431CFA9}" name="Column5284"/>
    <tableColumn id="5285" xr3:uid="{82EC6294-EEA6-45F5-897D-A25BCB29DD8E}" name="Column5285"/>
    <tableColumn id="5286" xr3:uid="{FFE7D381-AD1B-45E3-B4E0-0D16002DF67E}" name="Column5286"/>
    <tableColumn id="5287" xr3:uid="{72785E47-C035-4881-9310-C463FB8EAA70}" name="Column5287"/>
    <tableColumn id="5288" xr3:uid="{44D90228-E3DD-416B-9B0F-310BB3033752}" name="Column5288"/>
    <tableColumn id="5289" xr3:uid="{9479BF1F-11E8-4300-97A6-719AD6FDB1C7}" name="Column5289"/>
    <tableColumn id="5290" xr3:uid="{4CC0FC5A-6137-4819-8F9E-6791E28E80FB}" name="Column5290"/>
    <tableColumn id="5291" xr3:uid="{FDBF181E-AB6A-4BFA-8A3E-BB4657538201}" name="Column5291"/>
    <tableColumn id="5292" xr3:uid="{B9A6CCEF-8ECE-48AC-B5AD-67E62C246CFA}" name="Column5292"/>
    <tableColumn id="5293" xr3:uid="{6B15C826-F57D-4514-8D61-F9B8EC8FE155}" name="Column5293"/>
    <tableColumn id="5294" xr3:uid="{74ED9B8E-E6D7-49F2-AEE2-971957F0761C}" name="Column5294"/>
    <tableColumn id="5295" xr3:uid="{99B5CC75-5F11-4575-8400-4F7B7CCB4785}" name="Column5295"/>
    <tableColumn id="5296" xr3:uid="{DA025039-7AC7-4C3B-9E6A-BB7294C27B08}" name="Column5296"/>
    <tableColumn id="5297" xr3:uid="{2A5F7BF5-9314-41AA-BD17-4C5B56AE6DF9}" name="Column5297"/>
    <tableColumn id="5298" xr3:uid="{C75DA9BA-A276-49E5-915A-7FB352666651}" name="Column5298"/>
    <tableColumn id="5299" xr3:uid="{D8024C82-DBE6-40B9-A16C-A0AD8BD70380}" name="Column5299"/>
    <tableColumn id="5300" xr3:uid="{8CAD29D9-86A8-48B6-961D-7D1731790B8D}" name="Column5300"/>
    <tableColumn id="5301" xr3:uid="{6804DECC-69A3-4C93-B38C-867EF37F0432}" name="Column5301"/>
    <tableColumn id="5302" xr3:uid="{D07F2FB5-47DA-4811-AAA7-298D6D9E68A4}" name="Column5302"/>
    <tableColumn id="5303" xr3:uid="{9750B712-8890-4203-8598-6F547321CC13}" name="Column5303"/>
    <tableColumn id="5304" xr3:uid="{BDA1A207-F37C-4042-986E-483435D24210}" name="Column5304"/>
    <tableColumn id="5305" xr3:uid="{C9B94FB7-D724-479F-8C94-DAE0F10CEA90}" name="Column5305"/>
    <tableColumn id="5306" xr3:uid="{740674FA-C285-49EB-9F94-B0F20CA4DBEA}" name="Column5306"/>
    <tableColumn id="5307" xr3:uid="{0F59DC68-C83F-46D1-8250-A6C92B0FA1EB}" name="Column5307"/>
    <tableColumn id="5308" xr3:uid="{05B36DD1-C43E-446D-98BD-FCB8A1D7A031}" name="Column5308"/>
    <tableColumn id="5309" xr3:uid="{637FA852-1641-43B3-825B-EE69118FD59E}" name="Column5309"/>
    <tableColumn id="5310" xr3:uid="{81612A5D-FAF8-4DB1-AC5B-28F5A76D6E14}" name="Column5310"/>
    <tableColumn id="5311" xr3:uid="{3441CF87-D656-41FA-8E50-6D1C201182AB}" name="Column5311"/>
    <tableColumn id="5312" xr3:uid="{D6E3A5A8-822A-49D2-9FBB-3236FF67D6F3}" name="Column5312"/>
    <tableColumn id="5313" xr3:uid="{342C0CBD-3F4A-41FC-8C2E-3C433B7BFF9E}" name="Column5313"/>
    <tableColumn id="5314" xr3:uid="{F4EE1016-C7A4-4324-B8E6-8ED168732ACA}" name="Column5314"/>
    <tableColumn id="5315" xr3:uid="{32D3B78E-9F84-4587-9852-104E46B417EA}" name="Column5315"/>
    <tableColumn id="5316" xr3:uid="{9601E7A7-E9C8-492D-B709-EBDA1A199634}" name="Column5316"/>
    <tableColumn id="5317" xr3:uid="{F56AE491-ED58-4096-8B3B-D2C2EB8609D2}" name="Column5317"/>
    <tableColumn id="5318" xr3:uid="{F8761D9E-5453-4715-A884-2AF41675FEE1}" name="Column5318"/>
    <tableColumn id="5319" xr3:uid="{EF624B26-E07F-49B3-B6DC-20DEDAFE1230}" name="Column5319"/>
    <tableColumn id="5320" xr3:uid="{8B06BD2E-D92B-4E61-84CA-31B011AF77C2}" name="Column5320"/>
    <tableColumn id="5321" xr3:uid="{2F7BBE8C-AE19-42E8-B968-0985A44B321D}" name="Column5321"/>
    <tableColumn id="5322" xr3:uid="{E75CBC76-163D-4338-924A-17800FB80B04}" name="Column5322"/>
    <tableColumn id="5323" xr3:uid="{8092EC3F-FEBD-4F25-B183-EC06FCC05A8E}" name="Column5323"/>
    <tableColumn id="5324" xr3:uid="{AFF33E35-94F1-4660-B2C4-6273A5F7D850}" name="Column5324"/>
    <tableColumn id="5325" xr3:uid="{BCB62401-94DF-4124-A41F-3328412309B0}" name="Column5325"/>
    <tableColumn id="5326" xr3:uid="{C4E3091A-83AA-448D-B8BC-70F94F0A7E1C}" name="Column5326"/>
    <tableColumn id="5327" xr3:uid="{E594334D-CC39-4051-AD78-FD3B0EDC4851}" name="Column5327"/>
    <tableColumn id="5328" xr3:uid="{15E0CBBA-B5CD-4270-9CAF-FFC72039BF84}" name="Column5328"/>
    <tableColumn id="5329" xr3:uid="{12F4FCFA-7E89-4E50-A87C-8354E9CEAB19}" name="Column5329"/>
    <tableColumn id="5330" xr3:uid="{6138FA3F-393C-4F1F-A1F4-2C16CF86AFC9}" name="Column5330"/>
    <tableColumn id="5331" xr3:uid="{247265EF-6E2D-4184-9064-721E9473715E}" name="Column5331"/>
    <tableColumn id="5332" xr3:uid="{66FB2365-0FFA-4FCB-9751-AD114C90F1B3}" name="Column5332"/>
    <tableColumn id="5333" xr3:uid="{5847B9A0-35D6-48C1-9689-B8CBE79B200E}" name="Column5333"/>
    <tableColumn id="5334" xr3:uid="{312C14DB-0E55-479B-9DB3-210DA73C5061}" name="Column5334"/>
    <tableColumn id="5335" xr3:uid="{07D76622-DE1C-43F2-BB80-04F6358D01C6}" name="Column5335"/>
    <tableColumn id="5336" xr3:uid="{33A4CB15-FCEF-45DF-A13E-8E97260F6BEC}" name="Column5336"/>
    <tableColumn id="5337" xr3:uid="{44A23332-362B-4134-BBDE-109FAA3E5C00}" name="Column5337"/>
    <tableColumn id="5338" xr3:uid="{86C7D0BE-5337-4978-9725-1FD42D616A64}" name="Column5338"/>
    <tableColumn id="5339" xr3:uid="{7BEB9106-9ECA-42BC-85DB-80BD959CA0ED}" name="Column5339"/>
    <tableColumn id="5340" xr3:uid="{934E1B00-FB87-4CF8-A35B-78C57319308F}" name="Column5340"/>
    <tableColumn id="5341" xr3:uid="{17537D9E-4A30-49BB-9FB6-0E6A196CE5F4}" name="Column5341"/>
    <tableColumn id="5342" xr3:uid="{F281C240-C728-4557-8BBA-09B8816A9262}" name="Column5342"/>
    <tableColumn id="5343" xr3:uid="{FA436F32-E895-4FEE-91FF-6424912AFB58}" name="Column5343"/>
    <tableColumn id="5344" xr3:uid="{B7BB9FA5-FD73-4480-8314-862F79F7080E}" name="Column5344"/>
    <tableColumn id="5345" xr3:uid="{BA63C036-4A49-41A8-B920-0FC011997A0E}" name="Column5345"/>
    <tableColumn id="5346" xr3:uid="{FF38B1B0-57CB-4D19-A2B9-192B1C59C3C8}" name="Column5346"/>
    <tableColumn id="5347" xr3:uid="{43A5B9C5-76CE-4CF9-B135-9669F97C83BF}" name="Column5347"/>
    <tableColumn id="5348" xr3:uid="{7F3F4401-F387-4861-9026-BCF5AD924293}" name="Column5348"/>
    <tableColumn id="5349" xr3:uid="{87F9816E-7AB9-4FEE-9BED-A2A0CD4BEEF2}" name="Column5349"/>
    <tableColumn id="5350" xr3:uid="{D7CE5E76-77AD-4DFE-A0E2-E52880603707}" name="Column5350"/>
    <tableColumn id="5351" xr3:uid="{102E5682-90D1-48EE-98A3-A2DA1194697B}" name="Column5351"/>
    <tableColumn id="5352" xr3:uid="{0B91E1CC-F44E-4408-A725-363373F11007}" name="Column5352"/>
    <tableColumn id="5353" xr3:uid="{614E1D20-FDB4-4DA0-86F5-33C96BF040F5}" name="Column5353"/>
    <tableColumn id="5354" xr3:uid="{60E97732-2F0A-4D7F-8EDD-67E83D82B012}" name="Column5354"/>
    <tableColumn id="5355" xr3:uid="{426C9109-44C2-4FD7-98AE-FAC705F2D73B}" name="Column5355"/>
    <tableColumn id="5356" xr3:uid="{DBF91EDF-2DD7-4169-A6B5-5F53518A9AEC}" name="Column5356"/>
    <tableColumn id="5357" xr3:uid="{E5506896-C3A7-4BFD-BD5C-F41C520FDA7E}" name="Column5357"/>
    <tableColumn id="5358" xr3:uid="{0822E731-B8D3-4A6F-9D9B-54E59EAE35F6}" name="Column5358"/>
    <tableColumn id="5359" xr3:uid="{127E10E2-2EA9-4F0D-98E3-06FAA8E657C8}" name="Column5359"/>
    <tableColumn id="5360" xr3:uid="{2DC3AB13-5859-46D1-A0B9-CD18E259207B}" name="Column5360"/>
    <tableColumn id="5361" xr3:uid="{E703DB37-C245-495F-A15D-62202FD78AC5}" name="Column5361"/>
    <tableColumn id="5362" xr3:uid="{6ECBC95B-BC46-41E9-9C77-76C3BA1418F7}" name="Column5362"/>
    <tableColumn id="5363" xr3:uid="{5EBF34B8-023B-477C-AF25-BADEFA666FC3}" name="Column5363"/>
    <tableColumn id="5364" xr3:uid="{8111FFF1-3F9E-4F4D-8D77-E9D7DFAE7CDE}" name="Column5364"/>
    <tableColumn id="5365" xr3:uid="{A4B3BF6C-5259-4A3E-81FE-FC4622B69E03}" name="Column5365"/>
    <tableColumn id="5366" xr3:uid="{90AD0300-629B-4EDD-A818-0E4688FCDD91}" name="Column5366"/>
    <tableColumn id="5367" xr3:uid="{266A9D10-BD1B-479A-86A8-C3EF9B2BD241}" name="Column5367"/>
    <tableColumn id="5368" xr3:uid="{01E70E19-E0FD-48A2-840E-C0271CF202E2}" name="Column5368"/>
    <tableColumn id="5369" xr3:uid="{3C9F73B8-A3A3-4242-93EE-50E954A4D0BC}" name="Column5369"/>
    <tableColumn id="5370" xr3:uid="{C55E1027-87B4-46F0-9DC5-BA5D49B8174A}" name="Column5370"/>
    <tableColumn id="5371" xr3:uid="{A59B2FAD-228D-46F2-9179-7748E0B6F7D8}" name="Column5371"/>
    <tableColumn id="5372" xr3:uid="{BB13D91B-20B4-4C9F-B1C1-ACA46BBB4EDF}" name="Column5372"/>
    <tableColumn id="5373" xr3:uid="{42588F25-0781-4A68-ACA1-8EBA54F04EF1}" name="Column5373"/>
    <tableColumn id="5374" xr3:uid="{598F5030-6767-4581-A369-BE5C3D2C3FF6}" name="Column5374"/>
    <tableColumn id="5375" xr3:uid="{F8F8B451-DEA0-4572-A2A2-E995D8091203}" name="Column5375"/>
    <tableColumn id="5376" xr3:uid="{29BAEF62-B114-470E-B0CA-965998B39D49}" name="Column5376"/>
    <tableColumn id="5377" xr3:uid="{02195343-EE57-4127-9C3A-1487D8C9CE3C}" name="Column5377"/>
    <tableColumn id="5378" xr3:uid="{88E4578E-0275-4E8D-9905-965D5795C40D}" name="Column5378"/>
    <tableColumn id="5379" xr3:uid="{32510240-23C5-4C31-8E38-93CE7E1EC7F1}" name="Column5379"/>
    <tableColumn id="5380" xr3:uid="{399FD5D8-C59D-4278-B149-4C7438A2EE1D}" name="Column5380"/>
    <tableColumn id="5381" xr3:uid="{F285447E-1E4B-4FFC-BFF1-0D2672421967}" name="Column5381"/>
    <tableColumn id="5382" xr3:uid="{24F07C41-2F6A-47D7-865D-4445C521E4EF}" name="Column5382"/>
    <tableColumn id="5383" xr3:uid="{C7A6775C-D906-416C-953A-342F91639ACB}" name="Column5383"/>
    <tableColumn id="5384" xr3:uid="{22D563F5-1512-479D-A421-A6782CB54774}" name="Column5384"/>
    <tableColumn id="5385" xr3:uid="{5CC7E151-A4C6-42D9-8693-32C6D7814EC2}" name="Column5385"/>
    <tableColumn id="5386" xr3:uid="{73482B13-5F58-4405-BFFF-A899DA073234}" name="Column5386"/>
    <tableColumn id="5387" xr3:uid="{C61E60CA-188D-4285-8DED-8AA09FB3774E}" name="Column5387"/>
    <tableColumn id="5388" xr3:uid="{7EAA1807-C33C-4418-8FA8-E77EF9A89261}" name="Column5388"/>
    <tableColumn id="5389" xr3:uid="{5947697D-5518-46C0-B689-F59954750138}" name="Column5389"/>
    <tableColumn id="5390" xr3:uid="{1AF331EF-2CC4-4089-B130-F91C942CB553}" name="Column5390"/>
    <tableColumn id="5391" xr3:uid="{9202F2B3-97EB-48FA-B4BB-1BD33D859D0F}" name="Column5391"/>
    <tableColumn id="5392" xr3:uid="{669F66BA-CD0D-491C-9C73-19980EBAA4EF}" name="Column5392"/>
    <tableColumn id="5393" xr3:uid="{131F21AF-EBC8-4762-877E-D6E666BFE585}" name="Column5393"/>
    <tableColumn id="5394" xr3:uid="{BA8AE781-7DDA-4351-8885-960430604C29}" name="Column5394"/>
    <tableColumn id="5395" xr3:uid="{71194713-2F05-4223-8B2C-4B22AAB8E526}" name="Column5395"/>
    <tableColumn id="5396" xr3:uid="{12D0FBD5-53E7-4A25-9357-BF695B20CB2A}" name="Column5396"/>
    <tableColumn id="5397" xr3:uid="{0936F8E3-6C2F-408B-9B11-87A694C11DDD}" name="Column5397"/>
    <tableColumn id="5398" xr3:uid="{380540BA-CCC3-4643-ADED-EADD481690DD}" name="Column5398"/>
    <tableColumn id="5399" xr3:uid="{D069471A-4C58-4BE7-B324-9B85A3AA0729}" name="Column5399"/>
    <tableColumn id="5400" xr3:uid="{FC625114-D063-42D8-8881-7A4CAC9E1728}" name="Column5400"/>
    <tableColumn id="5401" xr3:uid="{D65FD4FB-994B-4498-AFBD-7B1FD33B8CE1}" name="Column5401"/>
    <tableColumn id="5402" xr3:uid="{F48A8E5C-26D3-42B2-9F0A-CB27E00A9ED6}" name="Column5402"/>
    <tableColumn id="5403" xr3:uid="{E76B6096-2D1E-40D0-9003-BDE4362C3174}" name="Column5403"/>
    <tableColumn id="5404" xr3:uid="{E6D8DCC2-55CD-43CC-9278-629D245F48AB}" name="Column5404"/>
    <tableColumn id="5405" xr3:uid="{5C845885-AED4-43BA-9503-B16FFC8488E5}" name="Column5405"/>
    <tableColumn id="5406" xr3:uid="{C95B605C-069D-4D32-AA81-A5B7E2EB2B72}" name="Column5406"/>
    <tableColumn id="5407" xr3:uid="{D79A5CDC-531D-460B-AA7C-E40ED8A8DA8F}" name="Column5407"/>
    <tableColumn id="5408" xr3:uid="{545C0375-2535-4EB8-9895-D7E42C0B143B}" name="Column5408"/>
    <tableColumn id="5409" xr3:uid="{DFA639FE-9BE8-4668-B911-88C5BFA1334A}" name="Column5409"/>
    <tableColumn id="5410" xr3:uid="{B417A7C2-087F-4DAD-A2B3-BBB3C6D973AD}" name="Column5410"/>
    <tableColumn id="5411" xr3:uid="{1E9FBA3B-4B89-4C55-9571-C2215960B156}" name="Column5411"/>
    <tableColumn id="5412" xr3:uid="{7DCFFABB-C228-4C4F-A56E-F2EE62315DC0}" name="Column5412"/>
    <tableColumn id="5413" xr3:uid="{03065428-1873-44DC-9A35-8FCB9B3EC939}" name="Column5413"/>
    <tableColumn id="5414" xr3:uid="{9980645F-30D6-4245-B12A-DB6CD2A25041}" name="Column5414"/>
    <tableColumn id="5415" xr3:uid="{5915A35F-8116-4CB0-830B-1081180F0635}" name="Column5415"/>
    <tableColumn id="5416" xr3:uid="{22B3AD16-0554-4A5A-8C8B-A8C7F389FDE5}" name="Column5416"/>
    <tableColumn id="5417" xr3:uid="{D4E521FB-C36C-4500-812B-41AFCEF94BF7}" name="Column5417"/>
    <tableColumn id="5418" xr3:uid="{60423CAE-AECB-45AB-8588-06FDDC3B2113}" name="Column5418"/>
    <tableColumn id="5419" xr3:uid="{FBB62EAB-27C7-4988-B26D-82D35BDE06CC}" name="Column5419"/>
    <tableColumn id="5420" xr3:uid="{1480BB5A-0CDB-487C-A855-7B90271A7CEF}" name="Column5420"/>
    <tableColumn id="5421" xr3:uid="{89F9DB8B-6C8F-4776-B782-E54DAFACA479}" name="Column5421"/>
    <tableColumn id="5422" xr3:uid="{CEEBF654-6ECD-4D5B-BCA0-E8D4C61AF432}" name="Column5422"/>
    <tableColumn id="5423" xr3:uid="{CCA6F205-24D5-4ECA-8545-A979B0B89C02}" name="Column5423"/>
    <tableColumn id="5424" xr3:uid="{FE4F5B63-A705-4BF7-B5C1-A67A3E6DABBC}" name="Column5424"/>
    <tableColumn id="5425" xr3:uid="{2E4603AA-8F2E-4ACC-B746-BEF1B2C8E471}" name="Column5425"/>
    <tableColumn id="5426" xr3:uid="{00A6C783-36A7-4A9D-8359-BF3216DBA84A}" name="Column5426"/>
    <tableColumn id="5427" xr3:uid="{88A78964-041F-4469-BFC2-AF03727E8DCA}" name="Column5427"/>
    <tableColumn id="5428" xr3:uid="{C196812C-47DB-4917-9003-2B7AD4F60403}" name="Column5428"/>
    <tableColumn id="5429" xr3:uid="{7C04EE0C-1EFC-45DA-A1CC-1DFCFD785CDC}" name="Column5429"/>
    <tableColumn id="5430" xr3:uid="{915AA5CB-41D0-42EF-84AD-0EC9B69CDBDD}" name="Column5430"/>
    <tableColumn id="5431" xr3:uid="{2396103F-2A00-46FD-9457-4E4B78FE25BC}" name="Column5431"/>
    <tableColumn id="5432" xr3:uid="{10B270A9-C14C-4D32-B543-D268A0FDE9E4}" name="Column5432"/>
    <tableColumn id="5433" xr3:uid="{463705D4-34F7-41D2-8553-6E39A3E69A39}" name="Column5433"/>
    <tableColumn id="5434" xr3:uid="{6D957989-885C-4554-8853-4B8652DA83D8}" name="Column5434"/>
    <tableColumn id="5435" xr3:uid="{7FF77783-E419-416A-A0BF-98783FDF9CA8}" name="Column5435"/>
    <tableColumn id="5436" xr3:uid="{593A9123-2BB0-4C00-906B-36A4CCD2827A}" name="Column5436"/>
    <tableColumn id="5437" xr3:uid="{9FC561CC-03CD-4DF9-AFD4-670325F1818B}" name="Column5437"/>
    <tableColumn id="5438" xr3:uid="{C1468FBA-5177-4DE6-A082-7E0D98540C5F}" name="Column5438"/>
    <tableColumn id="5439" xr3:uid="{B92D0D3A-1DB6-43D9-87FD-B559F343AEBF}" name="Column5439"/>
    <tableColumn id="5440" xr3:uid="{F482253C-44FD-412E-A369-FA170807F9AF}" name="Column5440"/>
    <tableColumn id="5441" xr3:uid="{B5B883CF-CC3E-47DA-9614-855DC026031A}" name="Column5441"/>
    <tableColumn id="5442" xr3:uid="{9A115B55-297E-4085-80F2-73058DCBAC6F}" name="Column5442"/>
    <tableColumn id="5443" xr3:uid="{5ECE5EF3-310F-4381-AC71-CD8100D3E7EC}" name="Column5443"/>
    <tableColumn id="5444" xr3:uid="{1162B1C9-7A3B-49F6-9FD8-04264BBD049F}" name="Column5444"/>
    <tableColumn id="5445" xr3:uid="{F106CB0B-2B85-40B4-B113-7783B07289E9}" name="Column5445"/>
    <tableColumn id="5446" xr3:uid="{0EEE1244-43F9-4840-A883-257D836C2BB5}" name="Column5446"/>
    <tableColumn id="5447" xr3:uid="{FCA16BAD-A543-4CCE-8E7F-D3BFD5916A4B}" name="Column5447"/>
    <tableColumn id="5448" xr3:uid="{6273EF81-1846-41C0-8EFF-0B7A7DBFCE15}" name="Column5448"/>
    <tableColumn id="5449" xr3:uid="{F9568903-EC29-4B86-BCE6-001F35772AAD}" name="Column5449"/>
    <tableColumn id="5450" xr3:uid="{F84D1E82-39B0-458F-8CA1-98EA423DFDCA}" name="Column5450"/>
    <tableColumn id="5451" xr3:uid="{23880E7E-6253-48B8-B99F-00AC6954BA9E}" name="Column5451"/>
    <tableColumn id="5452" xr3:uid="{403F7F4E-D3B9-46DA-BF89-B127F52FE8DE}" name="Column5452"/>
    <tableColumn id="5453" xr3:uid="{51959B19-6423-4180-AF63-477515432F80}" name="Column5453"/>
    <tableColumn id="5454" xr3:uid="{247D44E7-2F1B-4640-BEE0-BFE7DA6B1010}" name="Column5454"/>
    <tableColumn id="5455" xr3:uid="{A10FC7AC-8D93-4FFC-B60B-A15786D2499E}" name="Column5455"/>
    <tableColumn id="5456" xr3:uid="{6A78E3CF-07EB-4FB8-9B01-EBF463C0FBFE}" name="Column5456"/>
    <tableColumn id="5457" xr3:uid="{83B3064E-8E7E-411D-B8F5-2329184F3D6C}" name="Column5457"/>
    <tableColumn id="5458" xr3:uid="{F0035206-0F6E-4DD1-BE3F-2A0ED6FA24F1}" name="Column5458"/>
    <tableColumn id="5459" xr3:uid="{BBC4C8F0-0661-419B-8C40-F595AF2A3802}" name="Column5459"/>
    <tableColumn id="5460" xr3:uid="{01C36CAD-66F1-4D76-B41A-FCE30C622856}" name="Column5460"/>
    <tableColumn id="5461" xr3:uid="{DBF49AE6-89CF-4FAE-9FFB-B5CA3A0F0DC6}" name="Column5461"/>
    <tableColumn id="5462" xr3:uid="{C86C581B-C00F-4CEC-B3DE-6BE631231217}" name="Column5462"/>
    <tableColumn id="5463" xr3:uid="{A5961658-F8B1-42AC-957B-FAF073860C5C}" name="Column5463"/>
    <tableColumn id="5464" xr3:uid="{BE30ED89-7F81-4B46-8A84-82DB76489F28}" name="Column5464"/>
    <tableColumn id="5465" xr3:uid="{79A3AA62-F6AF-4387-B543-02145AB5D6BA}" name="Column5465"/>
    <tableColumn id="5466" xr3:uid="{C3801178-DEAD-4622-82C7-720427673F65}" name="Column5466"/>
    <tableColumn id="5467" xr3:uid="{C97F23CF-E479-41B9-93B1-A4BAFB95479E}" name="Column5467"/>
    <tableColumn id="5468" xr3:uid="{4DC9C4B7-C69E-4AF1-9A0E-782B84551085}" name="Column5468"/>
    <tableColumn id="5469" xr3:uid="{3ABBE977-F365-4980-A569-16B07A80E648}" name="Column5469"/>
    <tableColumn id="5470" xr3:uid="{61851669-39E3-45A7-A8C2-7BEF29118EB0}" name="Column5470"/>
    <tableColumn id="5471" xr3:uid="{B0542051-80A4-4B3D-AF45-75C87B603A38}" name="Column5471"/>
    <tableColumn id="5472" xr3:uid="{E55715C3-E42B-41C2-A6F8-0DD3F6A263C8}" name="Column5472"/>
    <tableColumn id="5473" xr3:uid="{0E4191B6-188C-4932-83FA-39E743617549}" name="Column5473"/>
    <tableColumn id="5474" xr3:uid="{265E784E-633D-44E3-8767-4E95D702468C}" name="Column5474"/>
    <tableColumn id="5475" xr3:uid="{907D678D-35BE-4A6A-AF68-2D3032A764D7}" name="Column5475"/>
    <tableColumn id="5476" xr3:uid="{DBD1CC05-98AF-47D0-86D4-B507CCFACD2E}" name="Column5476"/>
    <tableColumn id="5477" xr3:uid="{0EEC9CE3-F793-4273-840F-5A5752E882B2}" name="Column5477"/>
    <tableColumn id="5478" xr3:uid="{994A93E7-9325-47E5-86AC-DE84BE65E0C9}" name="Column5478"/>
    <tableColumn id="5479" xr3:uid="{60A3030F-732B-4344-B8D4-6189D5A353B3}" name="Column5479"/>
    <tableColumn id="5480" xr3:uid="{D098167F-191B-4C1B-970E-816849F291A4}" name="Column5480"/>
    <tableColumn id="5481" xr3:uid="{A7DA348B-D783-4812-B3BA-08CE22DF9252}" name="Column5481"/>
    <tableColumn id="5482" xr3:uid="{30557FC5-A4A3-4F7F-B100-5E12EFDAACD8}" name="Column5482"/>
    <tableColumn id="5483" xr3:uid="{1C9F894B-71F9-4473-B4EE-4641B7214206}" name="Column5483"/>
    <tableColumn id="5484" xr3:uid="{9BF139DD-73B2-4521-890A-FF69FE7F662C}" name="Column5484"/>
    <tableColumn id="5485" xr3:uid="{A0E3B286-D6D9-4F8A-9ABE-0A711024ABBE}" name="Column5485"/>
    <tableColumn id="5486" xr3:uid="{740E525B-781E-4F1F-B780-49945C04ACA1}" name="Column5486"/>
    <tableColumn id="5487" xr3:uid="{0D8DA00C-3B23-466F-91FA-49D2B0B0C0C8}" name="Column5487"/>
    <tableColumn id="5488" xr3:uid="{59A70F3F-423C-4EB4-AA1E-F7F39D259E6A}" name="Column5488"/>
    <tableColumn id="5489" xr3:uid="{C3E843E8-D299-443D-9148-DB4B5B403C89}" name="Column5489"/>
    <tableColumn id="5490" xr3:uid="{5337B2FA-6006-45E6-BC98-CF772E4772B6}" name="Column5490"/>
    <tableColumn id="5491" xr3:uid="{56081B8C-8DED-4567-A98A-8E182C009118}" name="Column5491"/>
    <tableColumn id="5492" xr3:uid="{981C854D-739D-4A38-BABB-6E8E2186FCFB}" name="Column5492"/>
    <tableColumn id="5493" xr3:uid="{C77369BC-DA34-4094-8FBF-457EDFD86640}" name="Column5493"/>
    <tableColumn id="5494" xr3:uid="{F2DD11B9-BA91-4D8B-8D3F-9692FB3A25BE}" name="Column5494"/>
    <tableColumn id="5495" xr3:uid="{8F860F09-42FF-45BC-8A29-095F14A7B639}" name="Column5495"/>
    <tableColumn id="5496" xr3:uid="{52AE35DC-5A9B-44E0-B26B-2365BF7B040D}" name="Column5496"/>
    <tableColumn id="5497" xr3:uid="{C026B85E-3AFE-41F7-8129-288D886F5061}" name="Column5497"/>
    <tableColumn id="5498" xr3:uid="{2F9EDF59-9E2E-4645-9C5A-D5A593CB4EED}" name="Column5498"/>
    <tableColumn id="5499" xr3:uid="{52CF145D-2C23-4AF4-B308-C1AC9FB8E5BB}" name="Column5499"/>
    <tableColumn id="5500" xr3:uid="{2FDBC40E-9002-4857-82A2-E52C0E56955B}" name="Column5500"/>
    <tableColumn id="5501" xr3:uid="{14EC9787-4641-417F-B666-3419A7B2782A}" name="Column5501"/>
    <tableColumn id="5502" xr3:uid="{CCB069D4-6645-4E69-96D0-3AF05130B8E8}" name="Column5502"/>
    <tableColumn id="5503" xr3:uid="{52946429-7D71-47A3-897B-4E3474E89335}" name="Column5503"/>
    <tableColumn id="5504" xr3:uid="{92CB6EF0-D0CD-43D7-AFAE-5A16D610A610}" name="Column5504"/>
    <tableColumn id="5505" xr3:uid="{1D39C80D-0051-435D-A6C2-E3F29BECA92A}" name="Column5505"/>
    <tableColumn id="5506" xr3:uid="{0F7B7EED-0109-4A35-B4AF-361178A12D6E}" name="Column5506"/>
    <tableColumn id="5507" xr3:uid="{E5CD0554-AA61-4DA5-8B6E-8667F6FB4BE9}" name="Column5507"/>
    <tableColumn id="5508" xr3:uid="{D736150C-6C63-4AD2-83C8-6FF45B3A7E67}" name="Column5508"/>
    <tableColumn id="5509" xr3:uid="{CAB19D01-53DE-4040-BE38-8660C28A2D85}" name="Column5509"/>
    <tableColumn id="5510" xr3:uid="{4BC11E00-FA64-427B-B57B-521D17F7036D}" name="Column5510"/>
    <tableColumn id="5511" xr3:uid="{717C192C-3454-4845-BEBF-C3D6390596DE}" name="Column5511"/>
    <tableColumn id="5512" xr3:uid="{5302F9B8-3F4D-46AF-BB46-2FCA5F7D7F2B}" name="Column5512"/>
    <tableColumn id="5513" xr3:uid="{AF0A727B-A9FA-4353-92C0-FF49E899FAFB}" name="Column5513"/>
    <tableColumn id="5514" xr3:uid="{F2F2C810-4ACD-494A-AA2F-89E1F9F852D0}" name="Column5514"/>
    <tableColumn id="5515" xr3:uid="{31036155-C604-485C-B8B8-09B29A2734F6}" name="Column5515"/>
    <tableColumn id="5516" xr3:uid="{7F5DDE61-D723-436E-B2D8-8AD76192FAFA}" name="Column5516"/>
    <tableColumn id="5517" xr3:uid="{BBF8A00B-AC8B-49D9-9930-29017A259696}" name="Column5517"/>
    <tableColumn id="5518" xr3:uid="{F82B395B-A6D9-45B0-B300-D78E763ECD1B}" name="Column5518"/>
    <tableColumn id="5519" xr3:uid="{55DE58B4-6FC0-4E37-BCBF-2A43CE780D97}" name="Column5519"/>
    <tableColumn id="5520" xr3:uid="{120BFCB8-8225-40A4-9ED9-99BD14093031}" name="Column5520"/>
    <tableColumn id="5521" xr3:uid="{A2167DC1-9171-46D9-A663-ED38450DF961}" name="Column5521"/>
    <tableColumn id="5522" xr3:uid="{988A8E8D-8B06-46AF-907E-DC43B2D87B09}" name="Column5522"/>
    <tableColumn id="5523" xr3:uid="{118C2FB1-B02A-48D9-BD75-28404DE837A2}" name="Column5523"/>
    <tableColumn id="5524" xr3:uid="{8CA36DF0-154F-435F-AAC1-6AD882E4E2D7}" name="Column5524"/>
    <tableColumn id="5525" xr3:uid="{961628AA-0AFA-4348-B231-4C96610B4597}" name="Column5525"/>
    <tableColumn id="5526" xr3:uid="{0C3AFD40-1482-4FE9-B7B4-782360092975}" name="Column5526"/>
    <tableColumn id="5527" xr3:uid="{D94229B9-72D7-4D3E-ADC0-772EE98F75F7}" name="Column5527"/>
    <tableColumn id="5528" xr3:uid="{2D291156-43BB-4C00-BE36-CE3004E108FB}" name="Column5528"/>
    <tableColumn id="5529" xr3:uid="{E6ECAD5F-147D-4208-A55F-A6FE0C3CC3C4}" name="Column5529"/>
    <tableColumn id="5530" xr3:uid="{4F9B4409-362C-4394-8A08-54B6DE7367DB}" name="Column5530"/>
    <tableColumn id="5531" xr3:uid="{DD325564-64FE-4789-AE93-0320FDB13637}" name="Column5531"/>
    <tableColumn id="5532" xr3:uid="{2B07947E-7E4A-493C-9BB9-AD12E044311E}" name="Column5532"/>
    <tableColumn id="5533" xr3:uid="{BCD2C6DD-52C2-42E7-83CE-C4CE7A1E6E6C}" name="Column5533"/>
    <tableColumn id="5534" xr3:uid="{BD7CD493-BD2B-438A-BD7D-D78C2409BFDB}" name="Column5534"/>
    <tableColumn id="5535" xr3:uid="{713D51AB-F2C5-4F7F-B511-F2BF1753F257}" name="Column5535"/>
    <tableColumn id="5536" xr3:uid="{E1B0C60C-B3C3-4B6C-9259-F2C0DE984AC4}" name="Column5536"/>
    <tableColumn id="5537" xr3:uid="{8F905CB5-7829-43FB-A41D-8ABB33B4A410}" name="Column5537"/>
    <tableColumn id="5538" xr3:uid="{86D4DC62-2390-4C82-B222-57445152F16F}" name="Column5538"/>
    <tableColumn id="5539" xr3:uid="{E0332F41-3468-41DA-B835-3A006A386AB8}" name="Column5539"/>
    <tableColumn id="5540" xr3:uid="{A89B1799-B35D-41AE-A214-9902B4A27237}" name="Column5540"/>
    <tableColumn id="5541" xr3:uid="{3D25C557-3B15-49B8-9903-FFAEEDD51A25}" name="Column5541"/>
    <tableColumn id="5542" xr3:uid="{5409C9DF-F870-44D9-84E7-5338B9523E12}" name="Column5542"/>
    <tableColumn id="5543" xr3:uid="{9DEE742F-0536-4653-B32E-6CD3F631F504}" name="Column5543"/>
    <tableColumn id="5544" xr3:uid="{80162D2F-CAD6-4B6F-8D43-D098FB69A443}" name="Column5544"/>
    <tableColumn id="5545" xr3:uid="{BE307F42-5097-4FF0-ACC5-3CA5257A24C6}" name="Column5545"/>
    <tableColumn id="5546" xr3:uid="{DC731C44-0FBC-4497-A501-81193C7CEC42}" name="Column5546"/>
    <tableColumn id="5547" xr3:uid="{490D3336-6068-47E3-B4E9-2D67682A20C1}" name="Column5547"/>
    <tableColumn id="5548" xr3:uid="{F27A7107-DB00-4748-BBC9-62A5D032390B}" name="Column5548"/>
    <tableColumn id="5549" xr3:uid="{944AF955-1519-4EC5-9B6C-2C142DF18649}" name="Column5549"/>
    <tableColumn id="5550" xr3:uid="{D4425FE7-99CB-4A04-A2D3-D0D11D838EAC}" name="Column5550"/>
    <tableColumn id="5551" xr3:uid="{9FFBE3CF-266D-4403-A1F2-E4B35A6F4434}" name="Column5551"/>
    <tableColumn id="5552" xr3:uid="{DB91BACE-FA71-4E4B-8C21-68393031E04A}" name="Column5552"/>
    <tableColumn id="5553" xr3:uid="{3C6C6851-FE0C-4469-B5E4-FD8247A1C27D}" name="Column5553"/>
    <tableColumn id="5554" xr3:uid="{2C7F2951-44B7-4CCE-A275-2A49BAD400D7}" name="Column5554"/>
    <tableColumn id="5555" xr3:uid="{36D8509F-1FD7-48E8-9C2C-8161B206561D}" name="Column5555"/>
    <tableColumn id="5556" xr3:uid="{0480DF24-C94D-402D-AE3A-331BAFA1E450}" name="Column5556"/>
    <tableColumn id="5557" xr3:uid="{C4ABABFD-7505-4BA9-955B-E3EF251FF2FB}" name="Column5557"/>
    <tableColumn id="5558" xr3:uid="{DC344173-E9CE-41CC-BD35-C2ECFBFB54C6}" name="Column5558"/>
    <tableColumn id="5559" xr3:uid="{DCDCF26D-F7B4-4621-BFA2-CB59407C5928}" name="Column5559"/>
    <tableColumn id="5560" xr3:uid="{D4EACFAD-E080-40B4-A3FE-2B1AFD423233}" name="Column5560"/>
    <tableColumn id="5561" xr3:uid="{F07573D0-5BD1-4DA1-83A3-1D969F034592}" name="Column5561"/>
    <tableColumn id="5562" xr3:uid="{28BB7BFE-C0DB-4533-A6AB-AFF54624249A}" name="Column5562"/>
    <tableColumn id="5563" xr3:uid="{6CB93A63-69BC-4923-95F1-E11CEF4DEE83}" name="Column5563"/>
    <tableColumn id="5564" xr3:uid="{636313F0-AF54-48A8-B3FB-9F7D655DE617}" name="Column5564"/>
    <tableColumn id="5565" xr3:uid="{E0E2EE5C-9DF2-4BA7-97A2-F18610578B31}" name="Column5565"/>
    <tableColumn id="5566" xr3:uid="{9889BA9C-E171-41BA-9253-0389B346D892}" name="Column5566"/>
    <tableColumn id="5567" xr3:uid="{AC6C1A3F-DF57-4B9F-ACA9-6D423F975006}" name="Column5567"/>
    <tableColumn id="5568" xr3:uid="{5FA9548A-1E24-44A4-A09F-77FF0BE982C5}" name="Column5568"/>
    <tableColumn id="5569" xr3:uid="{A4371CBB-AD09-419F-A42C-B22A9E500B13}" name="Column5569"/>
    <tableColumn id="5570" xr3:uid="{2770C157-C1DE-4220-9A24-E4BE8D1C0883}" name="Column5570"/>
    <tableColumn id="5571" xr3:uid="{F06213DC-34BB-44BA-8772-A96B32C62DD1}" name="Column5571"/>
    <tableColumn id="5572" xr3:uid="{665258AF-D7D6-4D73-98A6-A264A070CA29}" name="Column5572"/>
    <tableColumn id="5573" xr3:uid="{EBE624BA-B4F2-46DC-B266-170233E35173}" name="Column5573"/>
    <tableColumn id="5574" xr3:uid="{CD6614D8-07DB-4497-B97A-288CA9F270E0}" name="Column5574"/>
    <tableColumn id="5575" xr3:uid="{70B1C933-A3DF-4B1E-BE3D-830E200397AF}" name="Column5575"/>
    <tableColumn id="5576" xr3:uid="{80B02FDE-B326-4AA7-A7A8-02D4078418D5}" name="Column5576"/>
    <tableColumn id="5577" xr3:uid="{C6D9EC95-86EC-4B58-88E1-2903364EC2AD}" name="Column5577"/>
    <tableColumn id="5578" xr3:uid="{0CE28145-33FA-4292-AAA5-C52B2A3132D5}" name="Column5578"/>
    <tableColumn id="5579" xr3:uid="{F75D3F45-5A48-4A3F-B0B8-F85C3B09F316}" name="Column5579"/>
    <tableColumn id="5580" xr3:uid="{B7B78ECB-C16C-447C-83F4-BDEF6104935F}" name="Column5580"/>
    <tableColumn id="5581" xr3:uid="{5D10532D-B412-4DEA-BDA9-36DC024A470F}" name="Column5581"/>
    <tableColumn id="5582" xr3:uid="{58D0CD5B-0FE1-4D40-AC91-5B80EEF13181}" name="Column5582"/>
    <tableColumn id="5583" xr3:uid="{5A6BDDD4-04F6-4003-8DF2-52F8E0AAD016}" name="Column5583"/>
    <tableColumn id="5584" xr3:uid="{927D688F-424F-4AA0-9962-BE5D661C6BF2}" name="Column5584"/>
    <tableColumn id="5585" xr3:uid="{41A18BA6-C906-474C-8C1A-C77BD9D027F4}" name="Column5585"/>
    <tableColumn id="5586" xr3:uid="{C8DFF818-38B2-41D4-8A44-69F130C1F907}" name="Column5586"/>
    <tableColumn id="5587" xr3:uid="{C1122008-6C06-42E3-9C79-CE9D3517FF05}" name="Column5587"/>
    <tableColumn id="5588" xr3:uid="{C763FE0F-A92C-4726-BA83-E408F6D97E65}" name="Column5588"/>
    <tableColumn id="5589" xr3:uid="{86C9DE07-B9B4-454E-B074-53403722B8D7}" name="Column5589"/>
    <tableColumn id="5590" xr3:uid="{50AF4401-0B62-4118-9ACF-FDAFE8639DD0}" name="Column5590"/>
    <tableColumn id="5591" xr3:uid="{482B7C8C-61F5-42D3-AE7B-8609E001B1FE}" name="Column5591"/>
    <tableColumn id="5592" xr3:uid="{4D55FDCF-FA5B-46F7-895F-92B387549325}" name="Column5592"/>
    <tableColumn id="5593" xr3:uid="{45C12463-42DF-4189-AA28-79EB10DBD98C}" name="Column5593"/>
    <tableColumn id="5594" xr3:uid="{5F1F1AD0-3011-42F1-A0A9-24B5B418727B}" name="Column5594"/>
    <tableColumn id="5595" xr3:uid="{7CE66E07-4A56-43EF-BFFF-C0762948E401}" name="Column5595"/>
    <tableColumn id="5596" xr3:uid="{7CE020C3-E0EB-446D-8303-08BC2B1230FA}" name="Column5596"/>
    <tableColumn id="5597" xr3:uid="{B5F0B6BC-FD96-4C01-905F-F8212FCFDBA2}" name="Column5597"/>
    <tableColumn id="5598" xr3:uid="{C5BA223D-5070-4138-89D6-930E648FF4FC}" name="Column5598"/>
    <tableColumn id="5599" xr3:uid="{9C505950-1578-47AB-9159-EE53FB2FB541}" name="Column5599"/>
    <tableColumn id="5600" xr3:uid="{5B667A36-1359-4777-BF35-6321669417CB}" name="Column5600"/>
    <tableColumn id="5601" xr3:uid="{799E24AA-730D-4D8B-B72E-CA5A4CD9296F}" name="Column5601"/>
    <tableColumn id="5602" xr3:uid="{5F926D4F-4CB8-4C0E-A7F8-BF0D09436290}" name="Column5602"/>
    <tableColumn id="5603" xr3:uid="{7E4B88AA-A7B1-4AEC-A44B-2215E0D4D499}" name="Column5603"/>
    <tableColumn id="5604" xr3:uid="{791D461C-7929-4EB5-A8AE-A89A1F03AAFA}" name="Column5604"/>
    <tableColumn id="5605" xr3:uid="{9CB5248F-536F-48E5-90FA-C7BB243248C4}" name="Column5605"/>
    <tableColumn id="5606" xr3:uid="{25909552-C1E4-49F5-8567-C5C4B7CC38CF}" name="Column5606"/>
    <tableColumn id="5607" xr3:uid="{41F2F3B3-567D-4899-A857-A1A7E8DD0C09}" name="Column5607"/>
    <tableColumn id="5608" xr3:uid="{A522A6E7-60AA-4745-A6DA-4E9167F0FDD5}" name="Column5608"/>
    <tableColumn id="5609" xr3:uid="{490D9EFA-BECB-4E17-B008-B68279DE720A}" name="Column5609"/>
    <tableColumn id="5610" xr3:uid="{5C20EC56-D3EF-480D-8639-E53B511B12DA}" name="Column5610"/>
    <tableColumn id="5611" xr3:uid="{8FB0B264-5979-4414-89FD-08E070765710}" name="Column5611"/>
    <tableColumn id="5612" xr3:uid="{9373C33C-2245-4E24-BD51-81AFA25C47C0}" name="Column5612"/>
    <tableColumn id="5613" xr3:uid="{8781A365-B648-4B40-8478-035E8C9178E3}" name="Column5613"/>
    <tableColumn id="5614" xr3:uid="{61151D8E-9437-4B95-8338-51DBE727F3E9}" name="Column5614"/>
    <tableColumn id="5615" xr3:uid="{10083724-BD15-4445-A6F8-4619C7D1ABA5}" name="Column5615"/>
    <tableColumn id="5616" xr3:uid="{21D7B284-B98F-4893-BC8B-E8D9673413CE}" name="Column5616"/>
    <tableColumn id="5617" xr3:uid="{094950C3-C742-4F31-BB18-BB9A065B70B2}" name="Column5617"/>
    <tableColumn id="5618" xr3:uid="{B27B653C-6E7B-48A5-A92C-4717328629D7}" name="Column5618"/>
    <tableColumn id="5619" xr3:uid="{B8F0D7EB-042C-4F5D-8E70-86F94EA8E98A}" name="Column5619"/>
    <tableColumn id="5620" xr3:uid="{63FBE2DC-6C3E-4A02-8080-597A9A8CCC2C}" name="Column5620"/>
    <tableColumn id="5621" xr3:uid="{E2D74D85-B05E-416F-BD02-B3B6A6E27FA3}" name="Column5621"/>
    <tableColumn id="5622" xr3:uid="{1900BCBF-FC1E-4EEB-A8FC-E5CBA5B78FAE}" name="Column5622"/>
    <tableColumn id="5623" xr3:uid="{99983625-FF00-4CCE-A35E-67F138894C75}" name="Column5623"/>
    <tableColumn id="5624" xr3:uid="{67C1734C-FA31-4A4E-947F-F572E7B1C2A5}" name="Column5624"/>
    <tableColumn id="5625" xr3:uid="{5C1BBB56-6AA3-4037-8DBC-F8E1A77D09D2}" name="Column5625"/>
    <tableColumn id="5626" xr3:uid="{FA1B87C2-CD64-4B41-A3E5-4B86458F6210}" name="Column5626"/>
    <tableColumn id="5627" xr3:uid="{EC3AD031-21D0-455C-ACF7-9BCF0BB01720}" name="Column5627"/>
    <tableColumn id="5628" xr3:uid="{AC2B27C1-8470-4C77-A811-4818C1416BE7}" name="Column5628"/>
    <tableColumn id="5629" xr3:uid="{01A0C8E8-A5DD-424B-B1A4-AC4C400E6A0E}" name="Column5629"/>
    <tableColumn id="5630" xr3:uid="{810812A5-DDA1-4F88-B6DF-FFCBF1BB8062}" name="Column5630"/>
    <tableColumn id="5631" xr3:uid="{1FFFC34D-849F-4F23-967E-804091F2EC1B}" name="Column5631"/>
    <tableColumn id="5632" xr3:uid="{BE9237EC-8FEB-4FE0-869F-D0A7AFB1D3AE}" name="Column5632"/>
    <tableColumn id="5633" xr3:uid="{E8100FA2-2BCB-40DD-9A3E-095C6E8C5B2E}" name="Column5633"/>
    <tableColumn id="5634" xr3:uid="{066F3F3A-10DE-4B98-91D6-F66246879E58}" name="Column5634"/>
    <tableColumn id="5635" xr3:uid="{C657532B-7B5E-48A8-8388-672888D2BC6D}" name="Column5635"/>
    <tableColumn id="5636" xr3:uid="{5D4B86C2-28DB-452E-B0DB-00EA006DC082}" name="Column5636"/>
    <tableColumn id="5637" xr3:uid="{BBEA2AA9-474F-4B3F-8C67-86C3B9593B04}" name="Column5637"/>
    <tableColumn id="5638" xr3:uid="{2E378869-3E66-4F47-BADB-CEFA775ABDB7}" name="Column5638"/>
    <tableColumn id="5639" xr3:uid="{49C3A20B-D57B-45D4-B7C8-B73AF714C898}" name="Column5639"/>
    <tableColumn id="5640" xr3:uid="{5DBC7BC1-7EF0-4285-B44B-14D60793AA43}" name="Column5640"/>
    <tableColumn id="5641" xr3:uid="{AFDF3FCB-3EE0-49D6-BD47-8B75243E18CE}" name="Column5641"/>
    <tableColumn id="5642" xr3:uid="{8A7698AA-6266-4947-9006-1F4353A9CDB7}" name="Column5642"/>
    <tableColumn id="5643" xr3:uid="{09ABCE1E-581F-4534-B45F-C763D1B4F0E7}" name="Column5643"/>
    <tableColumn id="5644" xr3:uid="{A0D0FFD3-B59B-481B-B98A-A3879F0475C4}" name="Column5644"/>
    <tableColumn id="5645" xr3:uid="{676AD71F-1387-44F1-A9C9-F3122D39B924}" name="Column5645"/>
    <tableColumn id="5646" xr3:uid="{3DEF8464-6FD6-426B-924C-B88DFE9F60E6}" name="Column5646"/>
    <tableColumn id="5647" xr3:uid="{35060BAE-BC64-43F7-B070-D8DDCA6C5AF8}" name="Column5647"/>
    <tableColumn id="5648" xr3:uid="{23A0A328-266A-4A1A-AA55-2721436B39F8}" name="Column5648"/>
    <tableColumn id="5649" xr3:uid="{3F7442AF-801D-4C45-9E9B-0421A8AFA330}" name="Column5649"/>
    <tableColumn id="5650" xr3:uid="{DE643427-771E-4772-8723-F3E91BD955C7}" name="Column5650"/>
    <tableColumn id="5651" xr3:uid="{1071ACB3-85BE-4466-BC72-3155E1F4AD3E}" name="Column5651"/>
    <tableColumn id="5652" xr3:uid="{07C1DA5B-BEAF-4478-8F82-10BBFEFD733B}" name="Column5652"/>
    <tableColumn id="5653" xr3:uid="{4B2F9D45-D546-4676-856A-804E593926A2}" name="Column5653"/>
    <tableColumn id="5654" xr3:uid="{C82798DC-08AC-4C20-98DD-E9F9D51B90E9}" name="Column5654"/>
    <tableColumn id="5655" xr3:uid="{4E5A0797-A031-41FB-92BE-7CC4024E9B69}" name="Column5655"/>
    <tableColumn id="5656" xr3:uid="{AF2A7B40-EB45-4210-A70D-0666A55DC8AB}" name="Column5656"/>
    <tableColumn id="5657" xr3:uid="{4D1018E4-92F6-49E1-90BA-5044AA19815B}" name="Column5657"/>
    <tableColumn id="5658" xr3:uid="{7AAF96E3-2811-409A-ACD7-0467097224DB}" name="Column5658"/>
    <tableColumn id="5659" xr3:uid="{2E67A919-6EB9-4D69-81DB-5418605A90AD}" name="Column5659"/>
    <tableColumn id="5660" xr3:uid="{7B83F2AB-8363-4B83-A71E-B9F128248CEC}" name="Column5660"/>
    <tableColumn id="5661" xr3:uid="{E54350E1-078F-4BBD-AB93-27A2771AEF68}" name="Column5661"/>
    <tableColumn id="5662" xr3:uid="{DA89A85A-4EDD-422A-A185-85292C62CDA8}" name="Column5662"/>
    <tableColumn id="5663" xr3:uid="{92BD3635-89A1-4AEA-B34A-C3670325E46A}" name="Column5663"/>
    <tableColumn id="5664" xr3:uid="{2D778107-34B3-480C-B8A7-A48ED8056B7B}" name="Column5664"/>
    <tableColumn id="5665" xr3:uid="{1D24A9D1-901D-4080-9AF8-6AEB442BDF7E}" name="Column5665"/>
    <tableColumn id="5666" xr3:uid="{D0A01366-EDCD-4C4A-BD99-7EB292EA3BED}" name="Column5666"/>
    <tableColumn id="5667" xr3:uid="{8EE4A3A8-3B9F-44A7-81BA-DE576CC5BD7F}" name="Column5667"/>
    <tableColumn id="5668" xr3:uid="{D9A8AEC8-2E49-474B-95A6-2F6FD7F36735}" name="Column5668"/>
    <tableColumn id="5669" xr3:uid="{D48A8B91-3BA0-4A48-9514-BE1B05196F39}" name="Column5669"/>
    <tableColumn id="5670" xr3:uid="{E6845C84-1F4C-4622-BA61-60D8FFF20679}" name="Column5670"/>
    <tableColumn id="5671" xr3:uid="{C44A3CFC-2063-4B56-BB0F-5D20CC93A28D}" name="Column5671"/>
    <tableColumn id="5672" xr3:uid="{BE677B36-5546-40CF-B627-44B063E7FF20}" name="Column5672"/>
    <tableColumn id="5673" xr3:uid="{DF90C8CA-CF1C-40F5-8F24-7950E2FCBDBD}" name="Column5673"/>
    <tableColumn id="5674" xr3:uid="{0CF4DCA7-1548-4C41-A7A6-4105C6D79B90}" name="Column5674"/>
    <tableColumn id="5675" xr3:uid="{59D6D348-33B8-4D77-B967-21D08CCA9F73}" name="Column5675"/>
    <tableColumn id="5676" xr3:uid="{BD15FCC8-91C7-464D-B231-10857AE2EAB9}" name="Column5676"/>
    <tableColumn id="5677" xr3:uid="{B789A433-1279-439F-AD82-C01BB1656283}" name="Column5677"/>
    <tableColumn id="5678" xr3:uid="{0C78BA1F-26C6-4657-B847-4971503B02C4}" name="Column5678"/>
    <tableColumn id="5679" xr3:uid="{96625338-E274-49E7-880B-BF38DA02311F}" name="Column5679"/>
    <tableColumn id="5680" xr3:uid="{7DE2130D-BB14-4DD8-94F7-98A2BEDCDF6C}" name="Column5680"/>
    <tableColumn id="5681" xr3:uid="{3EA0F9F0-681D-4DD2-8DAA-78B163637AE7}" name="Column5681"/>
    <tableColumn id="5682" xr3:uid="{4549FCF5-C87A-4AC8-BA12-53A7182A3256}" name="Column5682"/>
    <tableColumn id="5683" xr3:uid="{6599AB7D-6DAE-4D7C-BBB1-F347D4D30420}" name="Column5683"/>
    <tableColumn id="5684" xr3:uid="{EBC143D6-76A1-4EA5-B821-E0C10AE5D768}" name="Column5684"/>
    <tableColumn id="5685" xr3:uid="{1294D9B9-8324-479F-8A53-775B7017FD71}" name="Column5685"/>
    <tableColumn id="5686" xr3:uid="{E66512AE-9DE5-4CEC-813F-FC8AAF8299B7}" name="Column5686"/>
    <tableColumn id="5687" xr3:uid="{00F4FA3F-3470-4ADE-9A48-B9A1B144A948}" name="Column5687"/>
    <tableColumn id="5688" xr3:uid="{399BB323-4581-4A73-9DE1-80CBA19078EF}" name="Column5688"/>
    <tableColumn id="5689" xr3:uid="{862A78A2-FD12-44BD-89A5-699EB321F7A7}" name="Column5689"/>
    <tableColumn id="5690" xr3:uid="{EBA860D3-E5FC-449C-BDDA-E5ECBAD85C34}" name="Column5690"/>
    <tableColumn id="5691" xr3:uid="{00AC475E-6E5E-452D-AFED-8121D9B6F7DB}" name="Column5691"/>
    <tableColumn id="5692" xr3:uid="{951A292B-2C29-40EF-9FC3-FE4B0B290674}" name="Column5692"/>
    <tableColumn id="5693" xr3:uid="{F072EFC1-A72C-4297-8688-20B30F9C5746}" name="Column5693"/>
    <tableColumn id="5694" xr3:uid="{0CA34032-E1D1-4A14-8ADB-8E2837BEDBB6}" name="Column5694"/>
    <tableColumn id="5695" xr3:uid="{5C7335E2-73A2-4AE5-87CA-523019F7C529}" name="Column5695"/>
    <tableColumn id="5696" xr3:uid="{DDA4285D-740A-4C6C-B4BE-B59B7FCF0446}" name="Column5696"/>
    <tableColumn id="5697" xr3:uid="{BE8917AA-4742-4450-B67A-EEADE942C4D1}" name="Column5697"/>
    <tableColumn id="5698" xr3:uid="{D0A3D5B9-1B42-440B-A58A-B22ED38F8A77}" name="Column5698"/>
    <tableColumn id="5699" xr3:uid="{24631B96-AB40-4A56-8BE5-E175337B808C}" name="Column5699"/>
    <tableColumn id="5700" xr3:uid="{FBA981DC-8061-401F-A1BA-963070E1D4E1}" name="Column5700"/>
    <tableColumn id="5701" xr3:uid="{1BE4099D-FED5-4C22-82B4-708FE1D28296}" name="Column5701"/>
    <tableColumn id="5702" xr3:uid="{C267B460-3E7C-4A5B-89CA-79B741328469}" name="Column5702"/>
    <tableColumn id="5703" xr3:uid="{0473299D-4029-4C1A-90D2-BF340F3CA521}" name="Column5703"/>
    <tableColumn id="5704" xr3:uid="{61DB7585-90A4-4E00-A677-2873FF91C85C}" name="Column5704"/>
    <tableColumn id="5705" xr3:uid="{FBEABA7D-F587-43B7-BEB3-B764837B4262}" name="Column5705"/>
    <tableColumn id="5706" xr3:uid="{BBF44FEF-27C9-4823-80FF-A2DE5DF19383}" name="Column5706"/>
    <tableColumn id="5707" xr3:uid="{02573735-487B-4F9E-9144-D65FFDBB6EFA}" name="Column5707"/>
    <tableColumn id="5708" xr3:uid="{B55A27A5-4561-4566-8F6C-D8C54C634B32}" name="Column5708"/>
    <tableColumn id="5709" xr3:uid="{B5819591-8B95-4E06-8752-1CABF30C4961}" name="Column5709"/>
    <tableColumn id="5710" xr3:uid="{B6F148BB-6769-4A89-B579-5CE600EE4074}" name="Column5710"/>
    <tableColumn id="5711" xr3:uid="{6106A25E-6DC5-47A7-A1DF-AF33A83753F3}" name="Column5711"/>
    <tableColumn id="5712" xr3:uid="{2960867B-5ECA-4E1E-A576-AB4E1DB4983A}" name="Column5712"/>
    <tableColumn id="5713" xr3:uid="{5630EC56-8176-4520-880D-6B69AE262163}" name="Column5713"/>
    <tableColumn id="5714" xr3:uid="{FAC3330A-309C-454F-BAFF-45D9F95A9ABA}" name="Column5714"/>
    <tableColumn id="5715" xr3:uid="{8DEEA475-9E7D-4AAD-B607-2395409099F8}" name="Column5715"/>
    <tableColumn id="5716" xr3:uid="{998A76CB-F46F-4668-8739-E5E9E1E4F5BD}" name="Column5716"/>
    <tableColumn id="5717" xr3:uid="{24D43153-7DE9-4F6F-8B99-4511696F7E4E}" name="Column5717"/>
    <tableColumn id="5718" xr3:uid="{C1277959-2CD0-4F46-A908-50A30C50E360}" name="Column5718"/>
    <tableColumn id="5719" xr3:uid="{18436E19-037E-4B49-BBF2-A90E53EEB4DD}" name="Column5719"/>
    <tableColumn id="5720" xr3:uid="{04C61BF9-32D4-4603-AE2D-4911049344C8}" name="Column5720"/>
    <tableColumn id="5721" xr3:uid="{C7EC37CD-1FCA-4402-8072-BD6D333AE27E}" name="Column5721"/>
    <tableColumn id="5722" xr3:uid="{D901EA35-311D-46D7-91CE-6B7584179300}" name="Column5722"/>
    <tableColumn id="5723" xr3:uid="{127E4177-4713-4276-A891-69A7C6916C84}" name="Column5723"/>
    <tableColumn id="5724" xr3:uid="{9A3997CE-6D78-4547-AFAC-A741A7163CAB}" name="Column5724"/>
    <tableColumn id="5725" xr3:uid="{AEF1C28A-8846-4691-AA49-CD8D9814063B}" name="Column5725"/>
    <tableColumn id="5726" xr3:uid="{3C9154C2-8914-45A1-9CD5-9AABD65FEAF9}" name="Column5726"/>
    <tableColumn id="5727" xr3:uid="{8506D99D-121D-4C90-9C65-74E1B469D465}" name="Column5727"/>
    <tableColumn id="5728" xr3:uid="{5438F7A5-4CE0-45F0-9F95-07E83B2AA116}" name="Column5728"/>
    <tableColumn id="5729" xr3:uid="{E11EFF3C-31FE-4C56-AF07-A885598D21CA}" name="Column5729"/>
    <tableColumn id="5730" xr3:uid="{DD8D4190-63BA-481A-8B78-040BFCAAA095}" name="Column5730"/>
    <tableColumn id="5731" xr3:uid="{11E55206-345A-4B94-AAB1-A98AF479439B}" name="Column5731"/>
    <tableColumn id="5732" xr3:uid="{601B3DFD-506B-414F-9E90-91B844BF3FE3}" name="Column5732"/>
    <tableColumn id="5733" xr3:uid="{532BADCE-08A8-4F64-B703-F2B8C096F652}" name="Column5733"/>
    <tableColumn id="5734" xr3:uid="{E34918A8-46B0-42CB-B78E-B40B95C373D1}" name="Column5734"/>
    <tableColumn id="5735" xr3:uid="{78D86EC8-71C6-4BC5-A888-6BF7B8FA9787}" name="Column5735"/>
    <tableColumn id="5736" xr3:uid="{C81F37D9-3808-48B5-9FB8-2D361B15069D}" name="Column5736"/>
    <tableColumn id="5737" xr3:uid="{E9B0FB3F-DE4D-4A44-9212-0BFB14DF5166}" name="Column5737"/>
    <tableColumn id="5738" xr3:uid="{0DB13C83-13BC-48B2-8AAE-43D6C96C475F}" name="Column5738"/>
    <tableColumn id="5739" xr3:uid="{4A2CE884-C5C2-4078-A791-1B9B129A4FAF}" name="Column5739"/>
    <tableColumn id="5740" xr3:uid="{AE76AE9E-BC5E-417F-85A6-473DA0CA7FB6}" name="Column5740"/>
    <tableColumn id="5741" xr3:uid="{1F208B8F-99BA-4906-8D50-032EF03411FB}" name="Column5741"/>
    <tableColumn id="5742" xr3:uid="{2AE60F2B-FFEB-43AB-8318-142FCEDBAC58}" name="Column5742"/>
    <tableColumn id="5743" xr3:uid="{5846E851-A048-4246-BE04-97E41A67A91B}" name="Column5743"/>
    <tableColumn id="5744" xr3:uid="{17FB78BA-BAEE-4F04-B17D-95245A891291}" name="Column5744"/>
    <tableColumn id="5745" xr3:uid="{7BE4376E-AA0A-4235-ADA2-89C7F1880846}" name="Column5745"/>
    <tableColumn id="5746" xr3:uid="{B9F305BA-2BA4-409E-BCCA-9BFC0FE41BF4}" name="Column5746"/>
    <tableColumn id="5747" xr3:uid="{29A5DAC0-3F60-48F5-A7CF-4C38450D2196}" name="Column5747"/>
    <tableColumn id="5748" xr3:uid="{EAEA6EDB-AA78-42D6-B517-6B07D57968A6}" name="Column5748"/>
    <tableColumn id="5749" xr3:uid="{F4845BDE-DACE-43A6-96A1-C161BFFA7C4A}" name="Column5749"/>
    <tableColumn id="5750" xr3:uid="{7EE3C80D-739B-490F-A02F-AE3C1274F81F}" name="Column5750"/>
    <tableColumn id="5751" xr3:uid="{7F67422F-9EF2-4E0B-8FBE-88787C0B949C}" name="Column5751"/>
    <tableColumn id="5752" xr3:uid="{F6217215-885F-49F6-91A3-998F268D7370}" name="Column5752"/>
    <tableColumn id="5753" xr3:uid="{5AB406C1-8B67-4296-9060-904703D2DADC}" name="Column5753"/>
    <tableColumn id="5754" xr3:uid="{6EF77D01-22E2-4F2F-BDBF-ECFF9F19FA66}" name="Column5754"/>
    <tableColumn id="5755" xr3:uid="{1721F33C-D858-4CB3-9531-E028D185CC5C}" name="Column5755"/>
    <tableColumn id="5756" xr3:uid="{97EEA983-3A73-4148-A92D-98B65A101F7F}" name="Column5756"/>
    <tableColumn id="5757" xr3:uid="{B7D6A944-EF2C-40C9-944A-244F205C1DFA}" name="Column5757"/>
    <tableColumn id="5758" xr3:uid="{E470501B-3358-4420-A308-DC64E2A40B4E}" name="Column5758"/>
    <tableColumn id="5759" xr3:uid="{B260A222-7B04-45F4-AF58-9B5BD0D46897}" name="Column5759"/>
    <tableColumn id="5760" xr3:uid="{C95DEBAA-5261-40A6-A696-85246A7BBD7A}" name="Column5760"/>
    <tableColumn id="5761" xr3:uid="{6B11B773-65DE-4FD0-B130-ECA00C1DAE36}" name="Column5761"/>
    <tableColumn id="5762" xr3:uid="{3FD8B7B7-E0D5-4E3B-9545-4638599F469B}" name="Column5762"/>
    <tableColumn id="5763" xr3:uid="{0266B36B-9F6C-4D42-8D11-F625D4A4DA0D}" name="Column5763"/>
    <tableColumn id="5764" xr3:uid="{15436BC8-11A5-4828-BFC8-A75999FAB270}" name="Column5764"/>
    <tableColumn id="5765" xr3:uid="{7954018E-51A7-4E68-908A-02390CE6BA77}" name="Column5765"/>
    <tableColumn id="5766" xr3:uid="{0EA8C7F6-5700-46D8-B480-79800E957598}" name="Column5766"/>
    <tableColumn id="5767" xr3:uid="{555A3BDF-5277-4F49-86D0-EB754DF273A1}" name="Column5767"/>
    <tableColumn id="5768" xr3:uid="{2C3C4411-5FCB-4C1B-B72B-60EF961901C1}" name="Column5768"/>
    <tableColumn id="5769" xr3:uid="{97F1A604-D63F-44DC-AE76-C5ECAFA4A498}" name="Column5769"/>
    <tableColumn id="5770" xr3:uid="{7D147257-6AA4-4971-A517-AFBB82EA83DB}" name="Column5770"/>
    <tableColumn id="5771" xr3:uid="{82FCF1AB-BDB9-495F-9D46-56E77AA228BC}" name="Column5771"/>
    <tableColumn id="5772" xr3:uid="{A1240AAC-E079-40D5-9608-804135A6A96C}" name="Column5772"/>
    <tableColumn id="5773" xr3:uid="{BA1ABD83-3BA9-4BBD-8250-AB74F66494FC}" name="Column5773"/>
    <tableColumn id="5774" xr3:uid="{4075FD54-79F9-4141-99CD-57F6276A05AD}" name="Column5774"/>
    <tableColumn id="5775" xr3:uid="{77D6A25D-5399-46BF-9F9D-C6E6AE4CA9DF}" name="Column5775"/>
    <tableColumn id="5776" xr3:uid="{4FA6E234-79B8-45F2-935D-DC442B2F8B78}" name="Column5776"/>
    <tableColumn id="5777" xr3:uid="{C85C7445-B36D-47AC-B87D-CF6939B38630}" name="Column5777"/>
    <tableColumn id="5778" xr3:uid="{9B897F1B-F9D2-491A-BFDE-225530D0B21C}" name="Column5778"/>
    <tableColumn id="5779" xr3:uid="{F7685B24-D8CC-4752-92FF-1C02777690DA}" name="Column5779"/>
    <tableColumn id="5780" xr3:uid="{CC9CE578-DE0E-4CBC-97B6-840F3D292F4A}" name="Column5780"/>
    <tableColumn id="5781" xr3:uid="{CE79FA28-BB32-4502-A65D-822CD83FF76C}" name="Column5781"/>
    <tableColumn id="5782" xr3:uid="{EEBF744F-A11A-4974-90D6-BAF161EF8CB0}" name="Column5782"/>
    <tableColumn id="5783" xr3:uid="{21DBF6CC-718E-484F-B3C7-FAF5862BF0E2}" name="Column5783"/>
    <tableColumn id="5784" xr3:uid="{DEB6021A-2B09-43C4-B4C5-8278056F6289}" name="Column5784"/>
    <tableColumn id="5785" xr3:uid="{C7A5106D-2E41-477F-9B48-2DCDD2AD0F55}" name="Column5785"/>
    <tableColumn id="5786" xr3:uid="{3758C682-98A5-43A4-9979-B336E5F5E3DF}" name="Column5786"/>
    <tableColumn id="5787" xr3:uid="{9D753279-6717-4961-8A9D-3565B2C818CA}" name="Column5787"/>
    <tableColumn id="5788" xr3:uid="{64D6CEBF-67F1-4060-A70F-D90DAF930661}" name="Column5788"/>
    <tableColumn id="5789" xr3:uid="{71C0DFB8-4708-40D8-A389-B259014A8FF2}" name="Column5789"/>
    <tableColumn id="5790" xr3:uid="{62CF4BE3-42F1-412A-8344-131E0E157306}" name="Column5790"/>
    <tableColumn id="5791" xr3:uid="{E1E58831-A5DD-4D85-AF0A-3B002C62A3A6}" name="Column5791"/>
    <tableColumn id="5792" xr3:uid="{D61E2566-FA1C-4A3F-9E23-E37CBEFBDDC1}" name="Column5792"/>
    <tableColumn id="5793" xr3:uid="{1C00274D-133A-42F6-91AC-A9D1EEC6DEC9}" name="Column5793"/>
    <tableColumn id="5794" xr3:uid="{B7EDD74F-71BD-48AD-B5CB-4F75D9A7595F}" name="Column5794"/>
    <tableColumn id="5795" xr3:uid="{4BA7FC11-1559-462D-AC4B-6C6637E7C126}" name="Column5795"/>
    <tableColumn id="5796" xr3:uid="{B5C2D1C1-5357-455A-B599-915B48C4CD03}" name="Column5796"/>
    <tableColumn id="5797" xr3:uid="{3477555B-32A8-4D14-9BA8-C4F3EA5AE2A6}" name="Column5797"/>
    <tableColumn id="5798" xr3:uid="{6BBC6602-E2D6-4745-972E-F4491C11EABF}" name="Column5798"/>
    <tableColumn id="5799" xr3:uid="{4BEAC788-3B1F-4180-A5E5-9C0BED0B21E0}" name="Column5799"/>
    <tableColumn id="5800" xr3:uid="{E54AE6AA-1978-402E-BE65-DF7CDC173C4E}" name="Column5800"/>
    <tableColumn id="5801" xr3:uid="{2881C441-F99E-4E96-9358-3D109E51FE80}" name="Column5801"/>
    <tableColumn id="5802" xr3:uid="{1896D4C3-637D-4A30-9222-9AE6DE5EB5D6}" name="Column5802"/>
    <tableColumn id="5803" xr3:uid="{383988E3-21B2-4394-96BE-7527D417565E}" name="Column5803"/>
    <tableColumn id="5804" xr3:uid="{93870121-3E6D-4CA2-AE9E-5B2CE10E0653}" name="Column5804"/>
    <tableColumn id="5805" xr3:uid="{3150000D-2A1F-4252-8780-872C39851C28}" name="Column5805"/>
    <tableColumn id="5806" xr3:uid="{68599871-264F-4DE9-94AD-9326620A41ED}" name="Column5806"/>
    <tableColumn id="5807" xr3:uid="{0C288819-C011-4844-8BAD-2D46B4275F5E}" name="Column5807"/>
    <tableColumn id="5808" xr3:uid="{322AB51D-847E-4EF1-88A4-3FFB76BC1A9C}" name="Column5808"/>
    <tableColumn id="5809" xr3:uid="{982A6067-AA2D-4101-9E22-32F22952B702}" name="Column5809"/>
    <tableColumn id="5810" xr3:uid="{4E5D222A-13A6-48A9-A0DC-6D0473907D26}" name="Column5810"/>
    <tableColumn id="5811" xr3:uid="{392752A2-E0AB-44FA-ADFD-DC2BD3C8F3C6}" name="Column5811"/>
    <tableColumn id="5812" xr3:uid="{0DFB4A81-8148-448E-86B3-E567456E8DA2}" name="Column5812"/>
    <tableColumn id="5813" xr3:uid="{391C9D2C-8A81-45F2-8001-5D07A49E0B0E}" name="Column5813"/>
    <tableColumn id="5814" xr3:uid="{C1BDB77B-CFC5-46B1-8EB7-66AFBA225892}" name="Column5814"/>
    <tableColumn id="5815" xr3:uid="{018A7E83-8007-4071-A179-F5CE0D6B45CF}" name="Column5815"/>
    <tableColumn id="5816" xr3:uid="{A2A6E5D0-8CC3-471C-B366-1680A4EA4068}" name="Column5816"/>
    <tableColumn id="5817" xr3:uid="{C586A43A-1582-481C-A7E7-D28376712E48}" name="Column5817"/>
    <tableColumn id="5818" xr3:uid="{7E51A988-182A-4CB2-BED3-6A7BDBF32B12}" name="Column5818"/>
    <tableColumn id="5819" xr3:uid="{F4DD9A88-2CDA-48FE-BD68-1D94BA5C4852}" name="Column5819"/>
    <tableColumn id="5820" xr3:uid="{95460CA4-30D5-4081-9892-BF540060E430}" name="Column5820"/>
    <tableColumn id="5821" xr3:uid="{4C228CF7-BB16-496E-8454-2EF31157DC9C}" name="Column5821"/>
    <tableColumn id="5822" xr3:uid="{0B739B74-CF4C-4B06-B9A7-B8364A8446F8}" name="Column5822"/>
    <tableColumn id="5823" xr3:uid="{0D3503F1-B945-48E8-AA44-2CC04DADDB0B}" name="Column5823"/>
    <tableColumn id="5824" xr3:uid="{73B7B405-8241-473E-9941-85D9EB8B1DEB}" name="Column5824"/>
    <tableColumn id="5825" xr3:uid="{30423DE0-3BF0-45B5-B6A9-05DE34BAB617}" name="Column5825"/>
    <tableColumn id="5826" xr3:uid="{7CF419AD-895F-44C7-9B40-AADC37CCD1DE}" name="Column5826"/>
    <tableColumn id="5827" xr3:uid="{10990B70-4F14-49D4-8151-4CD9C42EE0A1}" name="Column5827"/>
    <tableColumn id="5828" xr3:uid="{6B293F2A-D2B0-40CD-97F6-7207F8E1A288}" name="Column5828"/>
    <tableColumn id="5829" xr3:uid="{F9FD5B43-13EE-409B-8DAF-5F88F4786C2C}" name="Column5829"/>
    <tableColumn id="5830" xr3:uid="{E3A18506-B531-4C57-8DF6-258ABF80744A}" name="Column5830"/>
    <tableColumn id="5831" xr3:uid="{C4948BB3-37B4-4181-A408-874C1E7D8D69}" name="Column5831"/>
    <tableColumn id="5832" xr3:uid="{39FA4D84-A26E-4A6E-8C69-E1B9BBE17217}" name="Column5832"/>
    <tableColumn id="5833" xr3:uid="{1C11E396-8B78-40EB-9409-AAC9B3B435DF}" name="Column5833"/>
    <tableColumn id="5834" xr3:uid="{58035E93-5C71-41A6-A0A1-F6DB64F3E54A}" name="Column5834"/>
    <tableColumn id="5835" xr3:uid="{09423B1B-2404-4F27-94EF-011A2C251548}" name="Column5835"/>
    <tableColumn id="5836" xr3:uid="{929358F4-81BE-4397-A00E-047A14F31028}" name="Column5836"/>
    <tableColumn id="5837" xr3:uid="{35CB6F1D-302B-44BE-9536-F2092CBAF63F}" name="Column5837"/>
    <tableColumn id="5838" xr3:uid="{7B7ED3B7-350E-452B-8322-57BF740F695E}" name="Column5838"/>
    <tableColumn id="5839" xr3:uid="{99A1BF96-798F-4C57-A69D-9EA895B81B2D}" name="Column5839"/>
    <tableColumn id="5840" xr3:uid="{DB527A07-4B39-47E4-BACC-5E6B97CDA945}" name="Column5840"/>
    <tableColumn id="5841" xr3:uid="{9D2AF065-3555-45A0-AF10-D56377C47FC7}" name="Column5841"/>
    <tableColumn id="5842" xr3:uid="{AD2B9194-D79E-4E18-AE4C-D1019A4EA052}" name="Column5842"/>
    <tableColumn id="5843" xr3:uid="{A5460E47-B263-4B11-9333-D89E68133139}" name="Column5843"/>
    <tableColumn id="5844" xr3:uid="{41871F47-0B63-47D9-BF30-29CE2307CE3D}" name="Column5844"/>
    <tableColumn id="5845" xr3:uid="{438A850D-5099-4AC1-A44A-D150DC393C40}" name="Column5845"/>
    <tableColumn id="5846" xr3:uid="{F621F07C-21C8-46D9-89B1-7AB2310AD795}" name="Column5846"/>
    <tableColumn id="5847" xr3:uid="{3FD1B247-50E4-4963-BA90-E5EB3A879561}" name="Column5847"/>
    <tableColumn id="5848" xr3:uid="{2E11F375-B3B5-43B2-BE78-CFE4E081ECB6}" name="Column5848"/>
    <tableColumn id="5849" xr3:uid="{C32E8339-9950-49DD-8AD4-14FB3547334A}" name="Column5849"/>
    <tableColumn id="5850" xr3:uid="{9BE7D3FA-2AEF-4334-9CBE-0AF7095A2A25}" name="Column5850"/>
    <tableColumn id="5851" xr3:uid="{DCBAA0BA-5788-4EAC-83BE-FD4BBF55BA0C}" name="Column5851"/>
    <tableColumn id="5852" xr3:uid="{129E3505-3372-4F66-90B0-60E2D21C95E4}" name="Column5852"/>
    <tableColumn id="5853" xr3:uid="{A8D9D47C-7E7D-40A1-9AB9-3F79BAF008F9}" name="Column5853"/>
    <tableColumn id="5854" xr3:uid="{E0ED7789-EE40-4D44-AD31-C8848F5A5649}" name="Column5854"/>
    <tableColumn id="5855" xr3:uid="{1A82B046-9994-421B-848E-6ADD4DCA588D}" name="Column5855"/>
    <tableColumn id="5856" xr3:uid="{2248E446-08C6-4142-ABCB-C877477EE478}" name="Column5856"/>
    <tableColumn id="5857" xr3:uid="{241D7753-2159-4515-A7C1-F8AEAB66C1F7}" name="Column5857"/>
    <tableColumn id="5858" xr3:uid="{3489E5AF-0786-41B7-A9B4-58C7E452209E}" name="Column5858"/>
    <tableColumn id="5859" xr3:uid="{AFA63089-4E77-49BB-B1EE-28E9ACBED974}" name="Column5859"/>
    <tableColumn id="5860" xr3:uid="{93737856-90F3-47B5-849D-B3BDC0C357A6}" name="Column5860"/>
    <tableColumn id="5861" xr3:uid="{C77D7EBE-FC87-4F12-9154-02AAE170FD4A}" name="Column5861"/>
    <tableColumn id="5862" xr3:uid="{6F008C4A-94F8-4097-B0F7-EAE4025E112C}" name="Column5862"/>
    <tableColumn id="5863" xr3:uid="{F2CDFF7E-84B9-464D-BB64-551624D5A450}" name="Column5863"/>
    <tableColumn id="5864" xr3:uid="{F597C044-1CA5-429A-A245-0C96D2DAB345}" name="Column5864"/>
    <tableColumn id="5865" xr3:uid="{F8F8476F-F8D3-49D6-BD26-9B1C346B56D8}" name="Column5865"/>
    <tableColumn id="5866" xr3:uid="{7483255D-BBB8-4550-93ED-3156F8F09373}" name="Column5866"/>
    <tableColumn id="5867" xr3:uid="{34A56E9F-C4FF-43A3-9C81-210C163366CD}" name="Column5867"/>
    <tableColumn id="5868" xr3:uid="{B2B95473-10DC-4B36-825D-C7088C7BF0C1}" name="Column5868"/>
    <tableColumn id="5869" xr3:uid="{E5070084-3171-4690-86A6-89C056F1C857}" name="Column5869"/>
    <tableColumn id="5870" xr3:uid="{B40CB279-FEF8-40C0-AF00-D5FF35BFF051}" name="Column5870"/>
    <tableColumn id="5871" xr3:uid="{2B0F4B0B-B7A3-4860-9172-ADDB45B9F4B2}" name="Column5871"/>
    <tableColumn id="5872" xr3:uid="{C0A4752B-E353-4239-86B6-E7E93C440E40}" name="Column5872"/>
    <tableColumn id="5873" xr3:uid="{850C5838-8734-41A7-A66B-7A8854637D5B}" name="Column5873"/>
    <tableColumn id="5874" xr3:uid="{512A5C33-24C6-4DF4-A1BB-F98D05B9FEEA}" name="Column5874"/>
    <tableColumn id="5875" xr3:uid="{6A6D9D3A-4189-461B-B084-9F6D5CBB058B}" name="Column5875"/>
    <tableColumn id="5876" xr3:uid="{1A82FAC4-E782-4910-A627-3CAAA574B94F}" name="Column5876"/>
    <tableColumn id="5877" xr3:uid="{983844F1-6FB3-4B93-BB4F-263790AD8D5E}" name="Column5877"/>
    <tableColumn id="5878" xr3:uid="{90B71588-6E9D-4A1E-93B9-9D5F1A951264}" name="Column5878"/>
    <tableColumn id="5879" xr3:uid="{A613FE30-E7E0-4114-BB8F-29BD5ADC44A6}" name="Column5879"/>
    <tableColumn id="5880" xr3:uid="{7DFC7B42-3860-4686-82BB-CFDB58978F2B}" name="Column5880"/>
    <tableColumn id="5881" xr3:uid="{30479898-B1EC-4EE7-8C1D-0DE34AF0A7C9}" name="Column5881"/>
    <tableColumn id="5882" xr3:uid="{EB4256B5-C6A0-4789-81C5-AF173BBC522F}" name="Column5882"/>
    <tableColumn id="5883" xr3:uid="{40883A22-84B3-4981-947F-7E1D30589025}" name="Column5883"/>
    <tableColumn id="5884" xr3:uid="{C8C16479-B2E7-496C-8B59-98B5D9211145}" name="Column5884"/>
    <tableColumn id="5885" xr3:uid="{4AF37AB0-6520-439A-9DDE-B9B3E879B866}" name="Column5885"/>
    <tableColumn id="5886" xr3:uid="{88B9188C-3CFA-4360-8C57-8CEC1B4D91B0}" name="Column5886"/>
    <tableColumn id="5887" xr3:uid="{A883F9BD-1BBB-425A-9410-273DBFDF7402}" name="Column5887"/>
    <tableColumn id="5888" xr3:uid="{6B35EC1B-E801-4EB4-855B-673E227CE5CE}" name="Column5888"/>
    <tableColumn id="5889" xr3:uid="{03B0AB4C-E51C-4B21-BD22-105DED881819}" name="Column5889"/>
    <tableColumn id="5890" xr3:uid="{A1EB02B8-850F-450B-ADD6-786BFEAD2FF6}" name="Column5890"/>
    <tableColumn id="5891" xr3:uid="{B58D0E3C-80DB-4CC8-B574-0C38535924D8}" name="Column5891"/>
    <tableColumn id="5892" xr3:uid="{E26F991C-7E39-4FED-A516-FBA4ADB20674}" name="Column5892"/>
    <tableColumn id="5893" xr3:uid="{7F582337-8A20-41F2-959E-E81B52642C3B}" name="Column5893"/>
    <tableColumn id="5894" xr3:uid="{8A3B5745-031E-4993-BE68-456EE1F6F8FD}" name="Column5894"/>
    <tableColumn id="5895" xr3:uid="{F30570A4-527A-4932-89D4-9CECB661914E}" name="Column5895"/>
    <tableColumn id="5896" xr3:uid="{0CCF77C4-1D99-4D7C-A497-E1AAA60402DF}" name="Column5896"/>
    <tableColumn id="5897" xr3:uid="{B210D54E-4DA8-4EDB-B4C3-C5C4C49AA480}" name="Column5897"/>
    <tableColumn id="5898" xr3:uid="{B30FDA03-08C3-4E7C-98C9-55F4425627A0}" name="Column5898"/>
    <tableColumn id="5899" xr3:uid="{6583D2CB-0E9C-4B36-9F3E-D0ECAA262454}" name="Column5899"/>
    <tableColumn id="5900" xr3:uid="{B4D9ADFF-38F8-4B97-A584-5E18A75D799F}" name="Column5900"/>
    <tableColumn id="5901" xr3:uid="{6CB7E7E1-74B8-494C-B38F-AC5C10E2B11D}" name="Column5901"/>
    <tableColumn id="5902" xr3:uid="{CC6873CF-454D-4B8F-9D38-A5BE931888FC}" name="Column5902"/>
    <tableColumn id="5903" xr3:uid="{4229E792-830D-406E-BD5B-614932455924}" name="Column5903"/>
    <tableColumn id="5904" xr3:uid="{C1ABF041-4BED-491E-876D-F5A35644D628}" name="Column5904"/>
    <tableColumn id="5905" xr3:uid="{0292DED2-AC06-4B91-9211-C54143421FCF}" name="Column5905"/>
    <tableColumn id="5906" xr3:uid="{D3DCF4E0-B39B-424F-87B8-D9D6ED584389}" name="Column5906"/>
    <tableColumn id="5907" xr3:uid="{4931F4F0-51BC-4861-93B6-725F5E7CFAD7}" name="Column5907"/>
    <tableColumn id="5908" xr3:uid="{24ED9432-33F6-4C79-BE96-4B5E2A944D71}" name="Column5908"/>
    <tableColumn id="5909" xr3:uid="{F097EC60-BE41-483C-A8A3-36C617172AF0}" name="Column5909"/>
    <tableColumn id="5910" xr3:uid="{4B66E0A1-35F9-4445-8015-5249E76A94C1}" name="Column5910"/>
    <tableColumn id="5911" xr3:uid="{4E0AD097-F627-408E-97F0-F01DA4F501C2}" name="Column5911"/>
    <tableColumn id="5912" xr3:uid="{6148DCA2-77ED-44B5-874F-0632659D0219}" name="Column5912"/>
    <tableColumn id="5913" xr3:uid="{C464D3D8-6469-4028-993D-437EDDC6131E}" name="Column5913"/>
    <tableColumn id="5914" xr3:uid="{2504653D-AAC2-4C2D-B0FD-504BCD223617}" name="Column5914"/>
    <tableColumn id="5915" xr3:uid="{88851CFC-2C86-4460-BFF9-1FC024038E2B}" name="Column5915"/>
    <tableColumn id="5916" xr3:uid="{0D3DD2D3-C724-4A06-A6EF-7553FBACD02C}" name="Column5916"/>
    <tableColumn id="5917" xr3:uid="{61065608-92A1-452E-A411-7E3CA89B1C31}" name="Column5917"/>
    <tableColumn id="5918" xr3:uid="{6F5950F3-8790-42BA-8FDF-66A268D20B17}" name="Column5918"/>
    <tableColumn id="5919" xr3:uid="{093577ED-77BB-4838-8321-C8C17524CF5E}" name="Column5919"/>
    <tableColumn id="5920" xr3:uid="{E013D121-4B69-407B-B2DF-6887EE1AF3A2}" name="Column5920"/>
    <tableColumn id="5921" xr3:uid="{828687D4-F572-4394-AFBC-A1048051A505}" name="Column5921"/>
    <tableColumn id="5922" xr3:uid="{A06C3CAD-2DC4-4520-BD26-F0043B4E0D7C}" name="Column5922"/>
    <tableColumn id="5923" xr3:uid="{3BDA6D57-EAD6-4EA5-A79F-47301479B667}" name="Column5923"/>
    <tableColumn id="5924" xr3:uid="{C7326AC4-5C64-47FE-A0F9-3930169912A1}" name="Column5924"/>
    <tableColumn id="5925" xr3:uid="{540E3ECD-7457-41A2-B45D-170A8FA9E1EB}" name="Column5925"/>
    <tableColumn id="5926" xr3:uid="{AABE703A-FA0E-4C33-A6CF-A8B970BD9A3E}" name="Column5926"/>
    <tableColumn id="5927" xr3:uid="{BEB2D48A-683E-4EBF-A59C-2424973B5896}" name="Column5927"/>
    <tableColumn id="5928" xr3:uid="{2570F3BF-886D-4C82-A926-7D16A5766A23}" name="Column5928"/>
    <tableColumn id="5929" xr3:uid="{FF5F608A-2ADB-46C8-9355-BCDFADED68DC}" name="Column5929"/>
    <tableColumn id="5930" xr3:uid="{F71E7604-C68C-483E-8F5F-3C4B1ED6FEE2}" name="Column5930"/>
    <tableColumn id="5931" xr3:uid="{E8C7544D-EE3A-4786-8FF0-76FB778C6AA1}" name="Column5931"/>
    <tableColumn id="5932" xr3:uid="{EE2E35CC-FB6C-4C02-8229-FC02C79FE1BE}" name="Column5932"/>
    <tableColumn id="5933" xr3:uid="{EBD11908-8F71-4854-BAFF-0D5302ED90EA}" name="Column5933"/>
    <tableColumn id="5934" xr3:uid="{CC30AE57-E10D-4C57-97EC-67A98342446B}" name="Column5934"/>
    <tableColumn id="5935" xr3:uid="{DC2A6E56-14FF-49CF-9580-83FEFCCD3418}" name="Column5935"/>
    <tableColumn id="5936" xr3:uid="{6A4FCA90-3F0C-4CDA-8376-E84A213336D7}" name="Column5936"/>
    <tableColumn id="5937" xr3:uid="{821144BC-0C18-4339-8F98-E1929AB52F47}" name="Column5937"/>
    <tableColumn id="5938" xr3:uid="{502650E9-A194-425A-AD0F-B945488D7F63}" name="Column5938"/>
    <tableColumn id="5939" xr3:uid="{5673BE0A-4572-40A4-AEE9-E5D74237DB59}" name="Column5939"/>
    <tableColumn id="5940" xr3:uid="{C0A5CA28-3339-43C7-A1F8-227BF342F73E}" name="Column5940"/>
    <tableColumn id="5941" xr3:uid="{21A8FC4B-B71F-4038-8C77-E29D9D3FA209}" name="Column5941"/>
    <tableColumn id="5942" xr3:uid="{CBD2E1E3-D58D-4AB1-89C5-4B0F0C13C230}" name="Column5942"/>
    <tableColumn id="5943" xr3:uid="{E31577E4-6582-43C5-AEC0-DCC1301460F9}" name="Column5943"/>
    <tableColumn id="5944" xr3:uid="{79B5FF8F-E56C-4D7B-B324-CB03B9F6A161}" name="Column5944"/>
    <tableColumn id="5945" xr3:uid="{71D3D6DF-DAE3-4D71-94E7-C8C76FA225D5}" name="Column5945"/>
    <tableColumn id="5946" xr3:uid="{866B7B33-9A28-4E4B-870D-7883697D6C66}" name="Column5946"/>
    <tableColumn id="5947" xr3:uid="{48202B11-8507-4F31-8230-DCE65806E9EB}" name="Column5947"/>
    <tableColumn id="5948" xr3:uid="{94C1577F-574D-4279-AD90-00E854D55285}" name="Column5948"/>
    <tableColumn id="5949" xr3:uid="{96522E1E-B278-43F4-8D85-CA4B7366DE00}" name="Column5949"/>
    <tableColumn id="5950" xr3:uid="{6BC4EF1B-5A2E-4E2F-9FB6-D4A719B02258}" name="Column5950"/>
    <tableColumn id="5951" xr3:uid="{A0944A5E-1AFD-4BBA-8D18-F2E3590930CC}" name="Column5951"/>
    <tableColumn id="5952" xr3:uid="{771C2B5D-B462-4529-BB1D-8B5BD9565158}" name="Column5952"/>
    <tableColumn id="5953" xr3:uid="{7D47225C-9158-4EDF-85A3-79C2A60D17B4}" name="Column5953"/>
    <tableColumn id="5954" xr3:uid="{BF65959C-0E72-414C-A891-8877CC8C517D}" name="Column5954"/>
    <tableColumn id="5955" xr3:uid="{464E154C-42A9-4CFA-858D-512E619D4E2B}" name="Column5955"/>
    <tableColumn id="5956" xr3:uid="{051C83B5-24FD-418D-B6F7-658B3F2B40FB}" name="Column5956"/>
    <tableColumn id="5957" xr3:uid="{0CA5CC5B-BCAA-4C7B-84BE-A94AAD0ED48F}" name="Column5957"/>
    <tableColumn id="5958" xr3:uid="{7280CEBD-FE4D-40C9-8380-107B7BFA62D8}" name="Column5958"/>
    <tableColumn id="5959" xr3:uid="{9EFE9193-6732-4255-AB7E-76B2EED71EBE}" name="Column5959"/>
    <tableColumn id="5960" xr3:uid="{EDBA9BAF-87EF-4362-A12E-3AA96D94F8BA}" name="Column5960"/>
    <tableColumn id="5961" xr3:uid="{66453E65-8897-4839-BA5F-A9B1B4C4153C}" name="Column5961"/>
    <tableColumn id="5962" xr3:uid="{2A7D47C1-36B6-4CE9-A082-12DF8646F1E9}" name="Column5962"/>
    <tableColumn id="5963" xr3:uid="{BEEACAC1-22FC-48DC-8DEB-4077AE268C89}" name="Column5963"/>
    <tableColumn id="5964" xr3:uid="{B30B08E1-06F9-4F38-8FDC-7EC85241A698}" name="Column5964"/>
    <tableColumn id="5965" xr3:uid="{033CF0A0-1887-4D0A-B17C-652B835D0182}" name="Column5965"/>
    <tableColumn id="5966" xr3:uid="{7F9EBD04-C31F-4C0A-9A0B-B2E6E3BC7F67}" name="Column5966"/>
    <tableColumn id="5967" xr3:uid="{50F40030-E992-45BC-88D1-FFDE6D6D82D3}" name="Column5967"/>
    <tableColumn id="5968" xr3:uid="{77DEE637-B3CD-4119-B988-836D4DB8BDEC}" name="Column5968"/>
    <tableColumn id="5969" xr3:uid="{CBB38371-5BEC-461A-BDBD-CFED1732D086}" name="Column5969"/>
    <tableColumn id="5970" xr3:uid="{48D2B40B-8467-46A0-BC05-CE3661E9BAC9}" name="Column5970"/>
    <tableColumn id="5971" xr3:uid="{2CF57722-0969-4413-8FF1-E62963C12245}" name="Column5971"/>
    <tableColumn id="5972" xr3:uid="{2EDEA2DA-0B25-4FFF-9529-65766EE2516A}" name="Column5972"/>
    <tableColumn id="5973" xr3:uid="{DFAC0CCE-3F8E-4B29-8644-4EA7DE198323}" name="Column5973"/>
    <tableColumn id="5974" xr3:uid="{B7B44963-51BB-4A49-95D7-6895E8D5A445}" name="Column5974"/>
    <tableColumn id="5975" xr3:uid="{55E7E1E6-2368-432C-B4CC-9EDE10C4989A}" name="Column5975"/>
    <tableColumn id="5976" xr3:uid="{BB08F396-AB67-47C2-B6E4-D97F55300B11}" name="Column5976"/>
    <tableColumn id="5977" xr3:uid="{8400B6CA-6E7C-4E40-A7D2-198B075222E5}" name="Column5977"/>
    <tableColumn id="5978" xr3:uid="{6412BE44-245E-42AA-9AF2-692006A0AF4F}" name="Column5978"/>
    <tableColumn id="5979" xr3:uid="{F88C53F1-008D-4E70-8B86-C809DB0694A9}" name="Column5979"/>
    <tableColumn id="5980" xr3:uid="{3363D3D3-E420-440D-9A82-A2630BDA7788}" name="Column5980"/>
    <tableColumn id="5981" xr3:uid="{536EB2A8-F7FE-4DBF-B306-87C7987556AE}" name="Column5981"/>
    <tableColumn id="5982" xr3:uid="{A3EBBE5D-3E02-4B99-BB51-AE435281B386}" name="Column5982"/>
    <tableColumn id="5983" xr3:uid="{94B72D0B-CADC-40B0-8481-41ED4C334BB8}" name="Column5983"/>
    <tableColumn id="5984" xr3:uid="{C7FCB970-A593-436A-995F-731B08799BFF}" name="Column5984"/>
    <tableColumn id="5985" xr3:uid="{5D29E9CE-F532-4A30-A974-501E02AC4BAB}" name="Column5985"/>
    <tableColumn id="5986" xr3:uid="{7FC5D261-E499-44C5-9DF8-B0ADA4A7AD3D}" name="Column5986"/>
    <tableColumn id="5987" xr3:uid="{4EF6ECED-AF83-4432-89CF-B1D1B9763017}" name="Column5987"/>
    <tableColumn id="5988" xr3:uid="{1CC7903E-55D4-4429-8635-824EB616CE5E}" name="Column5988"/>
    <tableColumn id="5989" xr3:uid="{0EF6392D-17C6-47BB-9210-8BF3224750D8}" name="Column5989"/>
    <tableColumn id="5990" xr3:uid="{CD3BFAAF-B5D0-49F1-90C9-B946A37AE715}" name="Column5990"/>
    <tableColumn id="5991" xr3:uid="{EE4CB58A-4DDB-491D-AA3B-E5F0BFE9C193}" name="Column5991"/>
    <tableColumn id="5992" xr3:uid="{7B322369-D2E9-4263-8DBC-3CA0A824FDB5}" name="Column5992"/>
    <tableColumn id="5993" xr3:uid="{5C229CDE-91FB-4013-B04A-779A3FDA1D9E}" name="Column5993"/>
    <tableColumn id="5994" xr3:uid="{47AD3CC7-F75F-47FA-B44D-93BC7228FBD0}" name="Column5994"/>
    <tableColumn id="5995" xr3:uid="{1FDDAF3B-CEC1-4C39-9B6A-10E72CCC2CDD}" name="Column5995"/>
    <tableColumn id="5996" xr3:uid="{5DC5C63C-7C2D-46FD-8C51-D09CA1B2C667}" name="Column5996"/>
    <tableColumn id="5997" xr3:uid="{F242F153-69B3-4AC8-AD05-BA2D851FF0B1}" name="Column5997"/>
    <tableColumn id="5998" xr3:uid="{E00D4045-1301-4898-AA49-367824895065}" name="Column5998"/>
    <tableColumn id="5999" xr3:uid="{34F125A7-DDDE-4499-A2C2-CF60724D385C}" name="Column5999"/>
    <tableColumn id="6000" xr3:uid="{A25A1FF6-BA89-476E-A65F-55E8E28916C5}" name="Column6000"/>
    <tableColumn id="6001" xr3:uid="{EC08A56C-5A47-46F2-A1FE-0F73C20FF726}" name="Column6001"/>
    <tableColumn id="6002" xr3:uid="{B5E211AC-F1C9-44F8-9B68-5A346969BE7A}" name="Column6002"/>
    <tableColumn id="6003" xr3:uid="{C5A9E836-149D-4B95-82C5-4AA2F1F0381B}" name="Column6003"/>
    <tableColumn id="6004" xr3:uid="{0DD555F7-51E6-4B8B-9CD4-E15183B20DB2}" name="Column6004"/>
    <tableColumn id="6005" xr3:uid="{C3770F72-86DA-4661-98CA-B9BF5B5BB843}" name="Column6005"/>
    <tableColumn id="6006" xr3:uid="{D31897B5-95AE-4055-9302-095EC3CA511A}" name="Column6006"/>
    <tableColumn id="6007" xr3:uid="{DB0559A3-D39E-48B6-994D-6730B06724E5}" name="Column6007"/>
    <tableColumn id="6008" xr3:uid="{9845EB21-18EE-4189-BDF2-946A7271D2EB}" name="Column6008"/>
    <tableColumn id="6009" xr3:uid="{4F6898E4-E02F-414A-8637-28217F1C3E66}" name="Column6009"/>
    <tableColumn id="6010" xr3:uid="{0A98C865-E1B5-4F70-A08B-FCB66633A29D}" name="Column6010"/>
    <tableColumn id="6011" xr3:uid="{E48CB82C-9255-4E97-A3CE-EE82B6B93C18}" name="Column6011"/>
    <tableColumn id="6012" xr3:uid="{B401D676-C946-4AA1-B108-A2B3C78E5C08}" name="Column6012"/>
    <tableColumn id="6013" xr3:uid="{469F4E78-89B5-4916-9B7D-D55999F427DA}" name="Column6013"/>
    <tableColumn id="6014" xr3:uid="{A0F60011-57A4-453E-952C-DA53A23BBEB2}" name="Column6014"/>
    <tableColumn id="6015" xr3:uid="{ED9EC89D-CF91-4E88-BF9B-6B4A1E79C91C}" name="Column6015"/>
    <tableColumn id="6016" xr3:uid="{AA81AC39-B148-44C6-90FB-D5AD273FAD50}" name="Column6016"/>
    <tableColumn id="6017" xr3:uid="{42860D74-8456-4784-85C6-C5C7FCDF434D}" name="Column6017"/>
    <tableColumn id="6018" xr3:uid="{C2DC8862-2E1B-4C11-9580-489742A62AB0}" name="Column6018"/>
    <tableColumn id="6019" xr3:uid="{D9EB7E95-EAD5-47B4-A3B1-D7A19895CEC2}" name="Column6019"/>
    <tableColumn id="6020" xr3:uid="{E2CA6BB3-A50E-4782-8D36-9A4A2048F943}" name="Column6020"/>
    <tableColumn id="6021" xr3:uid="{5B8D2262-0D6C-49A1-9E41-C8CA10B8AE6A}" name="Column6021"/>
    <tableColumn id="6022" xr3:uid="{38099023-87D3-4F01-B7A5-64B6DF4A0754}" name="Column6022"/>
    <tableColumn id="6023" xr3:uid="{A83A1C79-357D-446B-AB94-E56D20C0F73E}" name="Column6023"/>
    <tableColumn id="6024" xr3:uid="{43D445F7-3B9A-4A0F-BC89-7C2D0A4182C0}" name="Column6024"/>
    <tableColumn id="6025" xr3:uid="{C539C1DF-E54B-4957-9E28-C1B50FA5C782}" name="Column6025"/>
    <tableColumn id="6026" xr3:uid="{4E82B7D6-4933-4183-9D70-4F659C0DB50C}" name="Column6026"/>
    <tableColumn id="6027" xr3:uid="{BD213715-BFBE-4B28-B2BE-F01D8AF10F2C}" name="Column6027"/>
    <tableColumn id="6028" xr3:uid="{3CD0D46A-0B76-4456-8FD8-993D988AC2D8}" name="Column6028"/>
    <tableColumn id="6029" xr3:uid="{DC2A2250-233B-45C0-851C-85F8F396FE3B}" name="Column6029"/>
    <tableColumn id="6030" xr3:uid="{88A09F0D-934C-4114-9B6B-8742DB34C05C}" name="Column6030"/>
    <tableColumn id="6031" xr3:uid="{42616F0D-3669-45A5-81E7-516C00D09E10}" name="Column6031"/>
    <tableColumn id="6032" xr3:uid="{991EC94C-9245-4793-8205-DBB41557FA6E}" name="Column6032"/>
    <tableColumn id="6033" xr3:uid="{073A6D39-4918-47FA-9FB7-A1E18CD669D5}" name="Column6033"/>
    <tableColumn id="6034" xr3:uid="{6C314014-C357-4BF8-AEBD-326E6ABB8325}" name="Column6034"/>
    <tableColumn id="6035" xr3:uid="{9ADCBA20-4222-42B1-8A60-9DA04C4A0480}" name="Column6035"/>
    <tableColumn id="6036" xr3:uid="{83961418-75F9-41C3-9870-70114D90FD92}" name="Column6036"/>
    <tableColumn id="6037" xr3:uid="{3EFD0CEA-83D9-41F1-91DA-9EEF7DC3242D}" name="Column6037"/>
    <tableColumn id="6038" xr3:uid="{96D706E0-7301-4DA9-9EC5-4E9722A4F1F6}" name="Column6038"/>
    <tableColumn id="6039" xr3:uid="{8505E992-4B9C-48F5-8B72-6033BAC6807F}" name="Column6039"/>
    <tableColumn id="6040" xr3:uid="{B75B8830-A8B5-486E-89C9-347CF1C24C0A}" name="Column6040"/>
    <tableColumn id="6041" xr3:uid="{80BDAF6D-C975-4C18-B967-257C89B070CF}" name="Column6041"/>
    <tableColumn id="6042" xr3:uid="{B5FCEB0D-E8C8-4BAF-9E3C-568617361B57}" name="Column6042"/>
    <tableColumn id="6043" xr3:uid="{9D6172DD-3EF1-4DF7-8524-52D7E57AF7DD}" name="Column6043"/>
    <tableColumn id="6044" xr3:uid="{C984E5B9-80AC-454F-B7B1-C4824E66E3B6}" name="Column6044"/>
    <tableColumn id="6045" xr3:uid="{632143C4-5173-4F81-9221-08B7A33E98D5}" name="Column6045"/>
    <tableColumn id="6046" xr3:uid="{F5B12AE3-A3D8-44D6-90AE-29157888D889}" name="Column6046"/>
    <tableColumn id="6047" xr3:uid="{B2B84332-8AE5-400E-836D-62D2235AE8E7}" name="Column6047"/>
    <tableColumn id="6048" xr3:uid="{55140056-A941-4647-8D49-1A6CC7C98311}" name="Column6048"/>
    <tableColumn id="6049" xr3:uid="{12F4F5F5-5D7F-4138-B246-81430ED112DB}" name="Column6049"/>
    <tableColumn id="6050" xr3:uid="{670EE5B4-227B-4254-B16D-095B7DC7B9BC}" name="Column6050"/>
    <tableColumn id="6051" xr3:uid="{2F92A4AE-CC94-42B5-850E-E152B5ACB5D5}" name="Column6051"/>
    <tableColumn id="6052" xr3:uid="{8EC8E735-6CE0-41C8-BE35-846CFE63290D}" name="Column6052"/>
    <tableColumn id="6053" xr3:uid="{899CA71D-3B18-4F25-83BA-AEE28048424B}" name="Column6053"/>
    <tableColumn id="6054" xr3:uid="{0EA8B4A1-9666-481E-9043-1941C2953532}" name="Column6054"/>
    <tableColumn id="6055" xr3:uid="{EDD4B69B-1323-43B8-AD4A-6978B2A3B84D}" name="Column6055"/>
    <tableColumn id="6056" xr3:uid="{6809C6CD-4AE2-4EB0-ACAF-213CD271D077}" name="Column6056"/>
    <tableColumn id="6057" xr3:uid="{D18FFB4C-EDEB-486E-9B7A-D56FA1F0C7C0}" name="Column6057"/>
    <tableColumn id="6058" xr3:uid="{32257BC1-33C7-4338-8BF7-FBA323F59C23}" name="Column6058"/>
    <tableColumn id="6059" xr3:uid="{724C9287-9D6D-4688-B5B2-3C3FDF141AC0}" name="Column6059"/>
    <tableColumn id="6060" xr3:uid="{C6778924-7645-462B-9705-D271785BF04B}" name="Column6060"/>
    <tableColumn id="6061" xr3:uid="{89468F3E-AC4A-4332-9365-F8B51897591E}" name="Column6061"/>
    <tableColumn id="6062" xr3:uid="{53B79CFE-F90E-40CE-A4E2-75A617945072}" name="Column6062"/>
    <tableColumn id="6063" xr3:uid="{4295D070-3DD8-44F3-8978-38DA3DC80348}" name="Column6063"/>
    <tableColumn id="6064" xr3:uid="{B3150C20-0590-44A6-84E0-8BD4214590E0}" name="Column6064"/>
    <tableColumn id="6065" xr3:uid="{C3535FAF-4865-4B74-B217-9F1DFEF70BDD}" name="Column6065"/>
    <tableColumn id="6066" xr3:uid="{E7D98D3D-ADB8-4E42-9DFC-3ED50F65FF31}" name="Column6066"/>
    <tableColumn id="6067" xr3:uid="{22DC3AAE-D946-4755-8165-68C73C5916DA}" name="Column6067"/>
    <tableColumn id="6068" xr3:uid="{105134D7-51F6-4F92-9C36-7AE4A7EA1AFE}" name="Column6068"/>
    <tableColumn id="6069" xr3:uid="{F9F6E7DF-EAC9-4182-A731-1D76675C5AA2}" name="Column6069"/>
    <tableColumn id="6070" xr3:uid="{DF61C127-ADAA-4C36-9913-B203508C3BF8}" name="Column6070"/>
    <tableColumn id="6071" xr3:uid="{11622063-0799-4176-BE3E-7AD7E753DFE2}" name="Column6071"/>
    <tableColumn id="6072" xr3:uid="{AFFF8DDA-0B6D-4E47-942B-A479A0895886}" name="Column6072"/>
    <tableColumn id="6073" xr3:uid="{D7962E41-FB82-4C2A-91AC-0CACFC9F700E}" name="Column6073"/>
    <tableColumn id="6074" xr3:uid="{32528950-CCB7-417E-809E-2E4676266E66}" name="Column6074"/>
    <tableColumn id="6075" xr3:uid="{1D1B73FD-566C-4D27-9E8A-6ECF02985BD4}" name="Column6075"/>
    <tableColumn id="6076" xr3:uid="{9B4E20C8-373A-45A9-BCCA-E8F9AA3B4C40}" name="Column6076"/>
    <tableColumn id="6077" xr3:uid="{7845DDF4-2271-45C7-B695-7324E27A9068}" name="Column6077"/>
    <tableColumn id="6078" xr3:uid="{C84120F9-3926-45D5-B65F-5E66ECEF8EE6}" name="Column6078"/>
    <tableColumn id="6079" xr3:uid="{2D5DB397-4B5D-469A-8CDA-6DEFB15C75D9}" name="Column6079"/>
    <tableColumn id="6080" xr3:uid="{9715D4A0-F923-4A53-8428-91594D93A02B}" name="Column6080"/>
    <tableColumn id="6081" xr3:uid="{BA4555DC-5E39-4372-9AA7-541BAA057F9F}" name="Column6081"/>
    <tableColumn id="6082" xr3:uid="{D5F75752-8EC9-4E3D-9F4C-19CB08471A66}" name="Column6082"/>
    <tableColumn id="6083" xr3:uid="{A1329673-A343-4581-9076-776483456E21}" name="Column6083"/>
    <tableColumn id="6084" xr3:uid="{FA1546D4-8040-46E7-86C6-C519F8BB9AA2}" name="Column6084"/>
    <tableColumn id="6085" xr3:uid="{6A2CCC60-D82C-4E87-882B-1508959D200A}" name="Column6085"/>
    <tableColumn id="6086" xr3:uid="{B615FA0A-4989-4FD3-9107-4FB5C9891458}" name="Column6086"/>
    <tableColumn id="6087" xr3:uid="{441F20AD-8A7E-43EF-AECC-B0F3DCD2BA53}" name="Column6087"/>
    <tableColumn id="6088" xr3:uid="{942AF4A2-8425-4059-BCE8-CB09C9C0E0AB}" name="Column6088"/>
    <tableColumn id="6089" xr3:uid="{FBBDADEF-5BC4-4AFF-BEAF-59345DFBC096}" name="Column6089"/>
    <tableColumn id="6090" xr3:uid="{C6006112-1529-4A21-9C54-88CEA80BB356}" name="Column6090"/>
    <tableColumn id="6091" xr3:uid="{AC127255-9E97-4667-A809-EC36B0281F6E}" name="Column6091"/>
    <tableColumn id="6092" xr3:uid="{8FFC7221-9BD1-4B99-A83E-26E1B9DEAE5E}" name="Column6092"/>
    <tableColumn id="6093" xr3:uid="{2BA0AFBB-761A-4ECD-8BE2-99FFC1291DB8}" name="Column6093"/>
    <tableColumn id="6094" xr3:uid="{5E4144DF-F031-4068-808A-AF9E1FF6AB22}" name="Column6094"/>
    <tableColumn id="6095" xr3:uid="{8BD17DA9-AED6-42B3-9660-1FC1803099A3}" name="Column6095"/>
    <tableColumn id="6096" xr3:uid="{56644199-0488-4074-95EE-1FB5C13C514C}" name="Column6096"/>
    <tableColumn id="6097" xr3:uid="{C6ED5F90-AF2D-43DB-80AA-8730F6639A62}" name="Column6097"/>
    <tableColumn id="6098" xr3:uid="{33579A5A-1112-4F16-BE4B-5DE4F6DDC51D}" name="Column6098"/>
    <tableColumn id="6099" xr3:uid="{03F5B4C0-B9B5-4294-8467-76F3C11017D0}" name="Column6099"/>
    <tableColumn id="6100" xr3:uid="{7C97CF62-F119-498F-90D5-3E5E1031ECF5}" name="Column6100"/>
    <tableColumn id="6101" xr3:uid="{0F89C52D-1AE0-4EE6-BE8E-9EA7876C27D6}" name="Column6101"/>
    <tableColumn id="6102" xr3:uid="{CA89EDFA-11E8-4582-A636-90087DEFAC62}" name="Column6102"/>
    <tableColumn id="6103" xr3:uid="{C3B23FE0-A4FB-484F-B279-DDF77BA4DD64}" name="Column6103"/>
    <tableColumn id="6104" xr3:uid="{9E3BA122-14EF-418F-9B07-F07FB1C6331A}" name="Column6104"/>
    <tableColumn id="6105" xr3:uid="{894B7080-99E3-40C1-A889-000E14299D30}" name="Column6105"/>
    <tableColumn id="6106" xr3:uid="{EF87ACCA-9805-47BF-AEF3-5728DBC46BFD}" name="Column6106"/>
    <tableColumn id="6107" xr3:uid="{887F2441-9D93-4686-A2B6-6169CF2E6526}" name="Column6107"/>
    <tableColumn id="6108" xr3:uid="{F49CE311-C125-467A-8153-A88B6B59AD04}" name="Column6108"/>
    <tableColumn id="6109" xr3:uid="{75D828B7-14DE-4629-ADDD-0C233A704075}" name="Column6109"/>
    <tableColumn id="6110" xr3:uid="{C78BCC99-AC3A-452A-979E-E506CF35C547}" name="Column6110"/>
    <tableColumn id="6111" xr3:uid="{CB1EFF92-5396-4144-B3D4-3662FB1A3FEC}" name="Column6111"/>
    <tableColumn id="6112" xr3:uid="{BEE08F19-AA0B-4070-AAE0-D28C50E3FCBD}" name="Column6112"/>
    <tableColumn id="6113" xr3:uid="{5D1F3821-CC9E-4585-B780-5DEAF5C3CC71}" name="Column6113"/>
    <tableColumn id="6114" xr3:uid="{168BAE82-BA2E-408F-A087-AA620A8D5A9F}" name="Column6114"/>
    <tableColumn id="6115" xr3:uid="{C053B8EE-1C1F-4EA6-BDB8-8E8DFC5859E7}" name="Column6115"/>
    <tableColumn id="6116" xr3:uid="{21F71A44-B6B8-42AF-BCD5-74203EB8C8B4}" name="Column6116"/>
    <tableColumn id="6117" xr3:uid="{7043818C-A08B-4CA1-8235-7DA2D475D9C1}" name="Column6117"/>
    <tableColumn id="6118" xr3:uid="{97A4750E-C06A-4465-873D-2926E30B5E0C}" name="Column6118"/>
    <tableColumn id="6119" xr3:uid="{2DEBF397-5793-4622-820A-27A6CC1F0AFE}" name="Column6119"/>
    <tableColumn id="6120" xr3:uid="{7B8B2331-BBC4-4D35-A5C9-F4BD89D1F44B}" name="Column6120"/>
    <tableColumn id="6121" xr3:uid="{4980AABB-F004-4FA7-8EDC-F21FEED3FDFE}" name="Column6121"/>
    <tableColumn id="6122" xr3:uid="{55825EA2-09AE-429F-8271-6433420CB1C2}" name="Column6122"/>
    <tableColumn id="6123" xr3:uid="{4441C5BE-CA57-4B9A-B783-4F48DD03C0A9}" name="Column6123"/>
    <tableColumn id="6124" xr3:uid="{1B73A1BF-04D0-4603-8B62-F0ED510B60D2}" name="Column6124"/>
    <tableColumn id="6125" xr3:uid="{ED20E5C2-4DED-486A-9341-87BA706EEC6E}" name="Column6125"/>
    <tableColumn id="6126" xr3:uid="{3122E327-DABD-4E42-89E6-B41E743E9CF7}" name="Column6126"/>
    <tableColumn id="6127" xr3:uid="{6F88211E-FB2C-412E-A5A5-06E860D954FA}" name="Column6127"/>
    <tableColumn id="6128" xr3:uid="{2FDC4F44-BA32-4745-83C4-D4D047D5C413}" name="Column6128"/>
    <tableColumn id="6129" xr3:uid="{4FD21CF2-EA3B-44FF-A57F-205040A049F5}" name="Column6129"/>
    <tableColumn id="6130" xr3:uid="{5B213661-2E67-403B-B4AE-A628AC1BF934}" name="Column6130"/>
    <tableColumn id="6131" xr3:uid="{D8695297-515C-4041-89B4-1C27D67F7921}" name="Column6131"/>
    <tableColumn id="6132" xr3:uid="{6A9DE300-74F2-485E-A3E6-6BCBFCE45F73}" name="Column6132"/>
    <tableColumn id="6133" xr3:uid="{F8C9D589-CB8D-4508-9A3E-5C8143487B6F}" name="Column6133"/>
    <tableColumn id="6134" xr3:uid="{394AC6A1-1EAE-4A62-8734-4CD3CAD09F6B}" name="Column6134"/>
    <tableColumn id="6135" xr3:uid="{C8282740-191E-4440-8321-A146808D1B05}" name="Column6135"/>
    <tableColumn id="6136" xr3:uid="{6BE5F1C6-2C2C-4D00-A3CF-DAC1E2C09405}" name="Column6136"/>
    <tableColumn id="6137" xr3:uid="{766AE117-33F3-43EF-8445-610562DCBF9E}" name="Column6137"/>
    <tableColumn id="6138" xr3:uid="{6D1A1177-37D8-462E-A3A3-4779C933CE13}" name="Column6138"/>
    <tableColumn id="6139" xr3:uid="{87D634FA-5A46-4648-81F1-F551CEC2A988}" name="Column6139"/>
    <tableColumn id="6140" xr3:uid="{CC93E06A-95F3-406A-8730-06341D7F66F0}" name="Column6140"/>
    <tableColumn id="6141" xr3:uid="{66A25B5A-C807-46C9-9806-8DE62192DBCE}" name="Column6141"/>
    <tableColumn id="6142" xr3:uid="{7E23C0D3-ADD7-4994-893D-E0FCBAF439ED}" name="Column6142"/>
    <tableColumn id="6143" xr3:uid="{885BFE84-90A8-451E-8A30-CF9A638FAEBF}" name="Column6143"/>
    <tableColumn id="6144" xr3:uid="{838605A7-0966-4192-B522-4CC9B4FA0D08}" name="Column6144"/>
    <tableColumn id="6145" xr3:uid="{E6533D79-8519-4470-AC30-7DA5DF13FFF9}" name="Column6145"/>
    <tableColumn id="6146" xr3:uid="{19517113-5635-43C0-BD45-DAAB0958A818}" name="Column6146"/>
    <tableColumn id="6147" xr3:uid="{E3B0E6CC-E01D-4CA0-847C-B6707B325B6E}" name="Column6147"/>
    <tableColumn id="6148" xr3:uid="{E58A6584-8078-4CEE-BF7E-4826DE5E591D}" name="Column6148"/>
    <tableColumn id="6149" xr3:uid="{09CE3DBA-2E5C-4557-8211-336CD727EA26}" name="Column6149"/>
    <tableColumn id="6150" xr3:uid="{33E977DA-A14E-44F2-B636-D60756FAD6D0}" name="Column6150"/>
    <tableColumn id="6151" xr3:uid="{C26EAE42-3DA1-42E0-A124-B38E956DEF7B}" name="Column6151"/>
    <tableColumn id="6152" xr3:uid="{FA199B6D-3865-4023-8658-EE6105492246}" name="Column6152"/>
    <tableColumn id="6153" xr3:uid="{A50576F0-F52D-4383-9536-972E3DC27440}" name="Column6153"/>
    <tableColumn id="6154" xr3:uid="{DA960E74-5F36-43C8-9A50-06571BD2B161}" name="Column6154"/>
    <tableColumn id="6155" xr3:uid="{6CAC602D-B26F-477E-BD73-41AA86722411}" name="Column6155"/>
    <tableColumn id="6156" xr3:uid="{FC85A9AD-D11B-452C-9F36-0DE9FAF575A0}" name="Column6156"/>
    <tableColumn id="6157" xr3:uid="{4513F8E7-AF87-470F-BEDD-69076ED882A4}" name="Column6157"/>
    <tableColumn id="6158" xr3:uid="{2A143E06-C8CA-49F5-87B0-75FF63FE2DD3}" name="Column6158"/>
    <tableColumn id="6159" xr3:uid="{67EBB07D-EAC5-4352-9281-8EFD2D663AEA}" name="Column6159"/>
    <tableColumn id="6160" xr3:uid="{FA2ACE70-8880-4205-AFDF-AD9BC0113047}" name="Column6160"/>
    <tableColumn id="6161" xr3:uid="{B8302376-3221-41E4-A22E-7902395984CD}" name="Column6161"/>
    <tableColumn id="6162" xr3:uid="{C64E0D71-F03A-4A99-960D-3738952E6506}" name="Column6162"/>
    <tableColumn id="6163" xr3:uid="{A6D503C6-A148-4DE3-AEDC-B2C02C780B97}" name="Column6163"/>
    <tableColumn id="6164" xr3:uid="{F8083B29-B361-4FF7-BA9C-DAD96BE47205}" name="Column6164"/>
    <tableColumn id="6165" xr3:uid="{DD55FB8E-8A1C-44FA-AF1A-FBF721F214D5}" name="Column6165"/>
    <tableColumn id="6166" xr3:uid="{5B03449B-A143-4BE2-B497-F8480C402DBC}" name="Column6166"/>
    <tableColumn id="6167" xr3:uid="{B755DC29-2B59-4EBD-9ACF-A1A9531554E9}" name="Column6167"/>
    <tableColumn id="6168" xr3:uid="{D2FA3809-9CEC-4CA8-8EA0-0D112CDB6020}" name="Column6168"/>
    <tableColumn id="6169" xr3:uid="{48D3D385-234A-409B-A7E5-BF2BD23E6A8A}" name="Column6169"/>
    <tableColumn id="6170" xr3:uid="{B9FF3D86-0B85-4057-A967-648AABE8834A}" name="Column6170"/>
    <tableColumn id="6171" xr3:uid="{A1DC44D5-600A-4ADD-A1E7-6DEB91DF63F2}" name="Column6171"/>
    <tableColumn id="6172" xr3:uid="{0966142C-C9E1-4EFD-A9EB-DAFB1FF62B72}" name="Column6172"/>
    <tableColumn id="6173" xr3:uid="{79C38B88-2FE5-4875-AB15-C8A75D3AC70C}" name="Column6173"/>
    <tableColumn id="6174" xr3:uid="{0A61BEBD-2B70-477F-B91E-7447351908A0}" name="Column6174"/>
    <tableColumn id="6175" xr3:uid="{F06777A9-88CF-4A2D-A17F-9AF8487ED1EB}" name="Column6175"/>
    <tableColumn id="6176" xr3:uid="{74DED11D-0706-440E-A65A-480EBB796295}" name="Column6176"/>
    <tableColumn id="6177" xr3:uid="{472DA8B6-1C6A-4B51-BFEE-9E4E43FB64DE}" name="Column6177"/>
    <tableColumn id="6178" xr3:uid="{6518E594-A6F8-4C87-82DF-9950E424F7DB}" name="Column6178"/>
    <tableColumn id="6179" xr3:uid="{674156D1-E79B-438D-B576-FCFB3375F189}" name="Column6179"/>
    <tableColumn id="6180" xr3:uid="{1380938D-B3D5-42B0-A8FD-14A6D7F950FA}" name="Column6180"/>
    <tableColumn id="6181" xr3:uid="{235FDDEE-F28A-4459-9BE7-1BE4AA4F6653}" name="Column6181"/>
    <tableColumn id="6182" xr3:uid="{4C1BCBDB-5E35-40D2-86B2-7C47FB8A3C2E}" name="Column6182"/>
    <tableColumn id="6183" xr3:uid="{F2E6DCB9-96A0-453A-9BB3-8CBCFB134A7C}" name="Column6183"/>
    <tableColumn id="6184" xr3:uid="{91680487-0B73-422F-815A-4D469E374FF5}" name="Column6184"/>
    <tableColumn id="6185" xr3:uid="{DCA3108F-D7C5-40E4-A0A9-A4AE2958C727}" name="Column6185"/>
    <tableColumn id="6186" xr3:uid="{B315F884-75A0-4579-8223-44453064841C}" name="Column6186"/>
    <tableColumn id="6187" xr3:uid="{2919EB65-1A20-43F0-8EF8-578888104D09}" name="Column6187"/>
    <tableColumn id="6188" xr3:uid="{7428CE54-2478-47A8-B2EC-482F50044F72}" name="Column6188"/>
    <tableColumn id="6189" xr3:uid="{A1F41BD0-3910-4A12-9692-06085EA3023E}" name="Column6189"/>
    <tableColumn id="6190" xr3:uid="{ED9BF679-4C56-474F-9746-F19F900A36C9}" name="Column6190"/>
    <tableColumn id="6191" xr3:uid="{FDEC76BE-625A-4DE9-AF53-2176D3496704}" name="Column6191"/>
    <tableColumn id="6192" xr3:uid="{F5F292B1-18CD-4C1D-9EE6-E0FD46CA4CBC}" name="Column6192"/>
    <tableColumn id="6193" xr3:uid="{8CE3816D-A157-4972-BB9E-7F34AFBCD990}" name="Column6193"/>
    <tableColumn id="6194" xr3:uid="{C540CFE8-8410-475A-A089-E432DB1B7BCC}" name="Column6194"/>
    <tableColumn id="6195" xr3:uid="{44885559-61B8-4446-A356-2EEFE2C6C4E6}" name="Column6195"/>
    <tableColumn id="6196" xr3:uid="{83D3F2D3-AC40-48AE-A2BD-895569E8D7C4}" name="Column6196"/>
    <tableColumn id="6197" xr3:uid="{9951B541-A0EE-4B2A-B6A1-08DB639534F0}" name="Column6197"/>
    <tableColumn id="6198" xr3:uid="{B6C222F1-C89B-4032-B6E5-E76B94FFAD84}" name="Column6198"/>
    <tableColumn id="6199" xr3:uid="{5A55DA49-7CF7-4A7A-AA54-416F103CA54D}" name="Column6199"/>
    <tableColumn id="6200" xr3:uid="{A4C8F2D0-D12F-45FA-B61D-8CB5A074815C}" name="Column6200"/>
    <tableColumn id="6201" xr3:uid="{5EBDA72F-3E3A-4A27-802E-7497787A1C75}" name="Column6201"/>
    <tableColumn id="6202" xr3:uid="{3D538E38-33C8-4815-9A98-EDEFC9812629}" name="Column6202"/>
    <tableColumn id="6203" xr3:uid="{F4A34A19-A0E1-490D-8272-B827E74824C9}" name="Column6203"/>
    <tableColumn id="6204" xr3:uid="{D3608E7C-051B-416E-A9CE-851420DE7B45}" name="Column6204"/>
    <tableColumn id="6205" xr3:uid="{869FD619-153E-4EAE-A9D8-C3C38EBBBC64}" name="Column6205"/>
    <tableColumn id="6206" xr3:uid="{8C9C9A06-CAB0-4E3C-84EE-7869025E1EA1}" name="Column6206"/>
    <tableColumn id="6207" xr3:uid="{FA2EC235-41E2-4343-A193-1EC1505237FD}" name="Column6207"/>
    <tableColumn id="6208" xr3:uid="{6FB06FC6-D185-4D50-A7E0-DC2E2333F3FE}" name="Column6208"/>
    <tableColumn id="6209" xr3:uid="{7B62DAE2-EF6B-410E-9219-E90AB91CA8A6}" name="Column6209"/>
    <tableColumn id="6210" xr3:uid="{4686058F-5037-41F1-8338-A1431BB34D4F}" name="Column6210"/>
    <tableColumn id="6211" xr3:uid="{5079D124-3646-428E-A168-1A9D3FC10563}" name="Column6211"/>
    <tableColumn id="6212" xr3:uid="{6599A46C-0249-404F-99DB-0933B0A23679}" name="Column6212"/>
    <tableColumn id="6213" xr3:uid="{8FDAB217-0FA8-4EB3-983A-CC78B18A3EB8}" name="Column6213"/>
    <tableColumn id="6214" xr3:uid="{66096EC2-178F-41E9-9248-FAD40C614F84}" name="Column6214"/>
    <tableColumn id="6215" xr3:uid="{560A6974-EFC1-4DBA-95AC-84A72ED305B8}" name="Column6215"/>
    <tableColumn id="6216" xr3:uid="{4EC7252A-D072-4A0B-9D46-9BCAD9AC8968}" name="Column6216"/>
    <tableColumn id="6217" xr3:uid="{5A4B9FE9-5676-47DE-8F3C-499E08333E9A}" name="Column6217"/>
    <tableColumn id="6218" xr3:uid="{DB4F0B78-817C-478D-BFBC-A8DB644B7A84}" name="Column6218"/>
    <tableColumn id="6219" xr3:uid="{9B5248D7-92C0-444A-A219-FF751E6BA68C}" name="Column6219"/>
    <tableColumn id="6220" xr3:uid="{5B9709A3-2CBC-4BE1-A8AD-2ECBC3135800}" name="Column6220"/>
    <tableColumn id="6221" xr3:uid="{F83FD159-3880-466A-A441-B8B57F4704DF}" name="Column6221"/>
    <tableColumn id="6222" xr3:uid="{FD606541-860B-4A37-A9A5-87DD65A5879F}" name="Column6222"/>
    <tableColumn id="6223" xr3:uid="{B9D9E82F-6E23-4A2F-8EE2-E1E45FFEA98F}" name="Column6223"/>
    <tableColumn id="6224" xr3:uid="{26217DD5-291E-4B65-937D-19FCC9746191}" name="Column6224"/>
    <tableColumn id="6225" xr3:uid="{316516BB-3745-42C3-9CC0-A0685C08CFE1}" name="Column6225"/>
    <tableColumn id="6226" xr3:uid="{2E8D735B-E108-44B5-89F7-341CABEC89F7}" name="Column6226"/>
    <tableColumn id="6227" xr3:uid="{AE9BBF8C-6FCA-48AF-A069-93196F4FF95E}" name="Column6227"/>
    <tableColumn id="6228" xr3:uid="{57808E86-74B9-415D-86C6-F31C1F3EB2B4}" name="Column6228"/>
    <tableColumn id="6229" xr3:uid="{AB8C21E3-86DD-4D03-B2C8-E2877816B24D}" name="Column6229"/>
    <tableColumn id="6230" xr3:uid="{CF9E1E10-5C1A-416B-A9FA-98CDD6F1A30F}" name="Column6230"/>
    <tableColumn id="6231" xr3:uid="{7728BAD8-0FA8-403F-8DBC-FF4B2A6319DE}" name="Column6231"/>
    <tableColumn id="6232" xr3:uid="{C2B0FA83-50FB-41DD-9D30-01B997079612}" name="Column6232"/>
    <tableColumn id="6233" xr3:uid="{E21D2A68-BC36-4422-9CF2-E5F3C3E38BF6}" name="Column6233"/>
    <tableColumn id="6234" xr3:uid="{8D00E377-D7B4-43AD-B336-5137F88806BF}" name="Column6234"/>
    <tableColumn id="6235" xr3:uid="{DE17DECE-8A3D-4942-BD3B-0F8CA7E756C8}" name="Column6235"/>
    <tableColumn id="6236" xr3:uid="{EDF5EAFB-863D-4E30-B81D-18D20C82F1BC}" name="Column6236"/>
    <tableColumn id="6237" xr3:uid="{DF3FD626-F740-474A-9F9E-D22B0A135E47}" name="Column6237"/>
    <tableColumn id="6238" xr3:uid="{FC59B387-80BB-422A-A6EA-56459EC349DC}" name="Column6238"/>
    <tableColumn id="6239" xr3:uid="{2B179916-4443-4A3D-80EC-07E7771C6A15}" name="Column6239"/>
    <tableColumn id="6240" xr3:uid="{A0556E82-9847-438D-A332-834CF94E4BF5}" name="Column6240"/>
    <tableColumn id="6241" xr3:uid="{791B4DCE-9581-4BE6-AC5B-D9BC31A26896}" name="Column6241"/>
    <tableColumn id="6242" xr3:uid="{4C659F9A-C98E-48A8-8499-9FDF12DC6443}" name="Column6242"/>
    <tableColumn id="6243" xr3:uid="{D648CF12-3482-4EED-BDE4-BCDC17167EBA}" name="Column6243"/>
    <tableColumn id="6244" xr3:uid="{12FEBB14-2B48-4637-9481-C476A27CD3CD}" name="Column6244"/>
    <tableColumn id="6245" xr3:uid="{29119138-D295-4922-8DCE-6168142B4B20}" name="Column6245"/>
    <tableColumn id="6246" xr3:uid="{6F6C418E-6EEC-4420-BCE0-3B99A17F5779}" name="Column6246"/>
    <tableColumn id="6247" xr3:uid="{6C91FCB2-B6C3-401D-8899-608B1E7AC985}" name="Column6247"/>
    <tableColumn id="6248" xr3:uid="{D29FD876-E382-489A-9429-29BF18035A6D}" name="Column6248"/>
    <tableColumn id="6249" xr3:uid="{0747EB17-9437-4255-9730-72399F831134}" name="Column6249"/>
    <tableColumn id="6250" xr3:uid="{6FBA71DA-9F8B-4DCB-9E80-AC737D396D31}" name="Column6250"/>
    <tableColumn id="6251" xr3:uid="{E8F37180-7C88-418F-ACB1-3C3811B7560B}" name="Column6251"/>
    <tableColumn id="6252" xr3:uid="{1D504329-0F1F-4B25-AA3D-533431E81EEE}" name="Column6252"/>
    <tableColumn id="6253" xr3:uid="{BE0D95D6-6F99-459E-B06D-F4C6CC7CA32C}" name="Column6253"/>
    <tableColumn id="6254" xr3:uid="{F532A923-89E8-442B-A4F6-555AA7D78C4C}" name="Column6254"/>
    <tableColumn id="6255" xr3:uid="{943BCE02-9DAB-4CAE-B85B-530AB6AE85C1}" name="Column6255"/>
    <tableColumn id="6256" xr3:uid="{66F2E2FC-92CA-48EE-8BBC-7D112E34F5FF}" name="Column6256"/>
    <tableColumn id="6257" xr3:uid="{6A6E9FC8-1AD0-4834-BEB8-11625C8DF04B}" name="Column6257"/>
    <tableColumn id="6258" xr3:uid="{7DD72D9A-4FE1-405E-AF25-8AE54AE5EB50}" name="Column6258"/>
    <tableColumn id="6259" xr3:uid="{FFD11C17-F5BE-43A4-979D-6AF1312CDD15}" name="Column6259"/>
    <tableColumn id="6260" xr3:uid="{4A945B44-5BA9-4DE6-AA4B-ED58912D03AC}" name="Column6260"/>
    <tableColumn id="6261" xr3:uid="{371910AD-48CC-43E3-B111-7483E41E17AA}" name="Column6261"/>
    <tableColumn id="6262" xr3:uid="{6F7E3E6A-E725-4879-B3BD-762F3F15FC82}" name="Column6262"/>
    <tableColumn id="6263" xr3:uid="{A96C943F-3A84-4760-B80D-344601D2136B}" name="Column6263"/>
    <tableColumn id="6264" xr3:uid="{46BFCAE1-54C1-46CF-950A-3E0873AA5576}" name="Column6264"/>
    <tableColumn id="6265" xr3:uid="{E691B166-0E69-4085-847F-91F723D017EC}" name="Column6265"/>
    <tableColumn id="6266" xr3:uid="{3A717314-2F12-475A-873C-DAE24A821A18}" name="Column6266"/>
    <tableColumn id="6267" xr3:uid="{B493FF07-C3E5-4B2C-8D65-08F86B54E884}" name="Column6267"/>
    <tableColumn id="6268" xr3:uid="{12D7FDAF-7B78-40E0-919F-1B25EB88EA05}" name="Column6268"/>
    <tableColumn id="6269" xr3:uid="{A4A3EFEB-14C6-4D99-B261-6F9CD33F6F0B}" name="Column6269"/>
    <tableColumn id="6270" xr3:uid="{3ABA259A-9FE7-4B9F-B17B-A915C918923F}" name="Column6270"/>
    <tableColumn id="6271" xr3:uid="{14768A5D-BD3A-4B66-839D-A6372F9FAA68}" name="Column6271"/>
    <tableColumn id="6272" xr3:uid="{9236CAC6-2FAB-4CF0-98C7-CD2661EB97C5}" name="Column6272"/>
    <tableColumn id="6273" xr3:uid="{7E8B2642-5B1E-4A7B-8EB3-B59C30169890}" name="Column6273"/>
    <tableColumn id="6274" xr3:uid="{4E55488F-CF2F-412A-BE3B-1574165B7B28}" name="Column6274"/>
    <tableColumn id="6275" xr3:uid="{F0309758-ABAC-44E9-BCD9-7A599798ACDA}" name="Column6275"/>
    <tableColumn id="6276" xr3:uid="{76CF732D-A7D9-43DF-BB1C-0A628EF66A69}" name="Column6276"/>
    <tableColumn id="6277" xr3:uid="{BDCFCB3C-DD9B-4ECE-ACA1-8FCB5E42E96B}" name="Column6277"/>
    <tableColumn id="6278" xr3:uid="{BE4D3AEE-6EE8-4990-BC67-667A8581B5AF}" name="Column6278"/>
    <tableColumn id="6279" xr3:uid="{B5856908-915F-4790-B20F-461B796A8952}" name="Column6279"/>
    <tableColumn id="6280" xr3:uid="{01D23F64-AE95-434D-BC75-0C6EB5B0C0E4}" name="Column6280"/>
    <tableColumn id="6281" xr3:uid="{30A2303C-FA1C-4FA7-BE3A-2D5E7BB45023}" name="Column6281"/>
    <tableColumn id="6282" xr3:uid="{A4491ED3-0380-43EC-ACF6-D85B6E85B421}" name="Column6282"/>
    <tableColumn id="6283" xr3:uid="{F8B9EB08-9BB6-47F1-82DE-59D5D880C1E6}" name="Column6283"/>
    <tableColumn id="6284" xr3:uid="{EA0C0F9B-A9AD-47DA-A40F-4CEEC88A2831}" name="Column6284"/>
    <tableColumn id="6285" xr3:uid="{066E3793-96B4-4607-87BE-CD0D28F575C0}" name="Column6285"/>
    <tableColumn id="6286" xr3:uid="{EEB25703-6E77-497D-A206-8932E6840F13}" name="Column6286"/>
    <tableColumn id="6287" xr3:uid="{8AEE0A7F-75D4-4EFF-B596-F4F87515E1DB}" name="Column6287"/>
    <tableColumn id="6288" xr3:uid="{7CF50659-04EE-4F20-89CE-81EA3E9F7447}" name="Column6288"/>
    <tableColumn id="6289" xr3:uid="{04F9A3C2-DE6D-4DFD-AEB1-593FA5C3DDC6}" name="Column6289"/>
    <tableColumn id="6290" xr3:uid="{5233DC15-9105-46B8-A070-0EE222712E1F}" name="Column6290"/>
    <tableColumn id="6291" xr3:uid="{49AEF123-E073-41CE-B641-AC2C80ADFC38}" name="Column6291"/>
    <tableColumn id="6292" xr3:uid="{76B86BC5-E242-42FB-A61F-0361D6969439}" name="Column6292"/>
    <tableColumn id="6293" xr3:uid="{7D2CD8E7-B3DE-45B3-8484-E8966C027B88}" name="Column6293"/>
    <tableColumn id="6294" xr3:uid="{71BE6118-E204-437E-BABC-62710F8547D7}" name="Column6294"/>
    <tableColumn id="6295" xr3:uid="{A03C6C45-6D5B-4B73-B4D6-DC20C96C8BB7}" name="Column6295"/>
    <tableColumn id="6296" xr3:uid="{ABEDDB10-50F8-426A-A33F-507319073DB9}" name="Column6296"/>
    <tableColumn id="6297" xr3:uid="{9081F41C-7E97-431E-B770-58CFF8E0F1CC}" name="Column6297"/>
    <tableColumn id="6298" xr3:uid="{FDBAD89D-3353-46DB-9AC6-D758D8FB14DD}" name="Column6298"/>
    <tableColumn id="6299" xr3:uid="{39B213E1-0E09-4FA1-BE15-D96DD239054C}" name="Column6299"/>
    <tableColumn id="6300" xr3:uid="{2AACD5EC-2D17-4887-A234-C151A3F1D13C}" name="Column6300"/>
    <tableColumn id="6301" xr3:uid="{7F150C37-A07D-42CF-95E9-EF1172185A45}" name="Column6301"/>
    <tableColumn id="6302" xr3:uid="{75954CB0-2E00-41F3-90F9-45130905E108}" name="Column6302"/>
    <tableColumn id="6303" xr3:uid="{4C4FC5B6-5758-4751-BB26-900B136042D7}" name="Column6303"/>
    <tableColumn id="6304" xr3:uid="{ACB9E73A-2B11-4653-AD00-05DD8EB1E1F8}" name="Column6304"/>
    <tableColumn id="6305" xr3:uid="{74695181-81F8-450E-8637-FC5873C76F74}" name="Column6305"/>
    <tableColumn id="6306" xr3:uid="{E4B7B6FE-65BF-4BC7-A5CD-806B6CC2ACC9}" name="Column6306"/>
    <tableColumn id="6307" xr3:uid="{F2A97368-475F-4678-AF7F-E006C3512BA9}" name="Column6307"/>
    <tableColumn id="6308" xr3:uid="{DC80782E-98ED-4E5C-820E-BBD299EED322}" name="Column6308"/>
    <tableColumn id="6309" xr3:uid="{EA5109EB-14DA-4BD5-B3E1-ACE38B81628F}" name="Column6309"/>
    <tableColumn id="6310" xr3:uid="{5B943328-D79A-4328-B323-AC646099E2C2}" name="Column6310"/>
    <tableColumn id="6311" xr3:uid="{9FEEEA95-9656-4A38-A0DB-F654294D9E7A}" name="Column6311"/>
    <tableColumn id="6312" xr3:uid="{923C70FD-1E0E-4B41-AF2A-0EDD801E0B27}" name="Column6312"/>
    <tableColumn id="6313" xr3:uid="{B395AD2B-56F9-4833-B11C-46A670C389C2}" name="Column6313"/>
    <tableColumn id="6314" xr3:uid="{317715D5-2066-4632-B5D1-70E9CA5A0CC6}" name="Column6314"/>
    <tableColumn id="6315" xr3:uid="{D95DDFE1-1AF9-440A-865D-5A7A5D542E05}" name="Column6315"/>
    <tableColumn id="6316" xr3:uid="{05857C70-0A4F-4DCB-B839-A084F00E7920}" name="Column6316"/>
    <tableColumn id="6317" xr3:uid="{FF747D75-3EBF-4BCF-A6E3-0A2646603606}" name="Column6317"/>
    <tableColumn id="6318" xr3:uid="{AD8D1F1D-7E09-4C60-B739-E9F4F7021A8C}" name="Column6318"/>
    <tableColumn id="6319" xr3:uid="{3A7C418A-521C-4B08-AC51-D4A96E744224}" name="Column6319"/>
    <tableColumn id="6320" xr3:uid="{5DC60943-C134-40D5-A0BD-E2FAD8D0B5A6}" name="Column6320"/>
    <tableColumn id="6321" xr3:uid="{8362690E-057E-4B2B-8AD6-4B7BC165B8F4}" name="Column6321"/>
    <tableColumn id="6322" xr3:uid="{DE50A620-2DA4-46BF-A049-0D1846E6632A}" name="Column6322"/>
    <tableColumn id="6323" xr3:uid="{5FB027A5-7612-437A-A138-F584F7F159E9}" name="Column6323"/>
    <tableColumn id="6324" xr3:uid="{9FFFDD16-773E-43DD-B629-EF0F62E86847}" name="Column6324"/>
    <tableColumn id="6325" xr3:uid="{733CB5EC-0F50-425A-BF6F-1ABEF202EBAB}" name="Column6325"/>
    <tableColumn id="6326" xr3:uid="{4D053D7A-2F07-439C-852A-35A8DF0A4846}" name="Column6326"/>
    <tableColumn id="6327" xr3:uid="{BCDB0C34-38C4-4CC4-BFC1-3C151AE4BF56}" name="Column6327"/>
    <tableColumn id="6328" xr3:uid="{3B69E92E-1EEC-423B-A8EE-00E4EBCBFBDE}" name="Column6328"/>
    <tableColumn id="6329" xr3:uid="{3BEED1E2-25C0-4258-9019-94C017DB0614}" name="Column6329"/>
    <tableColumn id="6330" xr3:uid="{2496D319-E336-4657-96A1-572C7B08EB17}" name="Column6330"/>
    <tableColumn id="6331" xr3:uid="{39F12E13-E94D-49E8-809C-44895FB38B80}" name="Column6331"/>
    <tableColumn id="6332" xr3:uid="{39C3F0C3-3EE8-4D26-BDC1-B76F7A6737EB}" name="Column6332"/>
    <tableColumn id="6333" xr3:uid="{87DA46F2-EAA5-41B9-961C-9C4BD3C1B634}" name="Column6333"/>
    <tableColumn id="6334" xr3:uid="{6844C31C-817A-4963-90D3-2F565C519C2F}" name="Column6334"/>
    <tableColumn id="6335" xr3:uid="{E07D535B-E108-44FC-9CB4-6194B771B41A}" name="Column6335"/>
    <tableColumn id="6336" xr3:uid="{232568D1-48C2-4A6D-AA41-0B1071D91C01}" name="Column6336"/>
    <tableColumn id="6337" xr3:uid="{9FC87D6F-47E9-4D83-B5D9-A82512A51FF8}" name="Column6337"/>
    <tableColumn id="6338" xr3:uid="{0848FEC2-18F5-4480-85A4-58794713481F}" name="Column6338"/>
    <tableColumn id="6339" xr3:uid="{3502D610-5CBB-49D2-97B7-83C569EEAEF4}" name="Column6339"/>
    <tableColumn id="6340" xr3:uid="{3624ABC8-CC0A-4027-99D1-61BC9050C35C}" name="Column6340"/>
    <tableColumn id="6341" xr3:uid="{6D6CFC3D-37CA-41A0-ACCE-128EB9010131}" name="Column6341"/>
    <tableColumn id="6342" xr3:uid="{0EE1DF0D-F361-46AE-8C49-457BFBC12321}" name="Column6342"/>
    <tableColumn id="6343" xr3:uid="{54CF9526-7B13-4B24-A612-2BAC4CC04189}" name="Column6343"/>
    <tableColumn id="6344" xr3:uid="{3AC1FB27-D194-4FCC-A34B-77B408B9410A}" name="Column6344"/>
    <tableColumn id="6345" xr3:uid="{6D2B4F3A-9204-47A0-9099-53D5B4E9D983}" name="Column6345"/>
    <tableColumn id="6346" xr3:uid="{7723FD05-83FE-4A29-BD4D-46D521924977}" name="Column6346"/>
    <tableColumn id="6347" xr3:uid="{2B46C8CB-1F8D-4F3A-A4AC-8AAB2BA1FC5D}" name="Column6347"/>
    <tableColumn id="6348" xr3:uid="{58343658-8032-4699-AFB3-321DDEA63F58}" name="Column6348"/>
    <tableColumn id="6349" xr3:uid="{4A737E8A-32F4-4690-8CCD-1F35D22D4C66}" name="Column6349"/>
    <tableColumn id="6350" xr3:uid="{B4B70942-04F3-4E66-837F-83834439F915}" name="Column6350"/>
    <tableColumn id="6351" xr3:uid="{A102531E-E638-4BF6-8010-BC9056ABC2F4}" name="Column6351"/>
    <tableColumn id="6352" xr3:uid="{9F6E1946-481C-4C0F-8128-534780D84973}" name="Column6352"/>
    <tableColumn id="6353" xr3:uid="{23FB4B0C-0B96-4577-BAF4-F2A8025A8104}" name="Column6353"/>
    <tableColumn id="6354" xr3:uid="{4804ABEA-D65B-44D0-9500-EF797878FAFA}" name="Column6354"/>
    <tableColumn id="6355" xr3:uid="{6FE54EF5-A96A-4232-8092-E0DC3BA86209}" name="Column6355"/>
    <tableColumn id="6356" xr3:uid="{1B4C9ADB-FBA6-4BA4-A292-D5D0A68B88B3}" name="Column6356"/>
    <tableColumn id="6357" xr3:uid="{14117859-6BCC-403B-AE07-05972E43C5A9}" name="Column6357"/>
    <tableColumn id="6358" xr3:uid="{97E7F636-B36A-490A-BED3-E0CCA0660F4E}" name="Column6358"/>
    <tableColumn id="6359" xr3:uid="{2ED99120-87CA-4F30-B28C-6266175983CB}" name="Column6359"/>
    <tableColumn id="6360" xr3:uid="{F1699033-5CA8-428A-B1ED-58570737D455}" name="Column6360"/>
    <tableColumn id="6361" xr3:uid="{AEBD9035-4CB2-4761-A6E5-936BE3B634DF}" name="Column6361"/>
    <tableColumn id="6362" xr3:uid="{8246AE54-BC0B-4DB4-A221-854AD3E370FB}" name="Column6362"/>
    <tableColumn id="6363" xr3:uid="{51859292-D05C-4A1A-8CFD-78FEEB90D5F1}" name="Column6363"/>
    <tableColumn id="6364" xr3:uid="{B6612EBE-4FD9-43A8-A7ED-A93CD0AF0D18}" name="Column6364"/>
    <tableColumn id="6365" xr3:uid="{30BB357B-D83C-45E6-B90C-FE7E10B6022E}" name="Column6365"/>
    <tableColumn id="6366" xr3:uid="{D5B16E0A-E4B0-45C4-8B5C-B07388D488FD}" name="Column6366"/>
    <tableColumn id="6367" xr3:uid="{B4E9FDC5-FE49-42B1-9CAA-250E2C1FA36D}" name="Column6367"/>
    <tableColumn id="6368" xr3:uid="{B5624405-E3E4-4928-B2C6-40893CF9CF51}" name="Column6368"/>
    <tableColumn id="6369" xr3:uid="{6296D256-3BBF-45B0-9E6D-58F15F005A71}" name="Column6369"/>
    <tableColumn id="6370" xr3:uid="{172F08DB-343C-41A0-9D31-50943CEC514F}" name="Column6370"/>
    <tableColumn id="6371" xr3:uid="{8C8F91C4-A23A-495F-9FF6-F4B2943A037F}" name="Column6371"/>
    <tableColumn id="6372" xr3:uid="{8E0FC89A-D70D-4272-A90E-282028953C27}" name="Column6372"/>
    <tableColumn id="6373" xr3:uid="{2DF796E6-3EBB-4894-9B7E-B1A4B8BADC97}" name="Column6373"/>
    <tableColumn id="6374" xr3:uid="{D6A9355C-8833-4B55-BDB6-CB930BB04C41}" name="Column6374"/>
    <tableColumn id="6375" xr3:uid="{778DA6B2-B1E8-462A-8A47-2C631F4170F9}" name="Column6375"/>
    <tableColumn id="6376" xr3:uid="{C4915EF3-ACF5-4DF8-82C3-3E094E881E31}" name="Column6376"/>
    <tableColumn id="6377" xr3:uid="{B99978DB-05DD-4947-BA7D-5494D34E4268}" name="Column6377"/>
    <tableColumn id="6378" xr3:uid="{CC000071-80BC-446E-90F1-3F22FB29EB77}" name="Column6378"/>
    <tableColumn id="6379" xr3:uid="{BBA558BD-A193-4443-8F53-B345E206A037}" name="Column6379"/>
    <tableColumn id="6380" xr3:uid="{65A40C5F-CE8C-48CF-AB5C-A69911B75407}" name="Column6380"/>
    <tableColumn id="6381" xr3:uid="{49BC7B86-4442-4E05-BF2E-EA6EFD6A63D5}" name="Column6381"/>
    <tableColumn id="6382" xr3:uid="{EFD0E3FC-BAE8-4756-B19B-40E759E3870D}" name="Column6382"/>
    <tableColumn id="6383" xr3:uid="{C2802756-B1D6-422A-94E4-43CB723E796E}" name="Column6383"/>
    <tableColumn id="6384" xr3:uid="{00D69823-76EA-4A38-9205-A33EC990A092}" name="Column6384"/>
    <tableColumn id="6385" xr3:uid="{A30B5230-F325-4FA9-AC00-AFED6189BABD}" name="Column6385"/>
    <tableColumn id="6386" xr3:uid="{950401EB-C30F-4475-9308-64F82CB67230}" name="Column6386"/>
    <tableColumn id="6387" xr3:uid="{40025689-F6FA-47F0-9DAD-65469E08D5EB}" name="Column6387"/>
    <tableColumn id="6388" xr3:uid="{2BD36197-2F27-4121-AE89-7644767CE407}" name="Column6388"/>
    <tableColumn id="6389" xr3:uid="{A6D2E406-36CB-4C13-A988-BC96A2BC456F}" name="Column6389"/>
    <tableColumn id="6390" xr3:uid="{2BF53B2C-171E-4829-8EEB-FA264FFF2E89}" name="Column6390"/>
    <tableColumn id="6391" xr3:uid="{47D24513-9112-4AE4-9451-9B44DB0D5861}" name="Column6391"/>
    <tableColumn id="6392" xr3:uid="{A2230E30-7DB6-47E9-9779-B47F68E480F5}" name="Column6392"/>
    <tableColumn id="6393" xr3:uid="{74F260A7-2951-4273-98BA-56B49B70FE94}" name="Column6393"/>
    <tableColumn id="6394" xr3:uid="{FAD8EDF5-429E-4B8F-8CAF-354DF215AB31}" name="Column6394"/>
    <tableColumn id="6395" xr3:uid="{C0E7DFB7-D228-4A23-8C8E-3AF42FA28FA0}" name="Column6395"/>
    <tableColumn id="6396" xr3:uid="{321B44BD-0339-4622-9BF7-4627B08A9E75}" name="Column6396"/>
    <tableColumn id="6397" xr3:uid="{DC204B20-70D0-4D4F-9CA8-225EC5EC96C4}" name="Column6397"/>
    <tableColumn id="6398" xr3:uid="{6D4AC764-86F1-462B-95A5-86C6217833DF}" name="Column6398"/>
    <tableColumn id="6399" xr3:uid="{308FF779-97F7-4C18-994C-59BAA69E9851}" name="Column6399"/>
    <tableColumn id="6400" xr3:uid="{4ADA4FEF-552E-41DE-AC1D-433C925754C1}" name="Column6400"/>
    <tableColumn id="6401" xr3:uid="{49111546-5B64-4EF8-B83F-ABD5A8CFB673}" name="Column6401"/>
    <tableColumn id="6402" xr3:uid="{C4861451-EB0D-4D31-B9E2-FE2A88B0D6B9}" name="Column6402"/>
    <tableColumn id="6403" xr3:uid="{BB546984-797B-42AE-BCCC-434BEBAE5CC8}" name="Column6403"/>
    <tableColumn id="6404" xr3:uid="{B1DBB553-D452-4786-935A-66EE72B851DE}" name="Column6404"/>
    <tableColumn id="6405" xr3:uid="{0A64AA1C-41B9-4370-9857-465FF58A154F}" name="Column6405"/>
    <tableColumn id="6406" xr3:uid="{8D13CF62-716F-4FED-939F-FE02DF09A5E6}" name="Column6406"/>
    <tableColumn id="6407" xr3:uid="{B4A98C59-EA5B-4EC8-9155-19F358B4E7F4}" name="Column6407"/>
    <tableColumn id="6408" xr3:uid="{D1C0CB1B-4AB2-41B3-BE77-3A39DCB45066}" name="Column6408"/>
    <tableColumn id="6409" xr3:uid="{0A8B4DF8-55E2-4BEB-9AED-D6A2B4C934C7}" name="Column6409"/>
    <tableColumn id="6410" xr3:uid="{90AD2BDA-904E-47C8-A771-F065BD5A30E8}" name="Column6410"/>
    <tableColumn id="6411" xr3:uid="{F327A821-DE1E-4561-A24D-DE2076707CB7}" name="Column6411"/>
    <tableColumn id="6412" xr3:uid="{8969ECCD-F0ED-423B-97E7-A07186C439D9}" name="Column6412"/>
    <tableColumn id="6413" xr3:uid="{54DEB543-0CFF-4CE1-9A6E-7A42ACBF1D83}" name="Column6413"/>
    <tableColumn id="6414" xr3:uid="{F60A0EB3-576B-498E-AF9E-4FDC174D4077}" name="Column6414"/>
    <tableColumn id="6415" xr3:uid="{C4FF8B3E-E663-4531-A7B7-0DB56FAFCFB2}" name="Column6415"/>
    <tableColumn id="6416" xr3:uid="{C3CB51D4-D2E6-4A42-B130-557432F93949}" name="Column6416"/>
    <tableColumn id="6417" xr3:uid="{6B05B165-7193-40DA-A6BD-09F60DD992C1}" name="Column6417"/>
    <tableColumn id="6418" xr3:uid="{96FA9BCE-3F09-4427-A70B-87A4179BAA63}" name="Column6418"/>
    <tableColumn id="6419" xr3:uid="{2E302D6B-3158-4A47-A3B7-927AD9DAD0E4}" name="Column6419"/>
    <tableColumn id="6420" xr3:uid="{9ADFA28F-D3A4-4681-9CAD-1EE74630047B}" name="Column6420"/>
    <tableColumn id="6421" xr3:uid="{B36D2EA3-5E78-448E-9A57-4CE4761038F9}" name="Column6421"/>
    <tableColumn id="6422" xr3:uid="{C3D82BE0-7254-4F71-A503-AED71D795495}" name="Column6422"/>
    <tableColumn id="6423" xr3:uid="{0FC6D67C-8C56-4C4D-AD40-9FB4AAD52E6D}" name="Column6423"/>
    <tableColumn id="6424" xr3:uid="{1A65F745-864C-4FDA-BCBC-003199E3C21C}" name="Column6424"/>
    <tableColumn id="6425" xr3:uid="{C613EDA3-A651-4A26-A818-4F25E804920E}" name="Column6425"/>
    <tableColumn id="6426" xr3:uid="{AA909280-C472-4470-A5F6-DEA58D49AF5F}" name="Column6426"/>
    <tableColumn id="6427" xr3:uid="{3113FE40-7D93-47DC-8DBD-E8DC6AEDFE7D}" name="Column6427"/>
    <tableColumn id="6428" xr3:uid="{A1238D70-CA8F-471A-8A8D-D55FABA744C5}" name="Column6428"/>
    <tableColumn id="6429" xr3:uid="{34A80B77-AA04-4752-9687-DDD382C1820D}" name="Column6429"/>
    <tableColumn id="6430" xr3:uid="{CB61A0E5-277C-40A7-944B-0E236550449E}" name="Column6430"/>
    <tableColumn id="6431" xr3:uid="{0D1633C8-ABD9-4425-974E-F9F86845391C}" name="Column6431"/>
    <tableColumn id="6432" xr3:uid="{AF8462AF-13B3-45F8-89EA-E35858D38FF9}" name="Column6432"/>
    <tableColumn id="6433" xr3:uid="{AC9B4F51-21A2-461B-BFFB-4962EBE59325}" name="Column6433"/>
    <tableColumn id="6434" xr3:uid="{2DB5C67D-23A9-4354-A6AD-3FDC60E4CCFB}" name="Column6434"/>
    <tableColumn id="6435" xr3:uid="{773B1980-355A-4858-BD55-1EEDCC870A64}" name="Column6435"/>
    <tableColumn id="6436" xr3:uid="{842930C5-8293-4567-9996-C7CD1548ED2E}" name="Column6436"/>
    <tableColumn id="6437" xr3:uid="{F8A84D53-C936-49CC-BFEB-979E7F847887}" name="Column6437"/>
    <tableColumn id="6438" xr3:uid="{E571BCB3-B667-48CD-8ACD-9D78E5501FDA}" name="Column6438"/>
    <tableColumn id="6439" xr3:uid="{2AF75692-AE9B-4A47-8F02-459B8196EEDD}" name="Column6439"/>
    <tableColumn id="6440" xr3:uid="{FDCD2AD9-A78C-4FC0-8FD3-7707D1AB3810}" name="Column6440"/>
    <tableColumn id="6441" xr3:uid="{DC25DDC4-56E2-45A8-840C-F6F3B959A576}" name="Column6441"/>
    <tableColumn id="6442" xr3:uid="{B497D703-43D8-436D-9F68-D220A444091B}" name="Column6442"/>
    <tableColumn id="6443" xr3:uid="{11B53180-D537-409F-A469-C53B71C2D5E8}" name="Column6443"/>
    <tableColumn id="6444" xr3:uid="{B6CD92C3-5A0F-41B8-BA7D-6C29A7EBF655}" name="Column6444"/>
    <tableColumn id="6445" xr3:uid="{6820D304-12C7-4FD5-A810-85327FBCC0BD}" name="Column6445"/>
    <tableColumn id="6446" xr3:uid="{E9CC9AE8-8A12-4122-BDD1-04D5ECD0A2AB}" name="Column6446"/>
    <tableColumn id="6447" xr3:uid="{F7F990CD-14CD-4FD9-9827-DFAE37FA2E1E}" name="Column6447"/>
    <tableColumn id="6448" xr3:uid="{FB8FB0F7-5113-4B26-8663-35C1E9D59F24}" name="Column6448"/>
    <tableColumn id="6449" xr3:uid="{6CAC0349-F4B0-4AF4-90BF-E2D87AAAD124}" name="Column6449"/>
    <tableColumn id="6450" xr3:uid="{D4A880A3-68F0-403B-B4FD-866A4AEAA577}" name="Column6450"/>
    <tableColumn id="6451" xr3:uid="{EFCFF587-9684-45AC-BDC5-8F86992A0409}" name="Column6451"/>
    <tableColumn id="6452" xr3:uid="{D826BC6A-DCDF-4A07-883B-0B52CF245E25}" name="Column6452"/>
    <tableColumn id="6453" xr3:uid="{F34673E5-B254-4D6B-AFBB-568CD634D97F}" name="Column6453"/>
    <tableColumn id="6454" xr3:uid="{3DCBC239-6999-4246-89A0-C5AA08E963EF}" name="Column6454"/>
    <tableColumn id="6455" xr3:uid="{F7B8B5FC-B6CE-4A9F-B860-6442D5202D31}" name="Column6455"/>
    <tableColumn id="6456" xr3:uid="{F613A306-7787-4CAA-B5EA-BA0CAFD0D2D8}" name="Column6456"/>
    <tableColumn id="6457" xr3:uid="{82A8C10F-0CB6-4DB2-934D-3EB9593DFA00}" name="Column6457"/>
    <tableColumn id="6458" xr3:uid="{BCD3D381-F9B3-443E-8CF8-ECCF55F1791B}" name="Column6458"/>
    <tableColumn id="6459" xr3:uid="{1201489F-C028-438D-98F2-7739E58BC00E}" name="Column6459"/>
    <tableColumn id="6460" xr3:uid="{24991815-5603-4E35-95C6-336D74DAC320}" name="Column6460"/>
    <tableColumn id="6461" xr3:uid="{E3BDC10B-35CB-4454-B35F-A3FE5B32B16D}" name="Column6461"/>
    <tableColumn id="6462" xr3:uid="{F4A382DB-A89F-489F-AC9D-CA31E054126F}" name="Column6462"/>
    <tableColumn id="6463" xr3:uid="{83A6A24C-204D-4443-A6FA-85228B070B69}" name="Column6463"/>
    <tableColumn id="6464" xr3:uid="{0C36853E-B496-4EAA-8F35-7759CD9691E8}" name="Column6464"/>
    <tableColumn id="6465" xr3:uid="{688D1F70-4CE6-43BD-B97A-AB6F33A0FE10}" name="Column6465"/>
    <tableColumn id="6466" xr3:uid="{2EBAE12E-B8E8-4016-88FF-26EA48C3C8DE}" name="Column6466"/>
    <tableColumn id="6467" xr3:uid="{79FBC942-1A28-4A40-9EA9-3F1221D113A1}" name="Column6467"/>
    <tableColumn id="6468" xr3:uid="{7159081F-0E1F-45D1-9F32-05CA0DF43916}" name="Column6468"/>
    <tableColumn id="6469" xr3:uid="{CE7C7AEB-2B10-4CD5-B730-B48C618420C5}" name="Column6469"/>
    <tableColumn id="6470" xr3:uid="{09B81731-BEB8-4AB4-9679-ADE94875F629}" name="Column6470"/>
    <tableColumn id="6471" xr3:uid="{0605E40A-5CD6-4BA4-B5C3-1F841D19A4C2}" name="Column6471"/>
    <tableColumn id="6472" xr3:uid="{E90778B4-1A2A-4097-9A2F-5F625E0DA4A9}" name="Column6472"/>
    <tableColumn id="6473" xr3:uid="{C70ACB26-4953-4C33-8706-27803EEA181B}" name="Column6473"/>
    <tableColumn id="6474" xr3:uid="{6134472C-6DAE-4581-B9C3-B3509F0FD8E9}" name="Column6474"/>
    <tableColumn id="6475" xr3:uid="{118515F0-C59D-4229-BADE-D96F459D03CD}" name="Column6475"/>
    <tableColumn id="6476" xr3:uid="{536DF4A8-58B4-4FC4-950E-39B03B9EC691}" name="Column6476"/>
    <tableColumn id="6477" xr3:uid="{252E917B-B7D8-4967-B766-1F1E023886FE}" name="Column6477"/>
    <tableColumn id="6478" xr3:uid="{B1AA87BE-0B75-4A0A-AC16-80DFBCBDFEFD}" name="Column6478"/>
    <tableColumn id="6479" xr3:uid="{BED1A596-F0F3-484D-B2E8-AA1D464679F2}" name="Column6479"/>
    <tableColumn id="6480" xr3:uid="{EBC289E0-5C24-4798-99A6-6256BB88392E}" name="Column6480"/>
    <tableColumn id="6481" xr3:uid="{F6C50D46-856F-4B83-A0E2-81E944016D48}" name="Column6481"/>
    <tableColumn id="6482" xr3:uid="{8243C65F-FAD8-4045-B989-F9897AE22239}" name="Column6482"/>
    <tableColumn id="6483" xr3:uid="{5447B57D-838D-46D6-B864-48A01D604690}" name="Column6483"/>
    <tableColumn id="6484" xr3:uid="{4D8EE9D9-2031-4144-AC02-D3C9A6530170}" name="Column6484"/>
    <tableColumn id="6485" xr3:uid="{409C71B3-EDF4-499B-A17E-92088A89EC37}" name="Column6485"/>
    <tableColumn id="6486" xr3:uid="{450F6B91-C69F-4F05-9AA9-9DB25064CEDD}" name="Column6486"/>
    <tableColumn id="6487" xr3:uid="{C51E9857-3BDD-4C9F-A335-F59882AC5AF9}" name="Column6487"/>
    <tableColumn id="6488" xr3:uid="{5BE373EB-8499-4B0D-9ED0-E1BA3B042146}" name="Column6488"/>
    <tableColumn id="6489" xr3:uid="{8890A764-920D-412D-AB46-AEFF17C38716}" name="Column6489"/>
    <tableColumn id="6490" xr3:uid="{D59BAB3F-3A0C-4CDD-AB3C-9CBDC5E796AF}" name="Column6490"/>
    <tableColumn id="6491" xr3:uid="{9A2847E0-427C-4CDE-AAC9-D16FFEDCEF70}" name="Column6491"/>
    <tableColumn id="6492" xr3:uid="{1C661AB2-7731-42E0-B2AD-105BF1724176}" name="Column6492"/>
    <tableColumn id="6493" xr3:uid="{33212492-94F2-4ABF-AE61-47D1F721E9F1}" name="Column6493"/>
    <tableColumn id="6494" xr3:uid="{4AB4764A-7982-49E6-BD37-B62D4F2A8425}" name="Column6494"/>
    <tableColumn id="6495" xr3:uid="{5C77653D-0177-4A62-9F31-1DFEE08AD9A2}" name="Column6495"/>
    <tableColumn id="6496" xr3:uid="{8DF92FC5-621D-4DC0-B30B-6081886B7188}" name="Column6496"/>
    <tableColumn id="6497" xr3:uid="{F9F10838-F58E-4A9E-A710-4955DA460575}" name="Column6497"/>
    <tableColumn id="6498" xr3:uid="{D0D4256A-1371-4000-9CFA-251BF28B905E}" name="Column6498"/>
    <tableColumn id="6499" xr3:uid="{9F3C1937-184B-4B63-B40B-1F22310F4FCF}" name="Column6499"/>
    <tableColumn id="6500" xr3:uid="{771D12B4-88AB-48BD-9775-BFABB2E66F96}" name="Column6500"/>
    <tableColumn id="6501" xr3:uid="{68D1A1D9-C45A-4EDF-B9BA-1A7B0BF305C2}" name="Column6501"/>
    <tableColumn id="6502" xr3:uid="{91347DB1-822C-49BF-B808-1A9BCDF85B6C}" name="Column6502"/>
    <tableColumn id="6503" xr3:uid="{A991575F-F972-448E-8594-592231C16D31}" name="Column6503"/>
    <tableColumn id="6504" xr3:uid="{52FFE59E-E5B8-417C-AE8C-E0C0934FE7BB}" name="Column6504"/>
    <tableColumn id="6505" xr3:uid="{F112F2DF-5223-44E4-AFC1-EC7634E8D427}" name="Column6505"/>
    <tableColumn id="6506" xr3:uid="{3F704061-AC41-40C3-A986-2FAEFB7C6759}" name="Column6506"/>
    <tableColumn id="6507" xr3:uid="{9FB7C52F-B562-4E7A-BF91-66C0B9845BE8}" name="Column6507"/>
    <tableColumn id="6508" xr3:uid="{C8C18CA7-0659-4F07-B0F3-968A84E72742}" name="Column6508"/>
    <tableColumn id="6509" xr3:uid="{E3B66747-0FD0-47C5-A0CE-805D3F83A98F}" name="Column6509"/>
    <tableColumn id="6510" xr3:uid="{DCC8C006-7781-48A7-9603-CCFFFE180BAA}" name="Column6510"/>
    <tableColumn id="6511" xr3:uid="{30D925B9-DC7B-467D-99D0-DFEC2CAA0B40}" name="Column6511"/>
    <tableColumn id="6512" xr3:uid="{CDC48D4D-55DD-4B72-BBF1-9F96FD7AFFB4}" name="Column6512"/>
    <tableColumn id="6513" xr3:uid="{4BC1E049-C3CE-45B9-B6A0-1B2E0A85C90E}" name="Column6513"/>
    <tableColumn id="6514" xr3:uid="{FDA72534-509D-4320-AB64-B00265EE40EE}" name="Column6514"/>
    <tableColumn id="6515" xr3:uid="{CD877924-9C14-4C8A-B1EC-4F339D792A48}" name="Column6515"/>
    <tableColumn id="6516" xr3:uid="{113AD884-1142-47B8-AE0F-3A92CD3F20F0}" name="Column6516"/>
    <tableColumn id="6517" xr3:uid="{9B5CB42B-7297-4D5E-9015-C87E659BCDA3}" name="Column6517"/>
    <tableColumn id="6518" xr3:uid="{DE56A249-39C0-4F39-96CA-3F5387CA460B}" name="Column6518"/>
    <tableColumn id="6519" xr3:uid="{378FCF48-4CB4-4B72-9262-3A7043C67A33}" name="Column6519"/>
    <tableColumn id="6520" xr3:uid="{12D555B8-E3ED-4786-8746-8505A67389C4}" name="Column6520"/>
    <tableColumn id="6521" xr3:uid="{2AB7B247-72F2-42AB-A0FC-948CE055EFAF}" name="Column6521"/>
    <tableColumn id="6522" xr3:uid="{9BDAF259-B1C3-4F92-A5A5-1D0F2AA27ED8}" name="Column6522"/>
    <tableColumn id="6523" xr3:uid="{D226C5E3-7F8C-4933-B463-07302D53ACA4}" name="Column6523"/>
    <tableColumn id="6524" xr3:uid="{BC46D329-4DE9-48BB-B3AC-67E9FFCEC2EC}" name="Column6524"/>
    <tableColumn id="6525" xr3:uid="{9C4DAB08-7270-4B17-A0A2-1C44F8753F3C}" name="Column6525"/>
    <tableColumn id="6526" xr3:uid="{A9B973CF-A660-4712-AB26-FAA54C20B51E}" name="Column6526"/>
    <tableColumn id="6527" xr3:uid="{38919AEF-A744-496F-99FC-B00D880A8CBC}" name="Column6527"/>
    <tableColumn id="6528" xr3:uid="{ABDC769A-50C8-46D7-B951-FC969FD77D45}" name="Column6528"/>
    <tableColumn id="6529" xr3:uid="{BF39338C-5A5D-49B4-A067-6E80FAD4B888}" name="Column6529"/>
    <tableColumn id="6530" xr3:uid="{87478C58-5265-488A-8AF6-A02741708165}" name="Column6530"/>
    <tableColumn id="6531" xr3:uid="{24983B7B-2098-4811-99A6-E71149EEEC34}" name="Column6531"/>
    <tableColumn id="6532" xr3:uid="{0DC0F60C-1420-4FF2-A694-73FAEBC01C73}" name="Column6532"/>
    <tableColumn id="6533" xr3:uid="{D9EFEFFF-ABB0-4C03-AF43-266EE191BF60}" name="Column6533"/>
    <tableColumn id="6534" xr3:uid="{3616DFDC-F5A5-4835-83C0-B57D099843D1}" name="Column6534"/>
    <tableColumn id="6535" xr3:uid="{B6B8C1DD-DEA6-4A3E-9776-CB5BC294AA4B}" name="Column6535"/>
    <tableColumn id="6536" xr3:uid="{8E1CF837-0E82-402A-AAAA-D6F1A7E24BB8}" name="Column6536"/>
    <tableColumn id="6537" xr3:uid="{6A299138-A1D5-4D3A-8D97-D5F490E6D974}" name="Column6537"/>
    <tableColumn id="6538" xr3:uid="{DEC8D9C4-970C-4708-B394-74C778C36AF7}" name="Column6538"/>
    <tableColumn id="6539" xr3:uid="{3C638693-6B05-4A42-B5C0-432F178D40C1}" name="Column6539"/>
    <tableColumn id="6540" xr3:uid="{618195A7-515D-40CF-9977-D812D46184E7}" name="Column6540"/>
    <tableColumn id="6541" xr3:uid="{2483ABB5-031A-4EBD-A8D8-9FA28AC61810}" name="Column6541"/>
    <tableColumn id="6542" xr3:uid="{AF9B79F6-2054-453D-9897-C419372551F8}" name="Column6542"/>
    <tableColumn id="6543" xr3:uid="{ED05E213-CF93-4FF4-BC33-97E5DCC399B6}" name="Column6543"/>
    <tableColumn id="6544" xr3:uid="{30C2E960-D242-4C64-BADE-8E5AE1B55ECD}" name="Column6544"/>
    <tableColumn id="6545" xr3:uid="{547928B2-3A34-45CB-9139-6EA7E18BEB57}" name="Column6545"/>
    <tableColumn id="6546" xr3:uid="{55A83D90-6EBE-41DC-8F14-4FADCDD2B675}" name="Column6546"/>
    <tableColumn id="6547" xr3:uid="{CECE50AB-246C-40D3-88DD-383EA481AA30}" name="Column6547"/>
    <tableColumn id="6548" xr3:uid="{D4058B11-4547-42FC-914E-DA1C253F9EC5}" name="Column6548"/>
    <tableColumn id="6549" xr3:uid="{3707BDE1-135E-40D6-A5F0-89DD40B7B8B8}" name="Column6549"/>
    <tableColumn id="6550" xr3:uid="{9BEABB84-C863-4D18-B53D-E2E7E651F915}" name="Column6550"/>
    <tableColumn id="6551" xr3:uid="{277E1B61-74DA-43C8-B7A4-2074431E0EBC}" name="Column6551"/>
    <tableColumn id="6552" xr3:uid="{CD35D46C-F7CE-4C57-8AF2-E93EE43575ED}" name="Column6552"/>
    <tableColumn id="6553" xr3:uid="{ECE63E35-5FF2-4C4F-A74F-42FFEB13EC69}" name="Column6553"/>
    <tableColumn id="6554" xr3:uid="{600DDA34-C18B-440B-9600-89DF9E09301E}" name="Column6554"/>
    <tableColumn id="6555" xr3:uid="{9A99D2DB-461E-4F7D-B13C-39EF67FCEFCA}" name="Column6555"/>
    <tableColumn id="6556" xr3:uid="{ED4DFE4B-D4DC-4844-BFB2-62C1BF1BA3B5}" name="Column6556"/>
    <tableColumn id="6557" xr3:uid="{1933CD31-46A8-4240-8614-D78FD60187CB}" name="Column6557"/>
    <tableColumn id="6558" xr3:uid="{DCE216FB-EDF3-4B8A-B769-C1A2CC9125F7}" name="Column6558"/>
    <tableColumn id="6559" xr3:uid="{B83FE621-A7D8-47B6-9F58-2BF2238AD24B}" name="Column6559"/>
    <tableColumn id="6560" xr3:uid="{4E959354-5480-4FEE-8635-4A6D0B83F4B4}" name="Column6560"/>
    <tableColumn id="6561" xr3:uid="{6F7657EA-0F6E-44D5-8728-835002912BAA}" name="Column6561"/>
    <tableColumn id="6562" xr3:uid="{8262CCBB-1C67-474F-86E2-1942585F1506}" name="Column6562"/>
    <tableColumn id="6563" xr3:uid="{1CA1DACE-272E-41FB-B046-9BBA5C409CD2}" name="Column6563"/>
    <tableColumn id="6564" xr3:uid="{261B9912-3B5D-45C8-B4FC-C2256277E5EA}" name="Column6564"/>
    <tableColumn id="6565" xr3:uid="{8D3B8173-248A-4088-A6E4-8690AE74837E}" name="Column6565"/>
    <tableColumn id="6566" xr3:uid="{F2C50EB6-E033-4B72-A874-98C7B5E06E9D}" name="Column6566"/>
    <tableColumn id="6567" xr3:uid="{6BE15DDE-7CED-44CB-A4FF-E0871D83F625}" name="Column6567"/>
    <tableColumn id="6568" xr3:uid="{9003822A-59EA-4567-A970-25AA75B1E06A}" name="Column6568"/>
    <tableColumn id="6569" xr3:uid="{29C37CD2-1DDD-43E8-8291-D9BFBDD4DB1F}" name="Column6569"/>
    <tableColumn id="6570" xr3:uid="{BBDD7674-E32C-4EF3-8691-103C894FC9E9}" name="Column6570"/>
    <tableColumn id="6571" xr3:uid="{F9BFED27-2D4E-419E-A23A-76D28B6D9D0E}" name="Column6571"/>
    <tableColumn id="6572" xr3:uid="{484FFB78-6A8F-437A-9BCE-CBBA8E89E288}" name="Column6572"/>
    <tableColumn id="6573" xr3:uid="{4FE1A033-C0F5-4F1F-A13B-B9335711740B}" name="Column6573"/>
    <tableColumn id="6574" xr3:uid="{7310C8C7-0F29-454C-8538-D6077F1A8251}" name="Column6574"/>
    <tableColumn id="6575" xr3:uid="{7B09F8A6-4D58-4630-B24D-4B536F29F62B}" name="Column6575"/>
    <tableColumn id="6576" xr3:uid="{25FCCECD-9789-4FCA-A06A-59C9891ACDC0}" name="Column6576"/>
    <tableColumn id="6577" xr3:uid="{ED5E2377-EA09-483C-916D-45EC3A8D1A4A}" name="Column6577"/>
    <tableColumn id="6578" xr3:uid="{A62348AF-1887-4419-8EBF-C45C8FF4B9C3}" name="Column6578"/>
    <tableColumn id="6579" xr3:uid="{373A4C84-61DD-4686-A826-765065421284}" name="Column6579"/>
    <tableColumn id="6580" xr3:uid="{7451CAB4-B309-48B9-928F-6E227E8609F3}" name="Column6580"/>
    <tableColumn id="6581" xr3:uid="{F8ED1330-8E52-4134-B728-C9CE2BB8125B}" name="Column6581"/>
    <tableColumn id="6582" xr3:uid="{7D437122-C870-4BDB-8948-7C883AE79A90}" name="Column6582"/>
    <tableColumn id="6583" xr3:uid="{449230C9-9470-4781-B622-80A9718F8CC7}" name="Column6583"/>
    <tableColumn id="6584" xr3:uid="{3CB73C1E-4DAF-42C1-AFC5-87DF33479038}" name="Column6584"/>
    <tableColumn id="6585" xr3:uid="{3686A8AE-D589-4DC0-B93E-2BA77FF49F0F}" name="Column6585"/>
    <tableColumn id="6586" xr3:uid="{53BEFB08-557F-4FA3-AFBA-82DDDC7D85D2}" name="Column6586"/>
    <tableColumn id="6587" xr3:uid="{982E63DE-C58F-4DE5-B6DD-6EDEB29529B3}" name="Column6587"/>
    <tableColumn id="6588" xr3:uid="{BF5FA106-49DF-4537-9DCE-7A516A8144F4}" name="Column6588"/>
    <tableColumn id="6589" xr3:uid="{5A2FDFFF-78E6-4C58-8BB8-3B7D235376B3}" name="Column6589"/>
    <tableColumn id="6590" xr3:uid="{23C05DAA-A980-4FB1-BD1B-0B1FA396A7E8}" name="Column6590"/>
    <tableColumn id="6591" xr3:uid="{44C7FAC3-CF3D-462E-93E0-413B2163DCF1}" name="Column6591"/>
    <tableColumn id="6592" xr3:uid="{E4377127-52D8-4BC4-AC12-EFF6BC9E7108}" name="Column6592"/>
    <tableColumn id="6593" xr3:uid="{B9A31EE3-6F37-433A-AB33-FB3481B63A0D}" name="Column6593"/>
    <tableColumn id="6594" xr3:uid="{9C5E5244-414A-4ABE-AFA4-9315B994A58C}" name="Column6594"/>
    <tableColumn id="6595" xr3:uid="{26F30747-701E-4903-98CC-B69C59C14391}" name="Column6595"/>
    <tableColumn id="6596" xr3:uid="{80939E27-E9B0-4874-ABA0-9722A00B5BDF}" name="Column6596"/>
    <tableColumn id="6597" xr3:uid="{715FB451-94C4-422C-B369-5F9CF157504F}" name="Column6597"/>
    <tableColumn id="6598" xr3:uid="{3CDD6A9E-E9D3-48A9-86E9-FB50D7CD21C2}" name="Column6598"/>
    <tableColumn id="6599" xr3:uid="{A296C12B-0D9A-493D-A82D-6712C4620E36}" name="Column6599"/>
    <tableColumn id="6600" xr3:uid="{E9F482D0-5BD9-49A1-A5D0-DEE674EDD580}" name="Column6600"/>
    <tableColumn id="6601" xr3:uid="{E712857C-2E8A-421D-BC8B-5D471DC9CE2F}" name="Column6601"/>
    <tableColumn id="6602" xr3:uid="{96E2F4DF-F544-472B-82DA-20EBBB803FC0}" name="Column6602"/>
    <tableColumn id="6603" xr3:uid="{23B33176-4B8D-4EB5-9ABD-9F625E392421}" name="Column6603"/>
    <tableColumn id="6604" xr3:uid="{1E59C142-11A8-4150-A46C-F333436D8760}" name="Column6604"/>
    <tableColumn id="6605" xr3:uid="{EEF6AC0F-07FC-4934-90EE-869F4CCEFD42}" name="Column6605"/>
    <tableColumn id="6606" xr3:uid="{0B546397-48E5-499C-ACB5-FF340350C236}" name="Column6606"/>
    <tableColumn id="6607" xr3:uid="{4499A4B9-DA4F-44EA-A80A-576F58BFD8A7}" name="Column6607"/>
    <tableColumn id="6608" xr3:uid="{DF2E0B39-7013-4FE6-A356-B7EDD5091E7B}" name="Column6608"/>
    <tableColumn id="6609" xr3:uid="{2433318E-312C-4FB7-9DB1-9DFCD81DE153}" name="Column6609"/>
    <tableColumn id="6610" xr3:uid="{D4297D1D-812B-4EB1-B65A-EE76BB697203}" name="Column6610"/>
    <tableColumn id="6611" xr3:uid="{7021C4BB-9C17-42BA-9197-42FB7DE11E63}" name="Column6611"/>
    <tableColumn id="6612" xr3:uid="{6D9D81EF-619C-483B-957C-E5C025CF6B1C}" name="Column6612"/>
    <tableColumn id="6613" xr3:uid="{9AFEFD0E-A450-4CFD-AEE7-2AD83BD42E36}" name="Column6613"/>
    <tableColumn id="6614" xr3:uid="{09825DD6-1C39-48B9-81AA-3D9D33D8DD20}" name="Column6614"/>
    <tableColumn id="6615" xr3:uid="{293BF5A0-813C-4853-8F1F-40DE9308A60F}" name="Column6615"/>
    <tableColumn id="6616" xr3:uid="{6F89764D-64E2-4890-A93B-22764D7B1F77}" name="Column6616"/>
    <tableColumn id="6617" xr3:uid="{B530434B-39E8-4C24-B700-EE418060EB52}" name="Column6617"/>
    <tableColumn id="6618" xr3:uid="{2EF08652-3344-4FB7-AB7D-05312999FF01}" name="Column6618"/>
    <tableColumn id="6619" xr3:uid="{59AAA568-507E-4FC4-8686-D5E9F66D81D4}" name="Column6619"/>
    <tableColumn id="6620" xr3:uid="{91E03631-62D6-4435-AFE0-189B6EDE39E8}" name="Column6620"/>
    <tableColumn id="6621" xr3:uid="{283F56F2-FCC9-499F-8023-B0CBF0CDEF74}" name="Column6621"/>
    <tableColumn id="6622" xr3:uid="{209BCD20-C891-4677-9692-322F5EDA8BA1}" name="Column6622"/>
    <tableColumn id="6623" xr3:uid="{19051AA3-ABA1-4291-97A8-20E96856666A}" name="Column6623"/>
    <tableColumn id="6624" xr3:uid="{3E59AB59-6D85-4C24-AE64-7B23054C98CE}" name="Column6624"/>
    <tableColumn id="6625" xr3:uid="{2AC7E1C7-0621-44C9-A750-4C6DB403065C}" name="Column6625"/>
    <tableColumn id="6626" xr3:uid="{B595CBF0-EF66-425A-8521-8F30327261BF}" name="Column6626"/>
    <tableColumn id="6627" xr3:uid="{45A858B1-34B7-4D4F-8D36-D6DCE8E0508E}" name="Column6627"/>
    <tableColumn id="6628" xr3:uid="{0974BB0B-5B9C-486E-ABA4-A3286A8F8229}" name="Column6628"/>
    <tableColumn id="6629" xr3:uid="{AD000657-EFED-4563-ADEE-CA69B87ABC7F}" name="Column6629"/>
    <tableColumn id="6630" xr3:uid="{FD41695A-EB2C-432D-8E29-0A665C2F5653}" name="Column6630"/>
    <tableColumn id="6631" xr3:uid="{54CC5402-2FA9-41F9-A94E-B1E4A2448B4F}" name="Column6631"/>
    <tableColumn id="6632" xr3:uid="{818E1295-089C-4B05-AA43-2558FFA634EE}" name="Column6632"/>
    <tableColumn id="6633" xr3:uid="{9B3921C6-4359-4A20-8842-97C38BA9FD19}" name="Column6633"/>
    <tableColumn id="6634" xr3:uid="{B21E56F3-E40E-48EC-BA64-77EBC09D63F7}" name="Column6634"/>
    <tableColumn id="6635" xr3:uid="{CCC86042-7CE3-4ADF-BBAD-6B817C7AF929}" name="Column6635"/>
    <tableColumn id="6636" xr3:uid="{92179CFC-A37A-4690-A650-26DEE9806783}" name="Column6636"/>
    <tableColumn id="6637" xr3:uid="{5E5FEF2C-51CF-4E72-8186-E4948BCE9043}" name="Column6637"/>
    <tableColumn id="6638" xr3:uid="{20360C47-DBBE-4FD0-971B-E66FFF46B6DB}" name="Column6638"/>
    <tableColumn id="6639" xr3:uid="{6D3742DD-DAFC-4886-8562-3C699F6D5A44}" name="Column6639"/>
    <tableColumn id="6640" xr3:uid="{D9A0A78F-2492-41D7-B1F1-A025A9DED0E4}" name="Column6640"/>
    <tableColumn id="6641" xr3:uid="{0C928874-DE3A-4B39-9C4B-D43FBE49A46E}" name="Column6641"/>
    <tableColumn id="6642" xr3:uid="{E5557E82-DCFF-4B60-89AC-BAD4E2A422D0}" name="Column6642"/>
    <tableColumn id="6643" xr3:uid="{7DFEA2EF-EE05-4DDF-855C-2E4DE5C0A1FC}" name="Column6643"/>
    <tableColumn id="6644" xr3:uid="{7A00B7F1-025C-461A-8470-C8CE6DC046E6}" name="Column6644"/>
    <tableColumn id="6645" xr3:uid="{B9887795-A3E8-4C58-B9F3-1ED74830D51F}" name="Column6645"/>
    <tableColumn id="6646" xr3:uid="{4852AF05-7BE5-442C-BD9E-C602BB066845}" name="Column6646"/>
    <tableColumn id="6647" xr3:uid="{4E91C73C-3344-4F2A-8D6D-B1F908EB9DD4}" name="Column6647"/>
    <tableColumn id="6648" xr3:uid="{B4103655-E662-46D1-A50F-E6302B334D94}" name="Column6648"/>
    <tableColumn id="6649" xr3:uid="{252006CA-735B-44AF-B4AC-4FAC3481EF54}" name="Column6649"/>
    <tableColumn id="6650" xr3:uid="{E88E56F1-8183-40F5-B5A0-8B92A6C2C558}" name="Column6650"/>
    <tableColumn id="6651" xr3:uid="{0FBD5396-176D-416D-B8AE-5EB709600E63}" name="Column6651"/>
    <tableColumn id="6652" xr3:uid="{5101E649-0883-40C0-B5BB-21B6D7D39E4F}" name="Column6652"/>
    <tableColumn id="6653" xr3:uid="{4F8682A8-14CD-47BA-89E9-0FBF3D096E6B}" name="Column6653"/>
    <tableColumn id="6654" xr3:uid="{14947873-8B18-448C-A075-210553C86B51}" name="Column6654"/>
    <tableColumn id="6655" xr3:uid="{F64189EC-F87C-46BC-8222-6F6B3CA7F06B}" name="Column6655"/>
    <tableColumn id="6656" xr3:uid="{575E59F7-BFFA-4277-B561-92A1B6980AFD}" name="Column6656"/>
    <tableColumn id="6657" xr3:uid="{D0886441-8088-4F2D-93A3-6B0C84C69F15}" name="Column6657"/>
    <tableColumn id="6658" xr3:uid="{15A4A84C-2B60-4483-98B6-9CE34E2D38DE}" name="Column6658"/>
    <tableColumn id="6659" xr3:uid="{5AB39D26-2682-4CD6-A846-AB518A3B143D}" name="Column6659"/>
    <tableColumn id="6660" xr3:uid="{4C13BAAC-6076-426A-AFE1-2EE1174CF4EC}" name="Column6660"/>
    <tableColumn id="6661" xr3:uid="{C478383B-00F9-4433-9EC1-468184ECF299}" name="Column6661"/>
    <tableColumn id="6662" xr3:uid="{7D6D8D5D-37C8-4D3B-909B-48612A43D2D4}" name="Column6662"/>
    <tableColumn id="6663" xr3:uid="{F5A40FF9-D598-41F6-A3B4-39A3963BA1E2}" name="Column6663"/>
    <tableColumn id="6664" xr3:uid="{D8420EC8-EF31-491D-A0B8-E7F30206CBD9}" name="Column6664"/>
    <tableColumn id="6665" xr3:uid="{B34769FF-FFCC-45D1-8C2E-EC70532A1075}" name="Column6665"/>
    <tableColumn id="6666" xr3:uid="{5496A88F-14E0-4DED-81DD-F6350185AC77}" name="Column6666"/>
    <tableColumn id="6667" xr3:uid="{475978C0-A3B0-426B-B87F-5F308E95DF5A}" name="Column6667"/>
    <tableColumn id="6668" xr3:uid="{BD4942BF-D6C1-4DCF-B263-855404BCF817}" name="Column6668"/>
    <tableColumn id="6669" xr3:uid="{68C2E221-F9F4-4F03-B687-2553540F5D92}" name="Column6669"/>
    <tableColumn id="6670" xr3:uid="{C44AD55A-A2E5-4E94-B06C-7DF987753390}" name="Column6670"/>
    <tableColumn id="6671" xr3:uid="{7DD9341C-9657-4F51-8BB1-177A482CD08B}" name="Column6671"/>
    <tableColumn id="6672" xr3:uid="{22D76D93-1A0D-4831-881E-66DEBA699C50}" name="Column6672"/>
    <tableColumn id="6673" xr3:uid="{FFA2EF9E-E726-4154-88BC-81CDA037A89D}" name="Column6673"/>
    <tableColumn id="6674" xr3:uid="{6EFC9397-638E-4678-BC92-5D6A424138AD}" name="Column6674"/>
    <tableColumn id="6675" xr3:uid="{915CFE43-9F8A-4B0E-99EA-C253AA7BBC74}" name="Column6675"/>
    <tableColumn id="6676" xr3:uid="{F21693AE-A624-4077-BD8E-A485F8FDF407}" name="Column6676"/>
    <tableColumn id="6677" xr3:uid="{5A8CB79D-513F-4365-88E8-CF13188112B1}" name="Column6677"/>
    <tableColumn id="6678" xr3:uid="{212D165C-3278-4634-8DBF-60F92A4920BA}" name="Column6678"/>
    <tableColumn id="6679" xr3:uid="{7470D6EF-A163-4BE7-9535-85F83E964124}" name="Column6679"/>
    <tableColumn id="6680" xr3:uid="{21DBED92-E5B8-4364-87D5-14D6502F5204}" name="Column6680"/>
    <tableColumn id="6681" xr3:uid="{7DC3F992-1609-456C-B232-C136E9BEBC0E}" name="Column6681"/>
    <tableColumn id="6682" xr3:uid="{9DAED6EC-00D4-4204-B752-B5660A2BBF6A}" name="Column6682"/>
    <tableColumn id="6683" xr3:uid="{70A2DB01-E2AE-4AB4-9F74-BE12EAC91555}" name="Column6683"/>
    <tableColumn id="6684" xr3:uid="{CBFD3D89-97AA-4686-B663-8E42F973BC0F}" name="Column6684"/>
    <tableColumn id="6685" xr3:uid="{5FB1C98A-E3DB-43A8-B9C6-E8DA2C976C94}" name="Column6685"/>
    <tableColumn id="6686" xr3:uid="{30E2EB9B-9F37-498F-836C-B306E11BE966}" name="Column6686"/>
    <tableColumn id="6687" xr3:uid="{8DD267EE-5F50-45A2-A5B0-5CABF3C3C846}" name="Column6687"/>
    <tableColumn id="6688" xr3:uid="{255FEB9D-F71B-4570-A8F8-DCE98E3C5AB8}" name="Column6688"/>
    <tableColumn id="6689" xr3:uid="{980EDE21-9902-4A6B-9C2D-C7791DC2C225}" name="Column6689"/>
    <tableColumn id="6690" xr3:uid="{26D78B99-CF47-4CA5-ADD8-BF6F0375BD1C}" name="Column6690"/>
    <tableColumn id="6691" xr3:uid="{241FD364-0749-4EA8-ADA0-E5EB1C65C3E8}" name="Column6691"/>
    <tableColumn id="6692" xr3:uid="{0A0CD43D-E241-4BD8-B38F-B4C811F4AFD9}" name="Column6692"/>
    <tableColumn id="6693" xr3:uid="{9D39926E-3EE8-4943-BCEC-2BBFDA5814EB}" name="Column6693"/>
    <tableColumn id="6694" xr3:uid="{0BCA555B-9FEF-4381-AE5E-8286A7223814}" name="Column6694"/>
    <tableColumn id="6695" xr3:uid="{75F3AC82-A3CE-4833-A4BE-05A9F45F9E71}" name="Column6695"/>
    <tableColumn id="6696" xr3:uid="{38D58422-D41D-47C2-8563-513411A6C50C}" name="Column6696"/>
    <tableColumn id="6697" xr3:uid="{AEED2083-E262-42DE-B95C-E3652E339B9A}" name="Column6697"/>
    <tableColumn id="6698" xr3:uid="{5D9A545C-52F0-4B53-9B53-84A5F618D93B}" name="Column6698"/>
    <tableColumn id="6699" xr3:uid="{1AACDFC2-9E98-4B5C-B51F-20AD2C0BC97B}" name="Column6699"/>
    <tableColumn id="6700" xr3:uid="{0969D985-A0F6-40C2-AC34-247D4EAE7BA1}" name="Column6700"/>
    <tableColumn id="6701" xr3:uid="{7E1003C6-834B-49D3-B738-7315492CACF6}" name="Column6701"/>
    <tableColumn id="6702" xr3:uid="{3D6DBB77-57A9-4750-BD94-68CC5C37B140}" name="Column6702"/>
    <tableColumn id="6703" xr3:uid="{18DC2F75-6622-4F0A-B901-B7DC7B25307A}" name="Column6703"/>
    <tableColumn id="6704" xr3:uid="{B404B82D-1951-4D04-8ED1-E0DC0D1C454D}" name="Column6704"/>
    <tableColumn id="6705" xr3:uid="{092209DD-B74F-499E-ACA5-5D4908FC568B}" name="Column6705"/>
    <tableColumn id="6706" xr3:uid="{9B10CFE4-8958-42C6-8585-77AEDD6E4F26}" name="Column6706"/>
    <tableColumn id="6707" xr3:uid="{C391923F-96DA-4E91-BEA7-975237C8217D}" name="Column6707"/>
    <tableColumn id="6708" xr3:uid="{4B050CAB-380D-4238-87CC-0E620BED328B}" name="Column6708"/>
    <tableColumn id="6709" xr3:uid="{CAE24623-EC45-4ACE-BDBA-E96DE78E99F9}" name="Column6709"/>
    <tableColumn id="6710" xr3:uid="{C3D94179-32F1-4E2D-BC7A-52DD36BCC48F}" name="Column6710"/>
    <tableColumn id="6711" xr3:uid="{E7EF0107-3F8A-4674-8C3D-19544452E0B8}" name="Column6711"/>
    <tableColumn id="6712" xr3:uid="{D9C3FC6E-0968-4793-B1C4-382A71C598D0}" name="Column6712"/>
    <tableColumn id="6713" xr3:uid="{A02AA9AC-7CA2-4862-AD99-44991B7A1352}" name="Column6713"/>
    <tableColumn id="6714" xr3:uid="{E9506E46-6639-4C85-A441-5CB69736C60F}" name="Column6714"/>
    <tableColumn id="6715" xr3:uid="{AE11C4E2-D761-416E-8427-D4BCC69F2830}" name="Column6715"/>
    <tableColumn id="6716" xr3:uid="{567AE3A1-6E54-4698-93AB-6D4B3A435953}" name="Column6716"/>
    <tableColumn id="6717" xr3:uid="{3F1DA621-F19F-4970-BE41-86ABBC564C1E}" name="Column6717"/>
    <tableColumn id="6718" xr3:uid="{315FF5D5-561B-4134-AB35-168CBB0A8564}" name="Column6718"/>
    <tableColumn id="6719" xr3:uid="{46C9F392-79E6-42FE-A881-0E34ED15E800}" name="Column6719"/>
    <tableColumn id="6720" xr3:uid="{7F8AF1C2-0747-4ED3-9938-A7AD07844290}" name="Column6720"/>
    <tableColumn id="6721" xr3:uid="{43A4317C-AECB-44EC-A861-BB8C74BACEE8}" name="Column6721"/>
    <tableColumn id="6722" xr3:uid="{D3630479-C3B8-4DBA-8B38-349D22981592}" name="Column6722"/>
    <tableColumn id="6723" xr3:uid="{091D4D4C-4F91-468D-B48E-373283FCE483}" name="Column6723"/>
    <tableColumn id="6724" xr3:uid="{C9970596-BAC1-43D3-A667-449B1D2B7591}" name="Column6724"/>
    <tableColumn id="6725" xr3:uid="{B726B444-D1FD-4820-AD08-DFDE59F37F79}" name="Column6725"/>
    <tableColumn id="6726" xr3:uid="{FA8D0BF6-A338-406C-BFD9-FFA32586AF1C}" name="Column6726"/>
    <tableColumn id="6727" xr3:uid="{9FF7C309-2A72-43B9-8AF7-D2DC169B52B5}" name="Column6727"/>
    <tableColumn id="6728" xr3:uid="{42C37EF7-BF70-493B-8263-5B0C30D07002}" name="Column6728"/>
    <tableColumn id="6729" xr3:uid="{5C872189-5D6D-4E82-B05D-5CB463D0A188}" name="Column6729"/>
    <tableColumn id="6730" xr3:uid="{B1521F20-1258-4570-80F2-5CEDF101B34D}" name="Column6730"/>
    <tableColumn id="6731" xr3:uid="{34560BF7-D712-44B4-B5D1-B2A1B4C743BB}" name="Column6731"/>
    <tableColumn id="6732" xr3:uid="{0FFBFDF3-D48C-47E7-8867-514E58468299}" name="Column6732"/>
    <tableColumn id="6733" xr3:uid="{D91969CA-1AEF-4A5A-9890-026ACEF857E4}" name="Column6733"/>
    <tableColumn id="6734" xr3:uid="{7A0E356B-4131-4307-BA4E-996CD8544987}" name="Column6734"/>
    <tableColumn id="6735" xr3:uid="{D62FD3F8-E8F5-4128-8B73-D007BDE95BDC}" name="Column6735"/>
    <tableColumn id="6736" xr3:uid="{324FDA17-2CE5-4BCF-AC82-53A89F1B805B}" name="Column6736"/>
    <tableColumn id="6737" xr3:uid="{95C5D92A-2E14-493F-9BDF-ECFBA506660A}" name="Column6737"/>
    <tableColumn id="6738" xr3:uid="{77208136-839C-4D51-B791-73B36D08A742}" name="Column6738"/>
    <tableColumn id="6739" xr3:uid="{B4D366FE-B98A-4768-AB4C-6F61D43C517F}" name="Column6739"/>
    <tableColumn id="6740" xr3:uid="{21BC04E7-8A2E-4437-85B1-B54400F9FDF8}" name="Column6740"/>
    <tableColumn id="6741" xr3:uid="{936A7FD9-4F6D-4A01-B60D-40719570439F}" name="Column6741"/>
    <tableColumn id="6742" xr3:uid="{7FE9DCE0-B02D-4416-A9AC-6554CCEF45FE}" name="Column6742"/>
    <tableColumn id="6743" xr3:uid="{140BDD2F-BD71-4DA2-9A41-8ABF8D6319D6}" name="Column6743"/>
    <tableColumn id="6744" xr3:uid="{CA85B1E5-FBA8-4999-A669-550DB8102A38}" name="Column6744"/>
    <tableColumn id="6745" xr3:uid="{B0825444-5C29-4C77-9C54-7F6F70916CEB}" name="Column6745"/>
    <tableColumn id="6746" xr3:uid="{B0A22A04-A713-463C-BCB1-94E13CAAA839}" name="Column6746"/>
    <tableColumn id="6747" xr3:uid="{445D3706-1544-4C30-AC72-2DE7BAEEF704}" name="Column6747"/>
    <tableColumn id="6748" xr3:uid="{5FFF497A-8851-45A4-A158-CAABB1425519}" name="Column6748"/>
    <tableColumn id="6749" xr3:uid="{A341B8A3-35E4-4033-9CA1-38329B8EA06F}" name="Column6749"/>
    <tableColumn id="6750" xr3:uid="{DE85C7A0-B239-42AC-AA49-92B6EC7988A8}" name="Column6750"/>
    <tableColumn id="6751" xr3:uid="{6A3EE5EA-F3B9-4669-AE1A-99D580F10960}" name="Column6751"/>
    <tableColumn id="6752" xr3:uid="{CDE94A5C-D061-4E8F-98CE-5B8F0065A28A}" name="Column6752"/>
    <tableColumn id="6753" xr3:uid="{1305FDB7-8696-4D95-9CF7-E31FEE57A57D}" name="Column6753"/>
    <tableColumn id="6754" xr3:uid="{0A409284-FBA3-4174-8F83-BF4EE6C69B73}" name="Column6754"/>
    <tableColumn id="6755" xr3:uid="{0165FA5C-684F-4C80-8BB0-86BFCF4699E7}" name="Column6755"/>
    <tableColumn id="6756" xr3:uid="{80BD92B3-62F0-4C63-AA8E-60E038A5A150}" name="Column6756"/>
    <tableColumn id="6757" xr3:uid="{75385D0B-73B8-4AC7-82F0-E416057996E6}" name="Column6757"/>
    <tableColumn id="6758" xr3:uid="{178BD99C-8226-4320-B3D8-6378F4E38EF0}" name="Column6758"/>
    <tableColumn id="6759" xr3:uid="{36F3F017-99B0-4BA0-8D0F-6FA0E0B03C20}" name="Column6759"/>
    <tableColumn id="6760" xr3:uid="{F17059EF-772E-4D6B-966A-4BABCFB94EC2}" name="Column6760"/>
    <tableColumn id="6761" xr3:uid="{7C28B05A-0295-4CEF-ADB4-CFEA40A4FA0A}" name="Column6761"/>
    <tableColumn id="6762" xr3:uid="{AA740C37-6EC1-4A30-B358-9003B0BB8AD4}" name="Column6762"/>
    <tableColumn id="6763" xr3:uid="{E3E21CCE-88BA-456B-9D23-4E3A1A2B1834}" name="Column6763"/>
    <tableColumn id="6764" xr3:uid="{EE0BF321-00DB-4823-993D-ACAD159C83ED}" name="Column6764"/>
    <tableColumn id="6765" xr3:uid="{501C958A-DEC2-4412-8763-A32D9CBBEE0F}" name="Column6765"/>
    <tableColumn id="6766" xr3:uid="{87FC217D-7344-469A-8995-216637335214}" name="Column6766"/>
    <tableColumn id="6767" xr3:uid="{206BF8AF-0F8F-456D-8FF9-6CAAA03AB21F}" name="Column6767"/>
    <tableColumn id="6768" xr3:uid="{9F0C8F0D-0E8B-4C20-93EF-4CB3B39431D2}" name="Column6768"/>
    <tableColumn id="6769" xr3:uid="{BC78DB2A-5D01-475E-AA21-AA1D9FA5132E}" name="Column6769"/>
    <tableColumn id="6770" xr3:uid="{B7C7915B-BCD2-428E-BD6A-2875F429797E}" name="Column6770"/>
    <tableColumn id="6771" xr3:uid="{52EBF0B2-30F0-49FC-8100-F5A33B492698}" name="Column6771"/>
    <tableColumn id="6772" xr3:uid="{5F5EBCB0-89B8-4CC4-935C-61145BB16527}" name="Column6772"/>
    <tableColumn id="6773" xr3:uid="{7B2C4913-27D4-4307-BEE2-AF7E40095EAD}" name="Column6773"/>
    <tableColumn id="6774" xr3:uid="{D26E71F9-66DB-415B-BC3B-B4545F2C3CF5}" name="Column6774"/>
    <tableColumn id="6775" xr3:uid="{96FBF594-3A06-43DA-9036-A798ECFFF412}" name="Column6775"/>
    <tableColumn id="6776" xr3:uid="{BD3981E7-8EAF-43AC-A029-4DFE12A6B080}" name="Column6776"/>
    <tableColumn id="6777" xr3:uid="{A62A84E2-41C0-4E09-8646-9427682093FF}" name="Column6777"/>
    <tableColumn id="6778" xr3:uid="{035DB0D4-3FBA-422C-979B-3A0722BC1C25}" name="Column6778"/>
    <tableColumn id="6779" xr3:uid="{6ADDFF92-E534-4050-9611-0A40A7E8FEAC}" name="Column6779"/>
    <tableColumn id="6780" xr3:uid="{D0C29615-F93C-468F-BE31-8EA02A7D98A1}" name="Column6780"/>
    <tableColumn id="6781" xr3:uid="{D3354C4B-07B9-44F9-B8A0-834B9899063E}" name="Column6781"/>
    <tableColumn id="6782" xr3:uid="{76FA1CFD-E812-456C-8557-55CE463C81D0}" name="Column6782"/>
    <tableColumn id="6783" xr3:uid="{CF8111C6-6C75-4E81-A8CA-EF2B00A269C5}" name="Column6783"/>
    <tableColumn id="6784" xr3:uid="{AE12F011-2ABA-4840-ACC4-572392A060D7}" name="Column6784"/>
    <tableColumn id="6785" xr3:uid="{E786DF56-AD1D-4D94-A9AB-B45C8A34151E}" name="Column6785"/>
    <tableColumn id="6786" xr3:uid="{83EE00C1-247A-4E1B-9DF9-D085A1D822D7}" name="Column6786"/>
    <tableColumn id="6787" xr3:uid="{71349B51-5FEA-4D24-88E1-298103B09B56}" name="Column6787"/>
    <tableColumn id="6788" xr3:uid="{9ED4CEE1-389C-4229-ABD0-0DC7F202E532}" name="Column6788"/>
    <tableColumn id="6789" xr3:uid="{0B98474E-85D0-4CAA-BC28-A8BA59ABF41C}" name="Column6789"/>
    <tableColumn id="6790" xr3:uid="{4B4C432B-3591-4F51-B4F7-E0D1D2D67016}" name="Column6790"/>
    <tableColumn id="6791" xr3:uid="{25E81C10-412A-4B98-A4DA-3EE35149012C}" name="Column6791"/>
    <tableColumn id="6792" xr3:uid="{95AA8871-0361-42E7-868F-4E09B251DBEF}" name="Column6792"/>
    <tableColumn id="6793" xr3:uid="{B0590A16-3067-47E0-9807-41A7D67168FC}" name="Column6793"/>
    <tableColumn id="6794" xr3:uid="{9190A988-5C69-4F85-A0FC-205E2BECECBE}" name="Column6794"/>
    <tableColumn id="6795" xr3:uid="{67C735CE-1166-4142-867E-73AB3AE6AFC3}" name="Column6795"/>
    <tableColumn id="6796" xr3:uid="{6286A57A-C7FB-461F-A9FD-474715E89B4C}" name="Column6796"/>
    <tableColumn id="6797" xr3:uid="{049EF630-9CE0-4A9B-9064-1575D983BC27}" name="Column6797"/>
    <tableColumn id="6798" xr3:uid="{00E12F96-CC69-41AB-B89E-F17754C8791A}" name="Column6798"/>
    <tableColumn id="6799" xr3:uid="{087AC7CE-D5C4-4E71-8690-106760AA3CF4}" name="Column6799"/>
    <tableColumn id="6800" xr3:uid="{A7A13DE0-8437-47AB-AB2D-A83A0915E3C9}" name="Column6800"/>
    <tableColumn id="6801" xr3:uid="{D112C7C1-7599-4A15-BF8D-0A6DDE3DC485}" name="Column6801"/>
    <tableColumn id="6802" xr3:uid="{48716DB0-5570-4AB0-B745-B721616C7D76}" name="Column6802"/>
    <tableColumn id="6803" xr3:uid="{69FA3C4C-1655-4A75-9E64-987DAAC8D4BF}" name="Column6803"/>
    <tableColumn id="6804" xr3:uid="{7F0176C0-FC64-4327-AF17-6A44E8657EF1}" name="Column6804"/>
    <tableColumn id="6805" xr3:uid="{958025D3-D090-4337-80D1-4A5A2A2B0714}" name="Column6805"/>
    <tableColumn id="6806" xr3:uid="{65C167CB-4656-407D-8AEC-70EB71C8344E}" name="Column6806"/>
    <tableColumn id="6807" xr3:uid="{F98ADEA3-1288-4E9F-A09A-813207239D1B}" name="Column6807"/>
    <tableColumn id="6808" xr3:uid="{50D8170E-0314-4BB3-9028-1D86BB3B0AE5}" name="Column6808"/>
    <tableColumn id="6809" xr3:uid="{1A4F54CB-84E4-4F36-8728-65A56E972BA3}" name="Column6809"/>
    <tableColumn id="6810" xr3:uid="{1FE29515-5C61-4294-B47C-AC441975F0C2}" name="Column6810"/>
    <tableColumn id="6811" xr3:uid="{9FEA3E39-E750-49F7-902F-6F4B4C0C4102}" name="Column6811"/>
    <tableColumn id="6812" xr3:uid="{906C16AA-C741-40A3-9CF3-A1E123816289}" name="Column6812"/>
    <tableColumn id="6813" xr3:uid="{5ACD380F-38D5-463D-BF42-E98F6FBA903F}" name="Column6813"/>
    <tableColumn id="6814" xr3:uid="{01EC7F9C-1435-4479-B3B9-DA308697C86C}" name="Column6814"/>
    <tableColumn id="6815" xr3:uid="{28D3B97F-6E2D-4858-9FB7-800154F7E445}" name="Column6815"/>
    <tableColumn id="6816" xr3:uid="{E874BBDE-B7A5-4776-82CF-ACB3CCF172F3}" name="Column6816"/>
    <tableColumn id="6817" xr3:uid="{C22144DE-E39C-484B-8E53-2F72E13C996B}" name="Column6817"/>
    <tableColumn id="6818" xr3:uid="{D6C20C2A-FF6F-4431-B0C9-1B76243F6EBF}" name="Column6818"/>
    <tableColumn id="6819" xr3:uid="{7DA5C729-3C71-44C8-9A95-319D5F03BD2A}" name="Column6819"/>
    <tableColumn id="6820" xr3:uid="{24C2DCC6-D49D-4519-A588-61E6747E5700}" name="Column6820"/>
    <tableColumn id="6821" xr3:uid="{1C99AD9C-F803-4046-8965-893757858ADF}" name="Column6821"/>
    <tableColumn id="6822" xr3:uid="{0D30C6A7-AA07-48AA-BE31-A8C8DC59868D}" name="Column6822"/>
    <tableColumn id="6823" xr3:uid="{75532D2E-4285-4F72-815C-90F1F5E3DF92}" name="Column6823"/>
    <tableColumn id="6824" xr3:uid="{F6FFFABD-FD78-4672-9C4F-F12F1D53225D}" name="Column6824"/>
    <tableColumn id="6825" xr3:uid="{3FFD9599-5C6F-43D6-833C-5A93741782C7}" name="Column6825"/>
    <tableColumn id="6826" xr3:uid="{10A91428-9466-471F-985B-FDE369AC7EDC}" name="Column6826"/>
    <tableColumn id="6827" xr3:uid="{CEF0D7CD-BFF8-43F3-97E8-DFABFBFF04C1}" name="Column6827"/>
    <tableColumn id="6828" xr3:uid="{2468BCE1-4354-4640-BF8C-146AEF503B72}" name="Column6828"/>
    <tableColumn id="6829" xr3:uid="{059B0CDA-57D9-4CD5-8A4A-3179D2614124}" name="Column6829"/>
    <tableColumn id="6830" xr3:uid="{C72AB2AB-A3AC-4E9E-BB83-402929F901A4}" name="Column6830"/>
    <tableColumn id="6831" xr3:uid="{D1EBE43C-080D-4245-95F1-1E14992C2154}" name="Column6831"/>
    <tableColumn id="6832" xr3:uid="{BC3BDF18-D9A2-42BB-A51B-EB9B6124E3FE}" name="Column6832"/>
    <tableColumn id="6833" xr3:uid="{6DF9EE72-E3B4-4437-92EA-293E2926621F}" name="Column6833"/>
    <tableColumn id="6834" xr3:uid="{2047D584-6C5F-4880-90C4-831DC57F9B4B}" name="Column6834"/>
    <tableColumn id="6835" xr3:uid="{07387FBF-EB13-46BB-A525-33355EADC8EC}" name="Column6835"/>
    <tableColumn id="6836" xr3:uid="{2730E533-46B2-4729-9FC6-4CD423C0C1B7}" name="Column6836"/>
    <tableColumn id="6837" xr3:uid="{2FC82E15-6EC4-4B92-9ED3-DB036A322CAD}" name="Column6837"/>
    <tableColumn id="6838" xr3:uid="{385341B2-F688-405D-819B-F478A0C74108}" name="Column6838"/>
    <tableColumn id="6839" xr3:uid="{55A6620C-476F-48A1-A654-358B68F06729}" name="Column6839"/>
    <tableColumn id="6840" xr3:uid="{262CE8CE-2E06-4E12-AA16-7B02267B81D1}" name="Column6840"/>
    <tableColumn id="6841" xr3:uid="{D51E03E8-3590-4DB9-B521-FCC597486FFD}" name="Column6841"/>
    <tableColumn id="6842" xr3:uid="{20CB1AD2-D495-4E6C-B8CF-B8A6EA6F6108}" name="Column6842"/>
    <tableColumn id="6843" xr3:uid="{0773E74E-4C3C-45D8-83DF-8D7295B6F30B}" name="Column6843"/>
    <tableColumn id="6844" xr3:uid="{3C9606FD-4396-41C3-A1E4-D62E12531A64}" name="Column6844"/>
    <tableColumn id="6845" xr3:uid="{D8DC7A41-5407-403B-AE00-2A47F6E6A092}" name="Column6845"/>
    <tableColumn id="6846" xr3:uid="{CBC4D669-6A9D-4066-85AB-8FBF47B950EB}" name="Column6846"/>
    <tableColumn id="6847" xr3:uid="{3054C9C4-CDF8-43B9-8E8C-65F44B01752F}" name="Column6847"/>
    <tableColumn id="6848" xr3:uid="{9FF0CEF2-5956-4719-9712-BC6A3FFE193A}" name="Column6848"/>
    <tableColumn id="6849" xr3:uid="{00A45ED2-4A71-4092-AFC0-00D1D1EE16B0}" name="Column6849"/>
    <tableColumn id="6850" xr3:uid="{CB717349-6F2F-41C2-860D-C4E69AF90AC0}" name="Column6850"/>
    <tableColumn id="6851" xr3:uid="{EB8D03EF-B74E-433D-982B-6B474F6BCD45}" name="Column6851"/>
    <tableColumn id="6852" xr3:uid="{7BBF783F-E50C-430D-B393-AC580DD801CB}" name="Column6852"/>
    <tableColumn id="6853" xr3:uid="{CE19FC7E-5D59-4989-9DBD-8769F7AF57C3}" name="Column6853"/>
    <tableColumn id="6854" xr3:uid="{F468EB00-9DD4-4318-8B7E-10B5AE15BC94}" name="Column6854"/>
    <tableColumn id="6855" xr3:uid="{4406952A-0AA7-42E4-9FAE-A7BE21EE9217}" name="Column6855"/>
    <tableColumn id="6856" xr3:uid="{3D50034E-A70C-4186-9A9F-C08F45E1AC7B}" name="Column6856"/>
    <tableColumn id="6857" xr3:uid="{05D635BC-EBD2-4AF6-B176-FE54B2EDE072}" name="Column6857"/>
    <tableColumn id="6858" xr3:uid="{5884CA6D-12D4-4C8F-9F5A-7A15D8C2A59A}" name="Column6858"/>
    <tableColumn id="6859" xr3:uid="{238C4052-C7BF-4A01-B762-EAB914698EF4}" name="Column6859"/>
    <tableColumn id="6860" xr3:uid="{5434C468-D988-4C58-8FB7-2C9FD4B7D1CE}" name="Column6860"/>
    <tableColumn id="6861" xr3:uid="{B7EC7D2D-3F79-4CE0-B829-D17B4EE40FD9}" name="Column6861"/>
    <tableColumn id="6862" xr3:uid="{FFB0F028-7969-4747-BF35-FAA0B0157EA0}" name="Column6862"/>
    <tableColumn id="6863" xr3:uid="{46ACD8A9-D19C-43EF-A289-77A83EC7C304}" name="Column6863"/>
    <tableColumn id="6864" xr3:uid="{D54C3CAE-3F91-42AB-9613-2302D6F93DA3}" name="Column6864"/>
    <tableColumn id="6865" xr3:uid="{4538F465-E23A-462C-9D33-40BECF0008C8}" name="Column6865"/>
    <tableColumn id="6866" xr3:uid="{3AE0D180-54FF-4883-B5F9-1C51AF2E9F6B}" name="Column6866"/>
    <tableColumn id="6867" xr3:uid="{6E5EC7DD-89FE-477E-9BF8-C799276A52A3}" name="Column6867"/>
    <tableColumn id="6868" xr3:uid="{568EAF7C-C623-445E-B0FF-A2F757C4391D}" name="Column6868"/>
    <tableColumn id="6869" xr3:uid="{10EED838-FDAA-4068-A314-723973BD569D}" name="Column6869"/>
    <tableColumn id="6870" xr3:uid="{6ED67BCA-6C3D-41F4-90FF-437A4B1EBAA1}" name="Column6870"/>
    <tableColumn id="6871" xr3:uid="{DDE82FBB-B513-4298-87D8-E39A546A0EAA}" name="Column6871"/>
    <tableColumn id="6872" xr3:uid="{3A4C9426-02E6-4AFE-AC08-024FF5014DE2}" name="Column6872"/>
    <tableColumn id="6873" xr3:uid="{11A428F6-9077-4AD0-BEEA-B7229E3CF2FD}" name="Column6873"/>
    <tableColumn id="6874" xr3:uid="{F5CDFA6E-C7FD-4732-8A05-B2BD5EDB22AB}" name="Column6874"/>
    <tableColumn id="6875" xr3:uid="{19D6951B-6A3D-462A-8702-20096FE1C7D8}" name="Column6875"/>
    <tableColumn id="6876" xr3:uid="{2A48437E-1FDC-4CE9-90DA-ECE3BF41BACA}" name="Column6876"/>
    <tableColumn id="6877" xr3:uid="{D2F1AB7D-42A7-494F-816F-1FC79374B28E}" name="Column6877"/>
    <tableColumn id="6878" xr3:uid="{FE23642B-9AD9-464A-8060-44B6E1AFF7EC}" name="Column6878"/>
    <tableColumn id="6879" xr3:uid="{87F710F2-1028-4045-A703-430BFB53193B}" name="Column6879"/>
    <tableColumn id="6880" xr3:uid="{8A0CDAC9-B05C-41C0-9E33-4CABAB6F9BD1}" name="Column6880"/>
    <tableColumn id="6881" xr3:uid="{671B4984-F7B0-474A-B172-9BC1C296287E}" name="Column6881"/>
    <tableColumn id="6882" xr3:uid="{136BA63C-B6FB-4326-BC5B-ABA46E13EA0A}" name="Column6882"/>
    <tableColumn id="6883" xr3:uid="{45A58224-3F2C-45C8-A733-B357772E1783}" name="Column6883"/>
    <tableColumn id="6884" xr3:uid="{63565CCC-0FBA-4CE4-9F8B-380DDBF800CE}" name="Column6884"/>
    <tableColumn id="6885" xr3:uid="{A8D6232B-60F0-4C63-A240-1112A4DFB9BC}" name="Column6885"/>
    <tableColumn id="6886" xr3:uid="{E6853338-F0D9-4DA5-BA1F-50330E656528}" name="Column6886"/>
    <tableColumn id="6887" xr3:uid="{E5CDFCC8-151F-4084-817F-4D64B8357858}" name="Column6887"/>
    <tableColumn id="6888" xr3:uid="{C188C1C5-1039-4793-98C1-0295D625F248}" name="Column6888"/>
    <tableColumn id="6889" xr3:uid="{D0D30C19-1D9F-44D4-B14F-497D3A0FC6A2}" name="Column6889"/>
    <tableColumn id="6890" xr3:uid="{73659A3A-49ED-44EA-B281-450E9DF0D214}" name="Column6890"/>
    <tableColumn id="6891" xr3:uid="{C2C97CE8-3E53-4E8B-9D53-291DEE3CBA4A}" name="Column6891"/>
    <tableColumn id="6892" xr3:uid="{C8176CB4-02D6-466D-9E54-913C867C2BEB}" name="Column6892"/>
    <tableColumn id="6893" xr3:uid="{FCA7043F-5370-4121-A817-22D0DE931545}" name="Column6893"/>
    <tableColumn id="6894" xr3:uid="{4AFB305D-2B61-4311-BF37-48E430D9E547}" name="Column6894"/>
    <tableColumn id="6895" xr3:uid="{613447AF-72BF-49AA-9C9A-F75E2F7312F1}" name="Column6895"/>
    <tableColumn id="6896" xr3:uid="{1F09ECF9-C94D-41C9-AB9A-E7CCA77375A0}" name="Column6896"/>
    <tableColumn id="6897" xr3:uid="{ED22A1BA-1892-41B5-B03E-9C2393AE3B63}" name="Column6897"/>
    <tableColumn id="6898" xr3:uid="{03E4C919-39D6-4EDB-894F-8B317E9EBEF5}" name="Column6898"/>
    <tableColumn id="6899" xr3:uid="{B7BB47CA-938B-4C5D-A6A7-3BECD252173F}" name="Column6899"/>
    <tableColumn id="6900" xr3:uid="{C60C0685-ED26-464A-80EE-FE0D4A56B7AB}" name="Column6900"/>
    <tableColumn id="6901" xr3:uid="{5B42F466-D1E8-41B5-9DFB-C9EBC7E32195}" name="Column6901"/>
    <tableColumn id="6902" xr3:uid="{09D2C1EA-8986-4647-90D2-9820071D6C61}" name="Column6902"/>
    <tableColumn id="6903" xr3:uid="{3DC672A0-7151-476A-8EB3-E2F4E2CC6DCD}" name="Column6903"/>
    <tableColumn id="6904" xr3:uid="{1480A271-F07A-4ED2-863F-685E89F10A3E}" name="Column6904"/>
    <tableColumn id="6905" xr3:uid="{19829F8D-7778-4B51-BE0B-1BECF5043701}" name="Column6905"/>
    <tableColumn id="6906" xr3:uid="{E845C9F6-8B67-44A0-ADAC-9E221F2A6CD6}" name="Column6906"/>
    <tableColumn id="6907" xr3:uid="{A89AD273-0C2D-487A-9209-D136CAF82007}" name="Column6907"/>
    <tableColumn id="6908" xr3:uid="{BB6BC78D-80F9-4323-99BB-1892E882FBDC}" name="Column6908"/>
    <tableColumn id="6909" xr3:uid="{84C2FF95-B703-4525-89B5-BF62CFCA4BED}" name="Column6909"/>
    <tableColumn id="6910" xr3:uid="{D19AC94B-AA52-464C-99FB-6887AB1CBFA0}" name="Column6910"/>
    <tableColumn id="6911" xr3:uid="{3E6B7327-B4CB-4F1E-87F0-9BF05083CDBA}" name="Column6911"/>
    <tableColumn id="6912" xr3:uid="{B1FB8B50-51D6-48E4-B032-0B5DC3BE8CCB}" name="Column6912"/>
    <tableColumn id="6913" xr3:uid="{139ECF0E-5CF4-4A72-8964-4E246BEA9A97}" name="Column6913"/>
    <tableColumn id="6914" xr3:uid="{5E98583D-5308-40E4-9178-031BF65B549A}" name="Column6914"/>
    <tableColumn id="6915" xr3:uid="{AC3ECFF7-AF0C-414C-834D-7CED9D8ED150}" name="Column6915"/>
    <tableColumn id="6916" xr3:uid="{E7693E49-0096-4B4C-8E3B-BF2E77E4FAEC}" name="Column6916"/>
    <tableColumn id="6917" xr3:uid="{F0917BB1-A75D-4DA8-A346-2E29D8FB36F3}" name="Column6917"/>
    <tableColumn id="6918" xr3:uid="{CA55D766-AFB4-4369-A906-65AC668D4B73}" name="Column6918"/>
    <tableColumn id="6919" xr3:uid="{D46C2CB3-2E4C-4303-9477-7FD40B523F72}" name="Column6919"/>
    <tableColumn id="6920" xr3:uid="{695BBFA7-A015-4639-B1BE-59E6B2B24150}" name="Column6920"/>
    <tableColumn id="6921" xr3:uid="{83EE7246-6481-4B84-95F0-E6931DDDB921}" name="Column6921"/>
    <tableColumn id="6922" xr3:uid="{28C225FA-F5B5-4032-8D23-9064E4F74E3B}" name="Column6922"/>
    <tableColumn id="6923" xr3:uid="{755C13FF-3DBF-4CEC-AC10-164AD587EADF}" name="Column6923"/>
    <tableColumn id="6924" xr3:uid="{F0BBC5E3-11D9-435D-86F9-047FEF7781BD}" name="Column6924"/>
    <tableColumn id="6925" xr3:uid="{AD46AC52-F60C-423A-81E4-3F054D200E7D}" name="Column6925"/>
    <tableColumn id="6926" xr3:uid="{836A9C92-6CC0-47E2-8445-74EC0C90F0EB}" name="Column6926"/>
    <tableColumn id="6927" xr3:uid="{A483382D-3D30-4B81-9824-54D5DDDD1B55}" name="Column6927"/>
    <tableColumn id="6928" xr3:uid="{53D92CFA-D0B4-4062-9C46-0A01643755EB}" name="Column6928"/>
    <tableColumn id="6929" xr3:uid="{65E61C12-7699-414B-A409-9940BBC96D26}" name="Column6929"/>
    <tableColumn id="6930" xr3:uid="{34845D0E-B1B2-4944-9E43-AB2137F30CF4}" name="Column6930"/>
    <tableColumn id="6931" xr3:uid="{2FBE6953-F9CE-40E3-864F-55C87698D807}" name="Column6931"/>
    <tableColumn id="6932" xr3:uid="{6A8FBD5C-40BA-40D3-9BC8-A6022123662D}" name="Column6932"/>
    <tableColumn id="6933" xr3:uid="{D51D863C-D759-495E-8172-2945B1CF8214}" name="Column6933"/>
    <tableColumn id="6934" xr3:uid="{A79090E6-4BA2-4DC6-94F6-55E1C4A20C56}" name="Column6934"/>
    <tableColumn id="6935" xr3:uid="{05B1BDEB-4A07-498D-AFBF-E88D929AC1AF}" name="Column6935"/>
    <tableColumn id="6936" xr3:uid="{A2C3D90F-F679-468A-8460-64A6025F4A4E}" name="Column6936"/>
    <tableColumn id="6937" xr3:uid="{FA78391D-427C-4BFF-B7D6-873C28ED8620}" name="Column6937"/>
    <tableColumn id="6938" xr3:uid="{D022B30C-BB44-496B-AA32-A56606DBF5D3}" name="Column6938"/>
    <tableColumn id="6939" xr3:uid="{2B921327-CD8D-47B8-9FEE-9CB9D0A6FD3B}" name="Column6939"/>
    <tableColumn id="6940" xr3:uid="{5190A71F-B44C-4ED7-A0DE-A6F5A27BCCB7}" name="Column6940"/>
    <tableColumn id="6941" xr3:uid="{46F434F9-6C70-4F8D-8834-63312FACB07D}" name="Column6941"/>
    <tableColumn id="6942" xr3:uid="{9258E89F-5E86-4370-BD01-659E720AA441}" name="Column6942"/>
    <tableColumn id="6943" xr3:uid="{C0E55838-7EB1-455A-8AD7-8A047416D265}" name="Column6943"/>
    <tableColumn id="6944" xr3:uid="{D07C3E66-3F16-42B9-BD7F-4E0101FBEFCB}" name="Column6944"/>
    <tableColumn id="6945" xr3:uid="{F2C12932-D6BE-4411-BD05-B5EDBC699E2D}" name="Column6945"/>
    <tableColumn id="6946" xr3:uid="{AC89D1C7-692A-494E-B744-181D1C7A524D}" name="Column6946"/>
    <tableColumn id="6947" xr3:uid="{CAB4770F-9BB9-4062-82A0-65A9F397D948}" name="Column6947"/>
    <tableColumn id="6948" xr3:uid="{F3C8A078-F496-4A89-A4C1-0D3EDDEF96F4}" name="Column6948"/>
    <tableColumn id="6949" xr3:uid="{97D9C1E3-4D83-4809-B614-1E75EEBC7D03}" name="Column6949"/>
    <tableColumn id="6950" xr3:uid="{70C7D5B5-4167-49B3-843B-0E1545C13576}" name="Column6950"/>
    <tableColumn id="6951" xr3:uid="{532A99D1-8426-420B-A18F-37C7E1038124}" name="Column6951"/>
    <tableColumn id="6952" xr3:uid="{1E34D814-B3B2-46A1-8750-875BD61B8CAE}" name="Column6952"/>
    <tableColumn id="6953" xr3:uid="{A933C6BE-4CE4-4C1D-B409-883639B101B7}" name="Column6953"/>
    <tableColumn id="6954" xr3:uid="{01CA13D0-92B5-45DC-B21D-E0C2D9102BEB}" name="Column6954"/>
    <tableColumn id="6955" xr3:uid="{53AEBEE5-7961-4EC7-AE62-8E9E96802682}" name="Column6955"/>
    <tableColumn id="6956" xr3:uid="{6E712A97-8274-4199-8512-9D49E4CFF81C}" name="Column6956"/>
    <tableColumn id="6957" xr3:uid="{C2F27A02-F2C7-4323-9DC4-4DD61261487E}" name="Column6957"/>
    <tableColumn id="6958" xr3:uid="{BEA7EC0A-BA42-4CF3-A32E-EA79BF24803C}" name="Column6958"/>
    <tableColumn id="6959" xr3:uid="{60995E6E-AF2E-42BB-9928-4AC99E66156A}" name="Column6959"/>
    <tableColumn id="6960" xr3:uid="{0BB8D650-B5A5-4E6A-99D9-DF8EC4D9BB16}" name="Column6960"/>
    <tableColumn id="6961" xr3:uid="{97E52A74-113D-4A76-AAD5-898E69B64CEA}" name="Column6961"/>
    <tableColumn id="6962" xr3:uid="{F4A388C7-27F9-4DC4-AACF-1296F9F9C110}" name="Column6962"/>
    <tableColumn id="6963" xr3:uid="{FBA26AA9-CA22-479D-ABE6-171A1E81356B}" name="Column6963"/>
    <tableColumn id="6964" xr3:uid="{998E2812-1B63-48D5-BED8-85ED1022CBA1}" name="Column6964"/>
    <tableColumn id="6965" xr3:uid="{0709D272-4E12-4BD7-9958-677C9C176B27}" name="Column6965"/>
    <tableColumn id="6966" xr3:uid="{512966BD-B0C2-4C70-88DC-61899EAB8443}" name="Column6966"/>
    <tableColumn id="6967" xr3:uid="{60845FAD-8B4D-402B-B74E-8DA50C4C6B26}" name="Column6967"/>
    <tableColumn id="6968" xr3:uid="{A7EF0AE9-2E77-4478-B150-725A5FACC7DA}" name="Column6968"/>
    <tableColumn id="6969" xr3:uid="{F2CD5388-0178-40B9-BD47-81042B5A0463}" name="Column6969"/>
    <tableColumn id="6970" xr3:uid="{DCE9FF37-770D-4D3D-B420-719BF68C48ED}" name="Column6970"/>
    <tableColumn id="6971" xr3:uid="{960DB26D-400C-4404-97BA-1A21E7AFD8E1}" name="Column6971"/>
    <tableColumn id="6972" xr3:uid="{6F369D3A-629D-4381-A13B-4F4E3C68CCE3}" name="Column6972"/>
    <tableColumn id="6973" xr3:uid="{9ED6521A-003F-4AF6-9AED-384F581C3AF8}" name="Column6973"/>
    <tableColumn id="6974" xr3:uid="{753EC5F9-B525-49FE-8516-F0B38FA3E0EB}" name="Column6974"/>
    <tableColumn id="6975" xr3:uid="{C088259D-0799-4215-81E5-B7A5311F8A15}" name="Column6975"/>
    <tableColumn id="6976" xr3:uid="{E3F033C4-955B-4BE1-BFD8-BD8D00D28C8F}" name="Column6976"/>
    <tableColumn id="6977" xr3:uid="{AF02F137-F5D5-4D2E-BD84-04F26A674CA6}" name="Column6977"/>
    <tableColumn id="6978" xr3:uid="{A835E821-FC41-40BF-BBEB-F60346F33565}" name="Column6978"/>
    <tableColumn id="6979" xr3:uid="{C23D23C9-6274-4FEC-B14B-F931A5C17334}" name="Column6979"/>
    <tableColumn id="6980" xr3:uid="{30BBFADC-316D-4E50-A541-70F58398C7F6}" name="Column6980"/>
    <tableColumn id="6981" xr3:uid="{BCFD285C-EF25-4762-881C-C05B905D7DFE}" name="Column6981"/>
    <tableColumn id="6982" xr3:uid="{68D5FF47-0189-4B39-99D8-387A301E69CE}" name="Column6982"/>
    <tableColumn id="6983" xr3:uid="{D4C8744E-66D8-4911-AA0C-7A03B252E175}" name="Column6983"/>
    <tableColumn id="6984" xr3:uid="{1B8F7A46-5632-4BA6-B682-AE8AA8A4760C}" name="Column6984"/>
    <tableColumn id="6985" xr3:uid="{1D562AA1-E9CD-4351-9A3E-F2B4C08F5B90}" name="Column6985"/>
    <tableColumn id="6986" xr3:uid="{9AD79389-C43B-41E8-8227-48C1FB40CECE}" name="Column6986"/>
    <tableColumn id="6987" xr3:uid="{5349B38C-F744-4C98-90BB-A599433CB60E}" name="Column6987"/>
    <tableColumn id="6988" xr3:uid="{E9DA86DE-798B-448C-A0E2-E53E66B6B530}" name="Column6988"/>
    <tableColumn id="6989" xr3:uid="{BDD832E5-5E51-43CF-8361-AEE4750FEAFC}" name="Column6989"/>
    <tableColumn id="6990" xr3:uid="{6C915BDE-B7EA-4C33-BE61-2CC3489A31C5}" name="Column6990"/>
    <tableColumn id="6991" xr3:uid="{0B72A8A6-18AF-4B3E-B5BA-1BFF14745EB8}" name="Column6991"/>
    <tableColumn id="6992" xr3:uid="{EBEE19FF-8682-43F8-AC43-0394EE39A127}" name="Column6992"/>
    <tableColumn id="6993" xr3:uid="{C557AEAC-1192-4245-A951-FB4503C48600}" name="Column6993"/>
    <tableColumn id="6994" xr3:uid="{086FEF82-BE04-4844-A87D-831B67D4C421}" name="Column6994"/>
    <tableColumn id="6995" xr3:uid="{99DF2167-740A-4A76-87F2-451A51A50136}" name="Column6995"/>
    <tableColumn id="6996" xr3:uid="{932A51AC-4EB8-402D-AADF-EF17747FFC20}" name="Column6996"/>
    <tableColumn id="6997" xr3:uid="{70206469-BAA0-4D81-B8ED-C6B344B70E46}" name="Column6997"/>
    <tableColumn id="6998" xr3:uid="{403F9B96-42AC-4087-8E3A-D21484BBD0C8}" name="Column6998"/>
    <tableColumn id="6999" xr3:uid="{B177C93E-2913-44BB-AB63-47C3C41EC286}" name="Column6999"/>
    <tableColumn id="7000" xr3:uid="{5F7930DF-8891-4292-84E0-106436604B52}" name="Column7000"/>
    <tableColumn id="7001" xr3:uid="{91428384-0EAA-4401-8549-27832CC64B01}" name="Column7001"/>
    <tableColumn id="7002" xr3:uid="{F9B2C737-93F1-439C-AF02-1DD38DF0D218}" name="Column7002"/>
    <tableColumn id="7003" xr3:uid="{4478BC66-3B7E-438D-B020-B9867921370A}" name="Column7003"/>
    <tableColumn id="7004" xr3:uid="{26DF66B5-93A5-47CE-B274-0976F0A028EF}" name="Column7004"/>
    <tableColumn id="7005" xr3:uid="{6CCB7DC7-412D-49D6-9700-C6DBF5ACC8D1}" name="Column7005"/>
    <tableColumn id="7006" xr3:uid="{63792BAE-B698-4E60-BC80-821309B95A1F}" name="Column7006"/>
    <tableColumn id="7007" xr3:uid="{CF2087D2-9E67-4AC2-86F0-CE92BA4C291F}" name="Column7007"/>
    <tableColumn id="7008" xr3:uid="{49FEB735-33EF-4B67-AE3C-B8A323FB9539}" name="Column7008"/>
    <tableColumn id="7009" xr3:uid="{C10D6B2D-98DE-45D1-BD07-70B9B4F728FE}" name="Column7009"/>
    <tableColumn id="7010" xr3:uid="{D8FFF82B-6E8A-4CE7-9BEC-17E368D8C2CD}" name="Column7010"/>
    <tableColumn id="7011" xr3:uid="{4E5929DA-2D8C-4ED6-8CB8-626C60140BF9}" name="Column7011"/>
    <tableColumn id="7012" xr3:uid="{0E8C516B-4AD0-4D91-8E92-4E175EFC69BE}" name="Column7012"/>
    <tableColumn id="7013" xr3:uid="{0590A3B7-37E9-4E31-AD2C-1FF3B04DF856}" name="Column7013"/>
    <tableColumn id="7014" xr3:uid="{ACAF354E-1726-4CDA-8EE9-7746D29D7AA6}" name="Column7014"/>
    <tableColumn id="7015" xr3:uid="{E3DFDF49-7319-4BAC-8AAE-1F4968377B89}" name="Column7015"/>
    <tableColumn id="7016" xr3:uid="{5F012E58-F848-4357-BEFF-95CEC8B7B2C8}" name="Column7016"/>
    <tableColumn id="7017" xr3:uid="{A63F7C68-943C-4923-9DA3-13587CE8B4CA}" name="Column7017"/>
    <tableColumn id="7018" xr3:uid="{79339818-2546-4A62-A421-B9567B3D51A3}" name="Column7018"/>
    <tableColumn id="7019" xr3:uid="{A9BFAE06-6CFB-4473-865E-C13FE8C3E2CF}" name="Column7019"/>
    <tableColumn id="7020" xr3:uid="{D0B9AABA-A62F-45C4-89CB-FDC439994E0C}" name="Column7020"/>
    <tableColumn id="7021" xr3:uid="{38F74DD4-5F20-4C97-AFEC-80A5E6F122CD}" name="Column7021"/>
    <tableColumn id="7022" xr3:uid="{5531FA7A-0C88-459D-B29B-B8FE3F5E7249}" name="Column7022"/>
    <tableColumn id="7023" xr3:uid="{99ABB6A0-4A7A-4229-BDAC-A3A0A1DF3FA1}" name="Column7023"/>
    <tableColumn id="7024" xr3:uid="{CADFC4E4-0AC9-48BB-9297-15AD067AC3A1}" name="Column7024"/>
    <tableColumn id="7025" xr3:uid="{49D839FE-A505-4092-87E5-24C45A103B13}" name="Column7025"/>
    <tableColumn id="7026" xr3:uid="{704810DC-8444-4F8E-8937-43CE8F44A63E}" name="Column7026"/>
    <tableColumn id="7027" xr3:uid="{08C1A2DF-8244-46B5-8DEC-EFF24B22CEA9}" name="Column7027"/>
    <tableColumn id="7028" xr3:uid="{847C1E6C-A7CD-4FB4-BC63-3BB6500411B2}" name="Column7028"/>
    <tableColumn id="7029" xr3:uid="{E775BF1F-27F8-466E-A25E-9889398FE596}" name="Column7029"/>
    <tableColumn id="7030" xr3:uid="{C29D944F-1E4C-493C-9F0A-A7F97F35228E}" name="Column7030"/>
    <tableColumn id="7031" xr3:uid="{06AD3E88-9AB5-4C16-9404-29081296F62C}" name="Column7031"/>
    <tableColumn id="7032" xr3:uid="{41B1FB2F-8EFF-4627-BF25-D6FF2EBE6A5C}" name="Column7032"/>
    <tableColumn id="7033" xr3:uid="{24B814FC-7AB7-4867-A8CC-A2522E46DA91}" name="Column7033"/>
    <tableColumn id="7034" xr3:uid="{23274495-EC56-44F9-A9FF-45113FC2EF2C}" name="Column7034"/>
    <tableColumn id="7035" xr3:uid="{7BFB06CA-50C8-43A8-BCD5-2B693D716E82}" name="Column7035"/>
    <tableColumn id="7036" xr3:uid="{4339F035-177D-42AC-99CB-7778B7404A71}" name="Column7036"/>
    <tableColumn id="7037" xr3:uid="{CB2A28DB-DE7F-4FBF-B02C-DBD6A7E64C55}" name="Column7037"/>
    <tableColumn id="7038" xr3:uid="{FB7B69AE-8759-43A8-8A7E-8A735D477B1A}" name="Column7038"/>
    <tableColumn id="7039" xr3:uid="{5AA7F5AB-9854-4043-AB3E-D0EAE0265A7B}" name="Column7039"/>
    <tableColumn id="7040" xr3:uid="{D566072F-C0D5-474E-BB4D-4484A935FE27}" name="Column7040"/>
    <tableColumn id="7041" xr3:uid="{A166D07F-1DEF-40F0-80D3-ACEB678F74A6}" name="Column7041"/>
    <tableColumn id="7042" xr3:uid="{85900C69-08BA-44F2-99ED-E1BD9505969B}" name="Column7042"/>
    <tableColumn id="7043" xr3:uid="{DFF40F7E-602E-4F44-9F95-2F3F6D834562}" name="Column7043"/>
    <tableColumn id="7044" xr3:uid="{AF744638-425E-431B-B3EE-38A0FE2BBE22}" name="Column7044"/>
    <tableColumn id="7045" xr3:uid="{DED25718-92DE-413B-872C-C6B12B3D1A31}" name="Column7045"/>
    <tableColumn id="7046" xr3:uid="{F82DCBA7-D2A4-4A23-9EB5-60F46FA2B2C6}" name="Column7046"/>
    <tableColumn id="7047" xr3:uid="{8879DDAB-5652-4EEA-8EC2-088A147267C6}" name="Column7047"/>
    <tableColumn id="7048" xr3:uid="{1FD04D76-8843-428F-B35E-AEB602590A10}" name="Column7048"/>
    <tableColumn id="7049" xr3:uid="{DE608B8F-3C87-40CF-AD85-094AE9B24E93}" name="Column7049"/>
    <tableColumn id="7050" xr3:uid="{C5292574-5FF6-4707-9B41-A6C60BB772EF}" name="Column7050"/>
    <tableColumn id="7051" xr3:uid="{16D003D8-9B0B-4658-A27A-703AC9486CA1}" name="Column7051"/>
    <tableColumn id="7052" xr3:uid="{10F0A36B-51C2-44F9-B984-BA0C528BF992}" name="Column7052"/>
    <tableColumn id="7053" xr3:uid="{26DCCC2C-7BB4-4D5A-9800-AFC246176233}" name="Column7053"/>
    <tableColumn id="7054" xr3:uid="{E27C412B-D706-4D71-97B4-4E243BE6B3E2}" name="Column7054"/>
    <tableColumn id="7055" xr3:uid="{C31D7C67-A871-4FBF-A197-11C7A777EF10}" name="Column7055"/>
    <tableColumn id="7056" xr3:uid="{112BDC5E-EBC3-49F4-B032-6088C7011492}" name="Column7056"/>
    <tableColumn id="7057" xr3:uid="{0B8929A8-41F5-4A25-852C-8B7C28347496}" name="Column7057"/>
    <tableColumn id="7058" xr3:uid="{FFD07BD7-7693-4715-82E6-0AC5DC28FC80}" name="Column7058"/>
    <tableColumn id="7059" xr3:uid="{A2E381DB-EE37-4D96-A22A-333A8AC98C31}" name="Column7059"/>
    <tableColumn id="7060" xr3:uid="{83B0DA50-112A-48C5-A106-16A4A1506EAB}" name="Column7060"/>
    <tableColumn id="7061" xr3:uid="{24DE1F93-1BD2-490C-88FC-C7AA4C6D9210}" name="Column7061"/>
    <tableColumn id="7062" xr3:uid="{227D2DF3-A3CC-4BB5-9BEF-CE1B41D603A4}" name="Column7062"/>
    <tableColumn id="7063" xr3:uid="{86F05088-C3C4-4D7C-875F-009DB4FA72E3}" name="Column7063"/>
    <tableColumn id="7064" xr3:uid="{8DE02539-5221-4BB9-9BDE-5AF6E0911906}" name="Column7064"/>
    <tableColumn id="7065" xr3:uid="{1A67761B-4785-4F23-8B9D-99DCAED6C2C6}" name="Column7065"/>
    <tableColumn id="7066" xr3:uid="{9A39FEDF-8774-4149-8647-A3983E986C0F}" name="Column7066"/>
    <tableColumn id="7067" xr3:uid="{8A1B7F31-F515-4CA5-84B0-5A262E0D13A8}" name="Column7067"/>
    <tableColumn id="7068" xr3:uid="{CFEC126C-7017-4D59-8C8C-5C074C29E3E1}" name="Column7068"/>
    <tableColumn id="7069" xr3:uid="{70772189-30F9-4AD0-9003-94A71BADB1D8}" name="Column7069"/>
    <tableColumn id="7070" xr3:uid="{4DA7D526-1133-4EED-A61B-7B0316131725}" name="Column7070"/>
    <tableColumn id="7071" xr3:uid="{85F605D7-0786-4607-A68A-6751532892C0}" name="Column7071"/>
    <tableColumn id="7072" xr3:uid="{2F6299A4-3E18-48C7-AF17-6EE90A6A6264}" name="Column7072"/>
    <tableColumn id="7073" xr3:uid="{8396A2F0-8D75-4055-94DE-73B211544C1A}" name="Column7073"/>
    <tableColumn id="7074" xr3:uid="{83481EE7-0B18-4614-9F10-6F34F32FC472}" name="Column7074"/>
    <tableColumn id="7075" xr3:uid="{AFB2099D-4624-4404-B782-EF04F4C3BC81}" name="Column7075"/>
    <tableColumn id="7076" xr3:uid="{8D31B860-BC01-4629-A452-09273E301F84}" name="Column7076"/>
    <tableColumn id="7077" xr3:uid="{E85E8C58-06B9-4588-B69F-03C351385742}" name="Column7077"/>
    <tableColumn id="7078" xr3:uid="{3F49C38A-0CC0-4220-BB12-7CFA14CD45DB}" name="Column7078"/>
    <tableColumn id="7079" xr3:uid="{787D69CC-5BD0-4B49-8CED-D41DE5F9D71E}" name="Column7079"/>
    <tableColumn id="7080" xr3:uid="{5BFC2C16-93A3-4A1F-AEFD-95BA85CEEB1D}" name="Column7080"/>
    <tableColumn id="7081" xr3:uid="{EDAF58C4-EAA2-4051-AA1F-1D8DC2F5DE4D}" name="Column7081"/>
    <tableColumn id="7082" xr3:uid="{CC074EFF-3864-4CFC-90A1-87E7C8D9AA1A}" name="Column7082"/>
    <tableColumn id="7083" xr3:uid="{0202B9C5-2D20-47E1-AAEF-83863A9DBBD8}" name="Column7083"/>
    <tableColumn id="7084" xr3:uid="{ADDE86F8-D1EF-44E1-A4E4-CF5CB755651C}" name="Column7084"/>
    <tableColumn id="7085" xr3:uid="{1528A75A-4A70-4AE6-862C-817097EFB987}" name="Column7085"/>
    <tableColumn id="7086" xr3:uid="{4CF57DE7-B200-4591-A956-7BA96A4E3E66}" name="Column7086"/>
    <tableColumn id="7087" xr3:uid="{2D145A45-8555-49B4-AE20-0A811561C28E}" name="Column7087"/>
    <tableColumn id="7088" xr3:uid="{F664B0F4-C386-40CD-914D-2042D363EC8E}" name="Column7088"/>
    <tableColumn id="7089" xr3:uid="{60011EEF-FCB4-41F9-9828-6B17EC4C5E4E}" name="Column7089"/>
    <tableColumn id="7090" xr3:uid="{2D44564A-62DB-43E5-A413-FF8647078CE7}" name="Column7090"/>
    <tableColumn id="7091" xr3:uid="{14930DEA-01B3-4F06-A40F-73408D70B2D3}" name="Column7091"/>
    <tableColumn id="7092" xr3:uid="{46D13FF6-3562-4FD2-AD14-13ABB46BB073}" name="Column7092"/>
    <tableColumn id="7093" xr3:uid="{F13EA5E1-E233-40B7-9438-FABC26B8DF6D}" name="Column7093"/>
    <tableColumn id="7094" xr3:uid="{E6B8ED49-4BD0-4A89-B22A-97848535F94B}" name="Column7094"/>
    <tableColumn id="7095" xr3:uid="{5408994F-0BB0-4C05-8456-904F68D76EDD}" name="Column7095"/>
    <tableColumn id="7096" xr3:uid="{44894FC4-F2BD-40F5-BA6E-A76DBD9BE8EC}" name="Column7096"/>
    <tableColumn id="7097" xr3:uid="{4161D9F0-BF15-4523-996F-82A722442EAB}" name="Column7097"/>
    <tableColumn id="7098" xr3:uid="{99C1C3E4-5CBA-4FD4-B585-2B56C5681374}" name="Column7098"/>
    <tableColumn id="7099" xr3:uid="{3C8573AB-D3AE-4E54-B204-7848E2F84539}" name="Column7099"/>
    <tableColumn id="7100" xr3:uid="{8D85BC11-B758-4485-9EA5-ABE76A1590C2}" name="Column7100"/>
    <tableColumn id="7101" xr3:uid="{CF91FF01-460B-4389-BCFB-090DEC35014F}" name="Column7101"/>
    <tableColumn id="7102" xr3:uid="{287A6A3A-1597-43FC-B2C3-A4A54ACCF91A}" name="Column7102"/>
    <tableColumn id="7103" xr3:uid="{393EB3E4-5DDC-4E7E-B9A8-DBFBC7B83D48}" name="Column7103"/>
    <tableColumn id="7104" xr3:uid="{8806BD10-FABC-4BA6-914C-F3510682B510}" name="Column7104"/>
    <tableColumn id="7105" xr3:uid="{F5344E35-701F-4761-B6FB-71B80D135C1F}" name="Column7105"/>
    <tableColumn id="7106" xr3:uid="{98B5A1D6-5025-4DE3-87D7-3EF64628C102}" name="Column7106"/>
    <tableColumn id="7107" xr3:uid="{A721A70F-9457-4D2C-AD6D-4838040F9B5A}" name="Column7107"/>
    <tableColumn id="7108" xr3:uid="{AB872E13-CCB7-4D07-8239-CEF54C8F101B}" name="Column7108"/>
    <tableColumn id="7109" xr3:uid="{4081575D-3A86-42E2-9814-87FF3285CAA1}" name="Column7109"/>
    <tableColumn id="7110" xr3:uid="{1BA09486-9AEA-4D1A-9765-6F43CA30AB4F}" name="Column7110"/>
    <tableColumn id="7111" xr3:uid="{89F620F8-F5D9-499A-9681-7C35B6003335}" name="Column7111"/>
    <tableColumn id="7112" xr3:uid="{A6D19CD6-0096-4641-A320-3081EB218342}" name="Column7112"/>
    <tableColumn id="7113" xr3:uid="{334533B0-3AEC-4F4D-8D9B-6BFA6242DE15}" name="Column7113"/>
    <tableColumn id="7114" xr3:uid="{B2B1E296-326C-499B-A589-5FF845B0C21C}" name="Column7114"/>
    <tableColumn id="7115" xr3:uid="{102E79C1-AC44-4764-B3D5-9AAEA25F5272}" name="Column7115"/>
    <tableColumn id="7116" xr3:uid="{40B1D429-3D7C-4261-96C3-E287A8529A34}" name="Column7116"/>
    <tableColumn id="7117" xr3:uid="{29D2C4CE-4080-411D-BF08-3F126808BF66}" name="Column7117"/>
    <tableColumn id="7118" xr3:uid="{0EF593ED-1161-40BA-863B-9342FFA16C03}" name="Column7118"/>
    <tableColumn id="7119" xr3:uid="{3C8637D4-3C4C-4943-9328-E54923D73C00}" name="Column7119"/>
    <tableColumn id="7120" xr3:uid="{97AB9738-F835-4B25-BC7C-63AF7AF95009}" name="Column7120"/>
    <tableColumn id="7121" xr3:uid="{AE1BD2AC-C4F1-41CD-82AF-AECC16F294EF}" name="Column7121"/>
    <tableColumn id="7122" xr3:uid="{2C56159E-7C57-42DF-A074-F0E098A43C4C}" name="Column7122"/>
    <tableColumn id="7123" xr3:uid="{29249D26-3428-4B21-A9A0-E1ABCD3322CC}" name="Column7123"/>
    <tableColumn id="7124" xr3:uid="{E446361E-A112-40C4-AA15-39A6F92EB89A}" name="Column7124"/>
    <tableColumn id="7125" xr3:uid="{740B4731-6295-4913-B606-B87B3B311314}" name="Column7125"/>
    <tableColumn id="7126" xr3:uid="{6C7BBEF3-699F-4532-A7BC-3E318A1A9249}" name="Column7126"/>
    <tableColumn id="7127" xr3:uid="{5292D5F9-1424-4BD5-8C74-117EEC9FD78D}" name="Column7127"/>
    <tableColumn id="7128" xr3:uid="{A3D37325-8C50-42F6-9D5C-677ABB6EE686}" name="Column7128"/>
    <tableColumn id="7129" xr3:uid="{AE10A015-7A22-4ABE-9431-4E4EDC2C2EA3}" name="Column7129"/>
    <tableColumn id="7130" xr3:uid="{F7B7A78A-EE4C-4E03-A2B3-EBD669725B8F}" name="Column7130"/>
    <tableColumn id="7131" xr3:uid="{59614329-A28A-48F8-81C6-C8C3EB47669A}" name="Column7131"/>
    <tableColumn id="7132" xr3:uid="{E0F2018C-53E8-4FD5-98D0-96B8FDD1EAD7}" name="Column7132"/>
    <tableColumn id="7133" xr3:uid="{5C8337A2-A7BF-4063-8549-C818E49438CD}" name="Column7133"/>
    <tableColumn id="7134" xr3:uid="{26FA5CB6-D338-468E-BCB4-A74858443E3F}" name="Column7134"/>
    <tableColumn id="7135" xr3:uid="{4B0B3D66-37F2-465E-A69E-3DD4329FE87B}" name="Column7135"/>
    <tableColumn id="7136" xr3:uid="{5CE10BED-0F00-4938-846A-FACB2430117E}" name="Column7136"/>
    <tableColumn id="7137" xr3:uid="{DAA52451-6653-499E-B434-0C8AD3DFF59A}" name="Column7137"/>
    <tableColumn id="7138" xr3:uid="{4ACC7A7E-2843-48C0-A168-9BB6CC10233A}" name="Column7138"/>
    <tableColumn id="7139" xr3:uid="{62764D6D-3CBC-4C5C-8A8F-4B56BB948118}" name="Column7139"/>
    <tableColumn id="7140" xr3:uid="{92DD2237-9E6A-4714-9C72-F5DF4CA40935}" name="Column7140"/>
    <tableColumn id="7141" xr3:uid="{2CAD9A9B-19A9-4B5C-A15D-E048797D7A88}" name="Column7141"/>
    <tableColumn id="7142" xr3:uid="{757DD79A-00F5-405C-8ECE-D4253C196192}" name="Column7142"/>
    <tableColumn id="7143" xr3:uid="{8B1AAA15-37A7-4512-8E68-41DC49B48207}" name="Column7143"/>
    <tableColumn id="7144" xr3:uid="{9B066FEC-B1B3-4634-AEE4-D2A9BE2C4C16}" name="Column7144"/>
    <tableColumn id="7145" xr3:uid="{091BAD83-14F8-4C47-8180-4DCB7ECB4C32}" name="Column7145"/>
    <tableColumn id="7146" xr3:uid="{BAE92D7C-2A0A-47D1-B89F-3F182445AF43}" name="Column7146"/>
    <tableColumn id="7147" xr3:uid="{79F1E865-0A98-4B7D-BC4C-D82A4ED04F16}" name="Column7147"/>
    <tableColumn id="7148" xr3:uid="{ADF8BF62-9B30-40F7-900A-102037580491}" name="Column7148"/>
    <tableColumn id="7149" xr3:uid="{568E4ED4-8A91-479F-94EF-CED7B903322E}" name="Column7149"/>
    <tableColumn id="7150" xr3:uid="{878722E7-0F2A-49AC-A2C5-98AB4494101E}" name="Column7150"/>
    <tableColumn id="7151" xr3:uid="{FB84DB51-0B22-4FAB-BADA-368BA65AC65B}" name="Column7151"/>
    <tableColumn id="7152" xr3:uid="{DAD57571-798E-475F-8E38-5959AC23E5D6}" name="Column7152"/>
    <tableColumn id="7153" xr3:uid="{2EEA6B52-EC93-4ED7-98C2-567204E3676E}" name="Column7153"/>
    <tableColumn id="7154" xr3:uid="{E7126B4B-7F45-4E06-B74F-8E289A9B4EAA}" name="Column7154"/>
    <tableColumn id="7155" xr3:uid="{E6F806DF-6A26-4339-9A98-74E1654442AA}" name="Column7155"/>
    <tableColumn id="7156" xr3:uid="{88D1CFA5-C348-49EC-A53A-266EFCB10A0C}" name="Column7156"/>
    <tableColumn id="7157" xr3:uid="{EB6C51A5-1DEE-4785-B4C6-3559CC4E4CDB}" name="Column7157"/>
    <tableColumn id="7158" xr3:uid="{9975B918-DE07-47D6-8C1D-86F07420FC5D}" name="Column7158"/>
    <tableColumn id="7159" xr3:uid="{D846B0A3-7C53-4DA6-906F-CAB9B861DDA3}" name="Column7159"/>
    <tableColumn id="7160" xr3:uid="{96A36B1A-191C-45FF-8A2D-1007CA15415F}" name="Column7160"/>
    <tableColumn id="7161" xr3:uid="{1CD5816A-4C11-4D3E-A16E-9CBBD6977A03}" name="Column7161"/>
    <tableColumn id="7162" xr3:uid="{975ED8D7-5CA7-4E9D-9681-6CAFB1696D4A}" name="Column7162"/>
    <tableColumn id="7163" xr3:uid="{4CE2D277-D702-4BFD-BAE4-471BBD8E6118}" name="Column7163"/>
    <tableColumn id="7164" xr3:uid="{2F198984-A253-4545-A8A8-F4406CAAC5E4}" name="Column7164"/>
    <tableColumn id="7165" xr3:uid="{0EBBA408-0264-4D5D-8B4A-3F185CD08057}" name="Column7165"/>
    <tableColumn id="7166" xr3:uid="{9C3F384B-F57D-4CBD-99F1-B32323EF3E0A}" name="Column7166"/>
    <tableColumn id="7167" xr3:uid="{0ADEA046-5390-4EF4-BA5E-B1AD5C545C2F}" name="Column7167"/>
    <tableColumn id="7168" xr3:uid="{A14CE479-F4EE-497B-84F2-3E80B9B2BEFB}" name="Column7168"/>
    <tableColumn id="7169" xr3:uid="{B8614F01-DE40-4880-98EC-790BB7514336}" name="Column7169"/>
    <tableColumn id="7170" xr3:uid="{63CC2405-230B-4DA3-886B-AEDFA579725B}" name="Column7170"/>
    <tableColumn id="7171" xr3:uid="{A0E4EE8F-567C-4989-8BF4-65C3BB9E777B}" name="Column7171"/>
    <tableColumn id="7172" xr3:uid="{5619DE3E-18C4-4FA6-9915-B03AE988C02C}" name="Column7172"/>
    <tableColumn id="7173" xr3:uid="{8F2DE914-DDA5-4721-A414-E10AABEC17F5}" name="Column7173"/>
    <tableColumn id="7174" xr3:uid="{05901774-E619-4976-A986-89AF5161AB23}" name="Column7174"/>
    <tableColumn id="7175" xr3:uid="{5BD08FC6-B9EA-4794-809B-4B7534DB3E01}" name="Column7175"/>
    <tableColumn id="7176" xr3:uid="{4E3CD095-CCB0-4D2F-9B58-B6942985A28D}" name="Column7176"/>
    <tableColumn id="7177" xr3:uid="{61FA36D4-D7C0-4BFA-8E2F-01766BB1B763}" name="Column7177"/>
    <tableColumn id="7178" xr3:uid="{52557CDF-4DDE-4FB9-8BD5-9BE5A62ADC86}" name="Column7178"/>
    <tableColumn id="7179" xr3:uid="{FA0FABC5-5E00-432D-B691-40F140644443}" name="Column7179"/>
    <tableColumn id="7180" xr3:uid="{3BFE5C0A-4B78-428C-BD27-6420A61B6A73}" name="Column7180"/>
    <tableColumn id="7181" xr3:uid="{C463A5BD-E935-4859-BD9C-C006995D91C2}" name="Column7181"/>
    <tableColumn id="7182" xr3:uid="{7F7006A1-B0F8-4948-8C72-77B2985A82CC}" name="Column7182"/>
    <tableColumn id="7183" xr3:uid="{4A7E1136-1054-40E3-978F-3F12AECB4B54}" name="Column7183"/>
    <tableColumn id="7184" xr3:uid="{F920C3BD-445F-4635-B944-0C050F95DA35}" name="Column7184"/>
    <tableColumn id="7185" xr3:uid="{DE24A88F-0D68-4EDD-A7D0-04F2595752AE}" name="Column7185"/>
    <tableColumn id="7186" xr3:uid="{BC5910D9-237A-4197-AD64-C91062A15A56}" name="Column7186"/>
    <tableColumn id="7187" xr3:uid="{E0E3017D-BE75-4A3E-BFB9-3AB3B26916E4}" name="Column7187"/>
    <tableColumn id="7188" xr3:uid="{CD1CD2A3-399F-4C52-9FEE-8A43792EB398}" name="Column7188"/>
    <tableColumn id="7189" xr3:uid="{663606AB-08CF-4062-AFA0-914B7CF6B8CC}" name="Column7189"/>
    <tableColumn id="7190" xr3:uid="{489E025F-A64E-46BE-81AF-05D19AF8E37B}" name="Column7190"/>
    <tableColumn id="7191" xr3:uid="{BE1B9260-146D-44EE-84D5-D604936C8522}" name="Column7191"/>
    <tableColumn id="7192" xr3:uid="{CE651D8C-D5D2-4B27-9BB4-19F53DD366C8}" name="Column7192"/>
    <tableColumn id="7193" xr3:uid="{7474B5CD-EA07-4FA7-A866-E2EDA93E7F06}" name="Column7193"/>
    <tableColumn id="7194" xr3:uid="{F0A56015-085B-44C0-B2F7-948DA63B1563}" name="Column7194"/>
    <tableColumn id="7195" xr3:uid="{1034CB47-393A-4B97-88AD-4CDE2BEDD60E}" name="Column7195"/>
    <tableColumn id="7196" xr3:uid="{FEFBDC90-19F0-4A70-8C7F-6F454A47C68A}" name="Column7196"/>
    <tableColumn id="7197" xr3:uid="{CBF321E4-78F8-4890-A450-C2977E6B05EA}" name="Column7197"/>
    <tableColumn id="7198" xr3:uid="{F7B6A183-7062-4831-A392-A73BDEDF89CD}" name="Column7198"/>
    <tableColumn id="7199" xr3:uid="{706613A9-F2DC-4068-A57A-347CC3A79BCE}" name="Column7199"/>
    <tableColumn id="7200" xr3:uid="{1119697D-D3FA-466F-8C55-7312894485FE}" name="Column7200"/>
    <tableColumn id="7201" xr3:uid="{0895EF71-89F4-48CD-AE87-86D7BC117C56}" name="Column7201"/>
    <tableColumn id="7202" xr3:uid="{4BA0B659-085C-46B4-A5AA-581A2FE4CA3A}" name="Column7202"/>
    <tableColumn id="7203" xr3:uid="{BAD8E4CC-DB37-4534-B9CD-6C791DFE9A28}" name="Column7203"/>
    <tableColumn id="7204" xr3:uid="{07B3F208-0F34-425B-8FFD-A4A26D965FB5}" name="Column7204"/>
    <tableColumn id="7205" xr3:uid="{CFA1F177-B326-42B6-B960-5B703293F6B3}" name="Column7205"/>
    <tableColumn id="7206" xr3:uid="{52172B11-B1EF-4B41-86FA-2FFC28AF096D}" name="Column7206"/>
    <tableColumn id="7207" xr3:uid="{37D3DAF7-6629-4794-8D70-61C5B3CA303B}" name="Column7207"/>
    <tableColumn id="7208" xr3:uid="{058642CB-D625-4C4E-AB4D-D4FEE9CD8CFC}" name="Column7208"/>
    <tableColumn id="7209" xr3:uid="{04432F70-C561-461F-BDFE-ADF01BE869CF}" name="Column7209"/>
    <tableColumn id="7210" xr3:uid="{3B649307-5745-4640-A39B-7E3CB941CD6D}" name="Column7210"/>
    <tableColumn id="7211" xr3:uid="{76900392-C5DA-46D7-B802-7046343EE7D2}" name="Column7211"/>
    <tableColumn id="7212" xr3:uid="{0F99BD5E-678A-40CD-B990-619373ED6FA5}" name="Column7212"/>
    <tableColumn id="7213" xr3:uid="{B9ECE522-2B9B-4239-AB6F-BA8619AC226F}" name="Column7213"/>
    <tableColumn id="7214" xr3:uid="{798A3845-64B3-41D8-8EB8-FDF5FC0952CC}" name="Column7214"/>
    <tableColumn id="7215" xr3:uid="{CF79C3CF-F261-4FEE-909D-2CFEA6ED834D}" name="Column7215"/>
    <tableColumn id="7216" xr3:uid="{963A3C9C-0AEE-4ADB-9F74-6A4A5DA512D8}" name="Column7216"/>
    <tableColumn id="7217" xr3:uid="{32ABFA13-3632-4755-BA37-C18B9E2C2D5F}" name="Column7217"/>
    <tableColumn id="7218" xr3:uid="{DD605FFA-31BE-43A5-B142-ED026CE72039}" name="Column7218"/>
    <tableColumn id="7219" xr3:uid="{10237D55-CE9E-4C69-94D5-ED8F92CD25FF}" name="Column7219"/>
    <tableColumn id="7220" xr3:uid="{75D03354-9809-42BE-B995-EEFFFEF297FB}" name="Column7220"/>
    <tableColumn id="7221" xr3:uid="{861C548A-2898-4169-B0BC-8A277D194C83}" name="Column7221"/>
    <tableColumn id="7222" xr3:uid="{62F16ED3-9914-4041-8D22-8B32BB5E2C3E}" name="Column7222"/>
    <tableColumn id="7223" xr3:uid="{EC1AD71A-E796-4617-89D0-C1DBA3CF8F10}" name="Column7223"/>
    <tableColumn id="7224" xr3:uid="{C9FFF3E7-835E-4D48-9D74-AE31E7BA4510}" name="Column7224"/>
    <tableColumn id="7225" xr3:uid="{ADA6EAB3-F648-4353-9154-B5ED441F370C}" name="Column7225"/>
    <tableColumn id="7226" xr3:uid="{F4622DCB-59C5-4699-A1F0-34DF311BF8D6}" name="Column7226"/>
    <tableColumn id="7227" xr3:uid="{1945F51A-B6B0-4AF3-8344-823BC5157348}" name="Column7227"/>
    <tableColumn id="7228" xr3:uid="{42A7E7E5-4E98-4B05-A21A-03D8F237ABD2}" name="Column7228"/>
    <tableColumn id="7229" xr3:uid="{CCFE21EC-9E73-40C0-B2EE-FD718F128F11}" name="Column7229"/>
    <tableColumn id="7230" xr3:uid="{89441E6E-236E-45AF-B66C-A2DB7FC762A8}" name="Column7230"/>
    <tableColumn id="7231" xr3:uid="{71F4D853-F030-4679-B7F9-B198C8FEA4F8}" name="Column7231"/>
    <tableColumn id="7232" xr3:uid="{54EC7137-2BE7-4028-8D3F-D3DAA92FC678}" name="Column7232"/>
    <tableColumn id="7233" xr3:uid="{AA7DE61C-73AD-48E3-A0E1-0DA279C12DFB}" name="Column7233"/>
    <tableColumn id="7234" xr3:uid="{7DC9C753-FC51-47EF-964A-7FBAD93BB70A}" name="Column7234"/>
    <tableColumn id="7235" xr3:uid="{228AFBC0-846A-4328-8685-C2AB5A74405F}" name="Column7235"/>
    <tableColumn id="7236" xr3:uid="{E06D722E-C41C-4068-B9EC-63231FE84013}" name="Column7236"/>
    <tableColumn id="7237" xr3:uid="{FD1C3868-3F5B-44F0-90F0-8F8F6C3242C6}" name="Column7237"/>
    <tableColumn id="7238" xr3:uid="{D70C0203-9C8E-4B27-BA06-CE686ED519C8}" name="Column7238"/>
    <tableColumn id="7239" xr3:uid="{22C613DF-7ED0-4560-8E75-A77527F99929}" name="Column7239"/>
    <tableColumn id="7240" xr3:uid="{60922CAC-4704-4A6C-97D3-88281B8AFADD}" name="Column7240"/>
    <tableColumn id="7241" xr3:uid="{6CB23DD8-E0A4-4D0B-BE92-5EEC6ADF3F7F}" name="Column7241"/>
    <tableColumn id="7242" xr3:uid="{E68395ED-4EEF-4EED-A62E-4CC881FA9CB2}" name="Column7242"/>
    <tableColumn id="7243" xr3:uid="{B14F8A7A-F045-406A-9F65-DD4346526B9D}" name="Column7243"/>
    <tableColumn id="7244" xr3:uid="{42156E30-8DE7-42BD-826C-12B2BC19685B}" name="Column7244"/>
    <tableColumn id="7245" xr3:uid="{3555CC0E-47F6-46E0-A095-E79673784072}" name="Column7245"/>
    <tableColumn id="7246" xr3:uid="{ACCEF863-281C-42FB-BCD8-928B074D3B8F}" name="Column7246"/>
    <tableColumn id="7247" xr3:uid="{BA8DD103-3B1D-4A40-A086-582A08565CDC}" name="Column7247"/>
    <tableColumn id="7248" xr3:uid="{8909974F-BE36-4CE8-87D3-B0473F0B2919}" name="Column7248"/>
    <tableColumn id="7249" xr3:uid="{ED27DC95-E640-432D-BB4F-5475FF296767}" name="Column7249"/>
    <tableColumn id="7250" xr3:uid="{3832D955-C9AA-442F-9779-DC69C74BA0B6}" name="Column7250"/>
    <tableColumn id="7251" xr3:uid="{86A4FA41-8EEC-40A4-A166-0E2E4580699B}" name="Column7251"/>
    <tableColumn id="7252" xr3:uid="{D9EA1230-4F13-41FF-8E58-2266E335797E}" name="Column7252"/>
    <tableColumn id="7253" xr3:uid="{603D2B8F-F7C8-46A6-AFBB-DAE4D9D6E0D2}" name="Column7253"/>
    <tableColumn id="7254" xr3:uid="{140C275B-AACE-4F12-96F0-97C414CB54F3}" name="Column7254"/>
    <tableColumn id="7255" xr3:uid="{C09160F1-827B-4B59-90A5-2F8D5F99ADD8}" name="Column7255"/>
    <tableColumn id="7256" xr3:uid="{B02910F4-7C7C-441F-9F30-020C6483FF52}" name="Column7256"/>
    <tableColumn id="7257" xr3:uid="{186F5152-6BB5-4F86-A064-AFEA92F0633F}" name="Column7257"/>
    <tableColumn id="7258" xr3:uid="{0EE7CC95-B988-4A51-B8BE-4D2716B094F9}" name="Column7258"/>
    <tableColumn id="7259" xr3:uid="{403D2CB4-50B0-476F-98D1-A133DF824954}" name="Column7259"/>
    <tableColumn id="7260" xr3:uid="{456C2F12-44D8-4A3C-B37A-82B8EF9D6A05}" name="Column7260"/>
    <tableColumn id="7261" xr3:uid="{36842327-429D-4C91-8098-C46B713A54C3}" name="Column7261"/>
    <tableColumn id="7262" xr3:uid="{DD0ADE87-F438-4DB0-9564-81DF3F89A864}" name="Column7262"/>
    <tableColumn id="7263" xr3:uid="{6F83107E-8BAA-47B4-A8E1-A27FF5F7A45F}" name="Column7263"/>
    <tableColumn id="7264" xr3:uid="{D86E347E-5EBA-4F7F-8810-AB7C0BCD03AD}" name="Column7264"/>
    <tableColumn id="7265" xr3:uid="{F480C5FA-10CD-4DC7-A0A7-056541B31053}" name="Column7265"/>
    <tableColumn id="7266" xr3:uid="{2B3CE2E5-8E71-4A24-8C81-206CE08B1844}" name="Column7266"/>
    <tableColumn id="7267" xr3:uid="{53DC26CA-9E2C-4DB4-87B1-D1A82E8141E4}" name="Column7267"/>
    <tableColumn id="7268" xr3:uid="{EE244FEA-7DB0-474D-866E-80AF2D8FA2CA}" name="Column7268"/>
    <tableColumn id="7269" xr3:uid="{A53D1387-ECF5-4F38-A7AB-C77D3AA477A8}" name="Column7269"/>
    <tableColumn id="7270" xr3:uid="{9E4CD631-F4CE-477C-AD5B-FE5947FEEC56}" name="Column7270"/>
    <tableColumn id="7271" xr3:uid="{B58A94DA-58B2-4CF8-B87B-98CC9AFCC40D}" name="Column7271"/>
    <tableColumn id="7272" xr3:uid="{19029C2B-DEC7-4930-B1FA-F9499750298F}" name="Column7272"/>
    <tableColumn id="7273" xr3:uid="{F2F8DF41-845E-4E66-BD19-DB877E2BBBEA}" name="Column7273"/>
    <tableColumn id="7274" xr3:uid="{324471A7-C92C-46C3-B351-2533D0EDCBCF}" name="Column7274"/>
    <tableColumn id="7275" xr3:uid="{D6121A0C-82D3-4DE3-A45D-0A664981E437}" name="Column7275"/>
    <tableColumn id="7276" xr3:uid="{D3D4C461-B61C-4A87-933F-B5F9BA048286}" name="Column7276"/>
    <tableColumn id="7277" xr3:uid="{C7AEEA21-B01F-44AA-BAF7-C4DD51ACACEE}" name="Column7277"/>
    <tableColumn id="7278" xr3:uid="{0E8BEB5A-8002-4FDA-B99E-679D34195BE1}" name="Column7278"/>
    <tableColumn id="7279" xr3:uid="{DB27E040-4615-4755-A255-D83E5FD671B4}" name="Column7279"/>
    <tableColumn id="7280" xr3:uid="{9E49658B-85A8-4364-93B7-44BCED7B54E5}" name="Column7280"/>
    <tableColumn id="7281" xr3:uid="{860BBFBF-8503-43EE-ACC4-B271F469C471}" name="Column7281"/>
    <tableColumn id="7282" xr3:uid="{A4780318-78EC-4B6A-8D26-5495BCAC1B2C}" name="Column7282"/>
    <tableColumn id="7283" xr3:uid="{06506F82-CD9D-493B-BFCA-7207980F317C}" name="Column7283"/>
    <tableColumn id="7284" xr3:uid="{76DC3B29-381D-4B0D-A57A-F5B9467F4E9A}" name="Column7284"/>
    <tableColumn id="7285" xr3:uid="{789C6E33-8396-4933-8FAF-5DFA244BCCA8}" name="Column7285"/>
    <tableColumn id="7286" xr3:uid="{2B2B98A3-F5CC-45DC-8AF5-C0A4F60AA5DF}" name="Column7286"/>
    <tableColumn id="7287" xr3:uid="{F5510939-BBD6-43BD-A750-640F87790175}" name="Column7287"/>
    <tableColumn id="7288" xr3:uid="{3FF8FE5B-EE18-4796-B4CF-F8A7A908287D}" name="Column7288"/>
    <tableColumn id="7289" xr3:uid="{0367CC84-2357-4B96-89B7-A7EAD2F345C7}" name="Column7289"/>
    <tableColumn id="7290" xr3:uid="{A354078D-7B48-4FE1-9DB3-369664E25631}" name="Column7290"/>
    <tableColumn id="7291" xr3:uid="{5897F9BD-391F-4227-B04A-4E845CC4AD78}" name="Column7291"/>
    <tableColumn id="7292" xr3:uid="{8A7890A5-C119-4B17-8866-33F85243F3CA}" name="Column7292"/>
    <tableColumn id="7293" xr3:uid="{9FD6782D-C6BC-467B-8B68-C1CBE71209F0}" name="Column7293"/>
    <tableColumn id="7294" xr3:uid="{7A0FFBDA-0BA3-4A5D-9E1A-2FFAABF08BFD}" name="Column7294"/>
    <tableColumn id="7295" xr3:uid="{FEE3D384-8987-48DE-ACC2-BE9B511CE09D}" name="Column7295"/>
    <tableColumn id="7296" xr3:uid="{C7E4FF4C-105A-4024-BBF3-68FF81000869}" name="Column7296"/>
    <tableColumn id="7297" xr3:uid="{9EA50507-9DBF-4FF3-B992-266F8BD56808}" name="Column7297"/>
    <tableColumn id="7298" xr3:uid="{F8DD05AC-5A5C-471A-879C-CC7B234F6E5C}" name="Column7298"/>
    <tableColumn id="7299" xr3:uid="{2B61F4C9-A1C1-4DEC-934E-02C9E3573173}" name="Column7299"/>
    <tableColumn id="7300" xr3:uid="{B316F865-282B-42E0-AEA4-389CFA9ABD26}" name="Column7300"/>
    <tableColumn id="7301" xr3:uid="{477C8797-625F-4A67-84A2-E6643002F556}" name="Column7301"/>
    <tableColumn id="7302" xr3:uid="{4E4EBA31-2275-4C15-BDC4-4D739B1FC5B8}" name="Column7302"/>
    <tableColumn id="7303" xr3:uid="{1A7C6EA5-2981-4A08-A50D-892F4EC226EF}" name="Column7303"/>
    <tableColumn id="7304" xr3:uid="{50DE8C85-4A68-4558-8739-665FD0DD45AF}" name="Column7304"/>
    <tableColumn id="7305" xr3:uid="{290E32BE-63D6-4991-9A3D-C43576253C54}" name="Column7305"/>
    <tableColumn id="7306" xr3:uid="{7A61E277-A03D-4A96-ABE4-875C8430D80E}" name="Column7306"/>
    <tableColumn id="7307" xr3:uid="{9F97684A-B102-4BA4-AEB4-165DAC112B5A}" name="Column7307"/>
    <tableColumn id="7308" xr3:uid="{7D3A55D3-4C15-4B2A-B15C-42A88B4C79D0}" name="Column7308"/>
    <tableColumn id="7309" xr3:uid="{2232E85B-B9FF-4CC0-9DCA-70F7AB89250C}" name="Column7309"/>
    <tableColumn id="7310" xr3:uid="{2F7D2494-CA9B-4D58-B3A6-A5CB4A715730}" name="Column7310"/>
    <tableColumn id="7311" xr3:uid="{8A5406A4-F924-4BDC-90A8-AF15CC7170A3}" name="Column7311"/>
    <tableColumn id="7312" xr3:uid="{CB352552-08DE-4DB7-BD6F-D2BB0B8F8F20}" name="Column7312"/>
    <tableColumn id="7313" xr3:uid="{D4BDA379-520F-479C-83FC-2E35B84276B7}" name="Column7313"/>
    <tableColumn id="7314" xr3:uid="{DFB6E9C9-2598-41A7-9BC1-FB856AFF9241}" name="Column7314"/>
    <tableColumn id="7315" xr3:uid="{E5542494-834E-41BE-9BF5-FA3AFE39C229}" name="Column7315"/>
    <tableColumn id="7316" xr3:uid="{B34B6796-331A-4511-B3F7-8AFCD16C7402}" name="Column7316"/>
    <tableColumn id="7317" xr3:uid="{0A4FC8A9-5D85-4827-9547-0CF06C394460}" name="Column7317"/>
    <tableColumn id="7318" xr3:uid="{2532619E-FED4-486D-8692-ACD048328AFC}" name="Column7318"/>
    <tableColumn id="7319" xr3:uid="{656EE42D-9C15-4DAD-98A1-47663CFAD55C}" name="Column7319"/>
    <tableColumn id="7320" xr3:uid="{71386C75-DC57-4821-91F3-16A578C0FD19}" name="Column7320"/>
    <tableColumn id="7321" xr3:uid="{651BACB9-E8FF-4148-9D69-985C5DD1BC40}" name="Column7321"/>
    <tableColumn id="7322" xr3:uid="{254B41F5-B82B-4416-A8AA-3BB5F138D74F}" name="Column7322"/>
    <tableColumn id="7323" xr3:uid="{E1926095-D65C-42D6-BBFB-883BC7E4E124}" name="Column7323"/>
    <tableColumn id="7324" xr3:uid="{11EDFD07-42B5-46A1-8FC9-B201C83C00BB}" name="Column7324"/>
    <tableColumn id="7325" xr3:uid="{8CEF67D1-265F-4628-8862-BA729EE5D7D4}" name="Column7325"/>
    <tableColumn id="7326" xr3:uid="{9F44A9D0-5932-41B3-9EC4-6C53264DDFA3}" name="Column7326"/>
    <tableColumn id="7327" xr3:uid="{60F95829-9927-414E-91BE-095BA9A52803}" name="Column7327"/>
    <tableColumn id="7328" xr3:uid="{EBB82685-08A0-4313-9C48-E5EA18658F87}" name="Column7328"/>
    <tableColumn id="7329" xr3:uid="{2AC21138-1322-434D-91B9-B6B6E78606A5}" name="Column7329"/>
    <tableColumn id="7330" xr3:uid="{CE5A5341-4C98-4871-AE7E-5DF7A8D2C700}" name="Column7330"/>
    <tableColumn id="7331" xr3:uid="{8E63C7B7-B47B-4875-87B0-B00F9A82D52A}" name="Column7331"/>
    <tableColumn id="7332" xr3:uid="{6FB591F4-21F4-4351-AAAA-E1EF4813B484}" name="Column7332"/>
    <tableColumn id="7333" xr3:uid="{9F7832D8-C529-421D-A2E8-3CABBDC7AC60}" name="Column7333"/>
    <tableColumn id="7334" xr3:uid="{CAD6318F-199B-4E3E-BB3C-1CA4279D1231}" name="Column7334"/>
    <tableColumn id="7335" xr3:uid="{D63F9376-2CBB-4B0F-9A66-76D1ACA3FA1D}" name="Column7335"/>
    <tableColumn id="7336" xr3:uid="{947D2E41-F2C2-44B9-80A5-5245B237C65B}" name="Column7336"/>
    <tableColumn id="7337" xr3:uid="{37DECABC-7414-4228-89A2-64E1973A4341}" name="Column7337"/>
    <tableColumn id="7338" xr3:uid="{B1AE49F7-56A6-4029-96F3-504AFE43C6BC}" name="Column7338"/>
    <tableColumn id="7339" xr3:uid="{1DE1E7CB-65E0-4E34-ACBA-A73264A300B8}" name="Column7339"/>
    <tableColumn id="7340" xr3:uid="{E17B9BA4-A4B5-4360-B887-A15E2C54401D}" name="Column7340"/>
    <tableColumn id="7341" xr3:uid="{F8419986-1045-4D9E-A8DA-C021C79EC9C0}" name="Column7341"/>
    <tableColumn id="7342" xr3:uid="{AC23E3B1-4389-4842-AC19-8B50E2816871}" name="Column7342"/>
    <tableColumn id="7343" xr3:uid="{1FDC6D32-53BF-4754-9CEB-81E3062DF550}" name="Column7343"/>
    <tableColumn id="7344" xr3:uid="{2C5C3FC7-9EF7-4659-A157-D36468BF6884}" name="Column7344"/>
    <tableColumn id="7345" xr3:uid="{035284FA-1CC6-4589-B0E2-36C334F82602}" name="Column7345"/>
    <tableColumn id="7346" xr3:uid="{BD18243E-EF15-49FB-B528-5F77B8503EE0}" name="Column7346"/>
    <tableColumn id="7347" xr3:uid="{66100635-ADC0-49D9-9DC0-2D9F1BF48E3C}" name="Column7347"/>
    <tableColumn id="7348" xr3:uid="{4ED59F18-81FD-4896-8707-7335D741EDD5}" name="Column7348"/>
    <tableColumn id="7349" xr3:uid="{93E41FE4-5529-4FD1-ACF2-790B6D5C6BEE}" name="Column7349"/>
    <tableColumn id="7350" xr3:uid="{C49CFAB8-0C85-4517-920E-71BB4B11915B}" name="Column7350"/>
    <tableColumn id="7351" xr3:uid="{B258959A-14A9-4996-BB91-2385AD2D46C6}" name="Column7351"/>
    <tableColumn id="7352" xr3:uid="{BB1AE577-CA0A-4399-93F9-A8C04C3142C0}" name="Column7352"/>
    <tableColumn id="7353" xr3:uid="{E19ACCA3-E11C-4953-A66B-EF1358D722A2}" name="Column7353"/>
    <tableColumn id="7354" xr3:uid="{E70799FC-8628-4F70-8B07-0A50C9D3864C}" name="Column7354"/>
    <tableColumn id="7355" xr3:uid="{2CA4B1F5-4D7D-4AFB-92C7-E281C255993B}" name="Column7355"/>
    <tableColumn id="7356" xr3:uid="{1137C926-D4D9-4AB6-AC90-28DF77CA132A}" name="Column7356"/>
    <tableColumn id="7357" xr3:uid="{A950E1E6-01BF-45E8-A9D7-CA853BD74C5B}" name="Column7357"/>
    <tableColumn id="7358" xr3:uid="{593FFD83-BA2A-428B-A38A-6A47499F6FB9}" name="Column7358"/>
    <tableColumn id="7359" xr3:uid="{C3E769B8-1BE2-4B6A-B34B-C4FB8D97FA2A}" name="Column7359"/>
    <tableColumn id="7360" xr3:uid="{4C4B7193-ED45-4939-A071-B9BAA6F0E142}" name="Column7360"/>
    <tableColumn id="7361" xr3:uid="{074E3269-6FC0-4FB8-97DE-77565CBC3A2C}" name="Column7361"/>
    <tableColumn id="7362" xr3:uid="{86211452-2354-4BB2-BDAA-23789169E981}" name="Column7362"/>
    <tableColumn id="7363" xr3:uid="{77BD2D29-ABA4-4437-B8D8-6E8C10D63178}" name="Column7363"/>
    <tableColumn id="7364" xr3:uid="{96FF9FFA-B716-4FD6-8CE2-97648834B407}" name="Column7364"/>
    <tableColumn id="7365" xr3:uid="{3D510BF5-BF26-4CD4-96A4-271DA86E15D9}" name="Column7365"/>
    <tableColumn id="7366" xr3:uid="{52D5F2C7-AEFC-4A66-A6A8-D9458B427B4A}" name="Column7366"/>
    <tableColumn id="7367" xr3:uid="{37E8ABE8-EFAA-4EAC-97A3-E154A676CD31}" name="Column7367"/>
    <tableColumn id="7368" xr3:uid="{A6FC0971-347B-4BC1-9D46-7EE3E3F9C7B8}" name="Column7368"/>
    <tableColumn id="7369" xr3:uid="{55F705E0-48E1-4256-8F65-33900C8A0145}" name="Column7369"/>
    <tableColumn id="7370" xr3:uid="{B6711FBC-0D02-4B64-B198-0FB95A556F69}" name="Column7370"/>
    <tableColumn id="7371" xr3:uid="{1B4F23A8-2716-4174-8E3B-EC6666502EDA}" name="Column7371"/>
    <tableColumn id="7372" xr3:uid="{24CFE1B9-BDB7-4DA1-A72D-525A34E6773D}" name="Column7372"/>
    <tableColumn id="7373" xr3:uid="{B259BBF1-1A4B-4724-A0DC-CD52FC9E49FD}" name="Column7373"/>
    <tableColumn id="7374" xr3:uid="{701107FB-483D-446A-B0C4-B880B53FE18E}" name="Column7374"/>
    <tableColumn id="7375" xr3:uid="{BD1F1C64-1778-4D9B-962F-A90B2DD340A0}" name="Column7375"/>
    <tableColumn id="7376" xr3:uid="{45347A75-F88D-44AF-AAA4-BE292C5DD268}" name="Column7376"/>
    <tableColumn id="7377" xr3:uid="{8A4FE253-24B2-47D8-9376-B5CE9F7FE65B}" name="Column7377"/>
    <tableColumn id="7378" xr3:uid="{86C68F8D-8398-4129-95AD-738F77F76D5F}" name="Column7378"/>
    <tableColumn id="7379" xr3:uid="{0679C189-A3C5-4AC3-B423-AD95C3A7C671}" name="Column7379"/>
    <tableColumn id="7380" xr3:uid="{4B754CF0-CA55-4248-B9F4-C87D3485738F}" name="Column7380"/>
    <tableColumn id="7381" xr3:uid="{24F35A12-9CCA-4297-A2B2-5889E5B755FF}" name="Column7381"/>
    <tableColumn id="7382" xr3:uid="{91D2BA65-8311-4331-8502-1F92F37D3275}" name="Column7382"/>
    <tableColumn id="7383" xr3:uid="{E4302FCF-C242-42A3-97D7-2CD5D333A681}" name="Column7383"/>
    <tableColumn id="7384" xr3:uid="{74EBFABB-B738-47AC-B186-B061ACE1EDCB}" name="Column7384"/>
    <tableColumn id="7385" xr3:uid="{0B94B65C-9938-4652-A118-9E3591DF3D0A}" name="Column7385"/>
    <tableColumn id="7386" xr3:uid="{833AB17C-B9BB-4A39-A05D-482CA5B2CAED}" name="Column7386"/>
    <tableColumn id="7387" xr3:uid="{C6856DB4-5FCE-4480-B731-71824D473150}" name="Column7387"/>
    <tableColumn id="7388" xr3:uid="{53A584A4-4F07-4C87-86CE-2644ACB6278A}" name="Column7388"/>
    <tableColumn id="7389" xr3:uid="{39403AE3-ED1B-473E-BF5C-4C523F8E4992}" name="Column7389"/>
    <tableColumn id="7390" xr3:uid="{CF2C1E71-0928-42B7-85E8-435A3FE4EA47}" name="Column7390"/>
    <tableColumn id="7391" xr3:uid="{B587001B-9EE9-4C3C-9A26-C86E8BA57E8F}" name="Column7391"/>
    <tableColumn id="7392" xr3:uid="{09A60216-915D-428A-BE10-331EE09F1648}" name="Column7392"/>
    <tableColumn id="7393" xr3:uid="{D86DD8DD-3CF9-4B7B-A313-3A8A55F383E4}" name="Column7393"/>
    <tableColumn id="7394" xr3:uid="{E58BE41F-DDCB-47A2-AA54-1F4C0E4D7562}" name="Column7394"/>
    <tableColumn id="7395" xr3:uid="{3C1DC06A-6436-4A67-A53E-371230D6C74E}" name="Column7395"/>
    <tableColumn id="7396" xr3:uid="{06FE6440-8C3B-4A7E-B314-62ACA11C373C}" name="Column7396"/>
    <tableColumn id="7397" xr3:uid="{A1DA6E85-608D-4A66-945A-5CC05E05D517}" name="Column7397"/>
    <tableColumn id="7398" xr3:uid="{165F0B72-0181-45FE-8521-8C146AA7486C}" name="Column7398"/>
    <tableColumn id="7399" xr3:uid="{F0C5B139-270D-4D6B-B91D-067E0E64B02D}" name="Column7399"/>
    <tableColumn id="7400" xr3:uid="{2A279588-9C56-4862-A35E-C5410FFF8AB1}" name="Column7400"/>
    <tableColumn id="7401" xr3:uid="{40FE590C-9F7E-4814-97E8-F5A43204223C}" name="Column7401"/>
    <tableColumn id="7402" xr3:uid="{FCC51290-3D3A-401E-B6D7-CD8BD3962429}" name="Column7402"/>
    <tableColumn id="7403" xr3:uid="{79C179E7-B364-4F72-B4D1-2260995DF074}" name="Column7403"/>
    <tableColumn id="7404" xr3:uid="{01074093-13E8-459A-B9B2-168B42506159}" name="Column7404"/>
    <tableColumn id="7405" xr3:uid="{30485CEF-D6B0-4CA6-B75E-B85F17755E31}" name="Column7405"/>
    <tableColumn id="7406" xr3:uid="{CDE44E65-0816-4D39-B586-5C57754D4052}" name="Column7406"/>
    <tableColumn id="7407" xr3:uid="{91B6DE91-C416-429F-8CAD-128651B9AE7E}" name="Column7407"/>
    <tableColumn id="7408" xr3:uid="{E938D090-A8A9-4DA4-8523-7F853EBF4E01}" name="Column7408"/>
    <tableColumn id="7409" xr3:uid="{A81D1F26-8B40-4903-868E-4AF17B0CDE4C}" name="Column7409"/>
    <tableColumn id="7410" xr3:uid="{5EC6508D-3C13-498A-B0F1-BFCDB7400E83}" name="Column7410"/>
    <tableColumn id="7411" xr3:uid="{7287CB35-E8FD-4B9D-95A2-47EAC0FB9A68}" name="Column7411"/>
    <tableColumn id="7412" xr3:uid="{A31A180E-6AFF-4DF3-8FE0-9FCB7D5B2312}" name="Column7412"/>
    <tableColumn id="7413" xr3:uid="{D3530F5A-DB4F-4992-8D2C-DE4972C1E18B}" name="Column7413"/>
    <tableColumn id="7414" xr3:uid="{461C0F04-CE02-4E0A-A611-2662425D0194}" name="Column7414"/>
    <tableColumn id="7415" xr3:uid="{E172C8B6-CBC6-4867-9C5A-F1F18D66F855}" name="Column7415"/>
    <tableColumn id="7416" xr3:uid="{AB387B13-040A-4335-BF9F-593CE721B9E7}" name="Column7416"/>
    <tableColumn id="7417" xr3:uid="{007A1EF0-D527-48C3-B83F-E8C0E719CF9E}" name="Column7417"/>
    <tableColumn id="7418" xr3:uid="{AA619A58-E084-41BC-A13E-2571EE9803F7}" name="Column7418"/>
    <tableColumn id="7419" xr3:uid="{F778B329-6A76-4E6E-BEAE-0ED427D3752B}" name="Column7419"/>
    <tableColumn id="7420" xr3:uid="{60ECAD65-5814-4456-85C4-4529F04C555C}" name="Column7420"/>
    <tableColumn id="7421" xr3:uid="{F887D5C6-599B-4A7C-B289-A65EA1BAEAF1}" name="Column7421"/>
    <tableColumn id="7422" xr3:uid="{F14CA8D4-463B-4B7B-9EEF-0E2D03C48071}" name="Column7422"/>
    <tableColumn id="7423" xr3:uid="{F475BF25-3CAE-4FE8-B489-A61E7801E951}" name="Column7423"/>
    <tableColumn id="7424" xr3:uid="{A43893E0-5D83-4006-A48E-7DA36230EB1D}" name="Column7424"/>
    <tableColumn id="7425" xr3:uid="{5721B379-4367-4A22-87AE-C2D2B4DAF29B}" name="Column7425"/>
    <tableColumn id="7426" xr3:uid="{17A46903-D2DD-4F6C-8AEE-4A265CA8F60E}" name="Column7426"/>
    <tableColumn id="7427" xr3:uid="{161A7423-2A14-426E-8EF3-BBA62F37E2AF}" name="Column7427"/>
    <tableColumn id="7428" xr3:uid="{FCE867A0-50F6-4F96-8F98-D34ACB242787}" name="Column7428"/>
    <tableColumn id="7429" xr3:uid="{8E942AD5-480B-4EF8-B59B-F0D5E745A6F2}" name="Column7429"/>
    <tableColumn id="7430" xr3:uid="{D388430D-4E46-4EE2-A1A4-02F436EBEEE4}" name="Column7430"/>
    <tableColumn id="7431" xr3:uid="{E8338BEB-C4E9-47B2-AD8B-70949832D2AB}" name="Column7431"/>
    <tableColumn id="7432" xr3:uid="{60581ED5-083F-4997-BBCF-50D67055B340}" name="Column7432"/>
    <tableColumn id="7433" xr3:uid="{2874B7BF-1396-4439-B81E-508718B60D8E}" name="Column7433"/>
    <tableColumn id="7434" xr3:uid="{9FB22E1B-F086-43FC-A781-94FD684CD5F4}" name="Column7434"/>
    <tableColumn id="7435" xr3:uid="{AE7B8DE9-FFD6-49BB-90C5-DEBA2B2FBABE}" name="Column7435"/>
    <tableColumn id="7436" xr3:uid="{4FBE352A-5137-47A3-86AB-066F364427E7}" name="Column7436"/>
    <tableColumn id="7437" xr3:uid="{1D80B570-942D-4D79-B088-1F7F539AD305}" name="Column7437"/>
    <tableColumn id="7438" xr3:uid="{1BFE292A-9BC4-4340-A2A6-4CC504A9BA93}" name="Column7438"/>
    <tableColumn id="7439" xr3:uid="{E64F9F1C-70D6-4472-88A3-686CC6F7AC38}" name="Column7439"/>
    <tableColumn id="7440" xr3:uid="{874ED017-325A-4C7B-B6CB-07DD3CD8174D}" name="Column7440"/>
    <tableColumn id="7441" xr3:uid="{DF8340BC-B1B3-48D2-B958-B2FE38C945EC}" name="Column7441"/>
    <tableColumn id="7442" xr3:uid="{CF8FC627-0AA2-49FE-9353-B8259573B9C7}" name="Column7442"/>
    <tableColumn id="7443" xr3:uid="{BD959949-7ED1-4470-90A8-9C47B7947175}" name="Column7443"/>
    <tableColumn id="7444" xr3:uid="{180EF20F-ECBE-4E34-B23F-A0A22CD02345}" name="Column7444"/>
    <tableColumn id="7445" xr3:uid="{6212EE99-434B-44B0-98F3-1D070DE3F2E7}" name="Column7445"/>
    <tableColumn id="7446" xr3:uid="{8592D560-CB20-4B74-88D9-0D0BDCA48739}" name="Column7446"/>
    <tableColumn id="7447" xr3:uid="{B640E071-D5F3-484A-BE09-A9BB14F26F86}" name="Column7447"/>
    <tableColumn id="7448" xr3:uid="{F21B0920-581D-4AB0-8C36-21C13F04D8DF}" name="Column7448"/>
    <tableColumn id="7449" xr3:uid="{315FCC2B-4D45-456E-89ED-70AB84846469}" name="Column7449"/>
    <tableColumn id="7450" xr3:uid="{06275866-6CA5-4E96-95F5-A69946A787CC}" name="Column7450"/>
    <tableColumn id="7451" xr3:uid="{5502A85C-1A50-4B65-95DA-06B30F62A9B0}" name="Column7451"/>
    <tableColumn id="7452" xr3:uid="{E81D98FD-7025-4C47-8F9A-B17E2531B2E8}" name="Column7452"/>
    <tableColumn id="7453" xr3:uid="{4CD45AF0-0EF4-420D-A4E3-ECAD3B073500}" name="Column7453"/>
    <tableColumn id="7454" xr3:uid="{3F069591-40DC-44E4-8CB9-6005AADAAD2B}" name="Column7454"/>
    <tableColumn id="7455" xr3:uid="{B92926B3-A894-4BD0-A492-9B2C2568C498}" name="Column7455"/>
    <tableColumn id="7456" xr3:uid="{E72B1DB3-3BB9-40C1-B381-233D2D76CAA3}" name="Column7456"/>
    <tableColumn id="7457" xr3:uid="{78D0C89D-B0B2-46DD-8E24-97FB5B492A19}" name="Column7457"/>
    <tableColumn id="7458" xr3:uid="{C3C54D2B-46DF-4413-9EAB-541AE4531822}" name="Column7458"/>
    <tableColumn id="7459" xr3:uid="{8D09EB58-646D-4510-8DED-333A3E08297C}" name="Column7459"/>
    <tableColumn id="7460" xr3:uid="{427CC2B5-CDB6-4583-9B2F-ADD70668FC01}" name="Column7460"/>
    <tableColumn id="7461" xr3:uid="{31DF2B9D-D182-4825-93C5-6E3D3A080B71}" name="Column7461"/>
    <tableColumn id="7462" xr3:uid="{94FF20D0-D86F-4F05-8784-B2DCC4DEA90E}" name="Column7462"/>
    <tableColumn id="7463" xr3:uid="{2802F79A-8F9C-4D8E-8CF3-591E2E16765B}" name="Column7463"/>
    <tableColumn id="7464" xr3:uid="{9B0D76E4-6E31-41A4-BB1A-CBA1A71B8A93}" name="Column7464"/>
    <tableColumn id="7465" xr3:uid="{CDC1B611-B53D-41B3-B2B4-A98C4AD69723}" name="Column7465"/>
    <tableColumn id="7466" xr3:uid="{C43070E1-7716-423B-B149-7D4FD65C35FD}" name="Column7466"/>
    <tableColumn id="7467" xr3:uid="{CF9FDA6C-17EB-4FA5-9F6D-C1C80214BB5E}" name="Column7467"/>
    <tableColumn id="7468" xr3:uid="{5E683AC2-44B2-4A39-852E-B1CF2D580EF7}" name="Column7468"/>
    <tableColumn id="7469" xr3:uid="{03873BBB-75C6-4D03-A534-A2D4EE3AEDAB}" name="Column7469"/>
    <tableColumn id="7470" xr3:uid="{93E7E4FE-3040-4225-A80D-B8923BC934C7}" name="Column7470"/>
    <tableColumn id="7471" xr3:uid="{60EA192B-D9BE-472A-BDF9-ADD5A49DF0CF}" name="Column7471"/>
    <tableColumn id="7472" xr3:uid="{178D87B9-F3B6-410F-A377-6C57EF4B1126}" name="Column7472"/>
    <tableColumn id="7473" xr3:uid="{419425F9-3D67-4E6A-A068-E1D4C95BDF3F}" name="Column7473"/>
    <tableColumn id="7474" xr3:uid="{DF2411E5-20CB-4419-B688-9F50FF12C141}" name="Column7474"/>
    <tableColumn id="7475" xr3:uid="{A862FA5B-A699-441F-8C79-42BA2875705D}" name="Column7475"/>
    <tableColumn id="7476" xr3:uid="{6D6553CA-0524-48BE-AEC8-EFECDC949417}" name="Column7476"/>
    <tableColumn id="7477" xr3:uid="{2ACFA678-E5BF-4796-82BB-FF9ABE92A9F6}" name="Column7477"/>
    <tableColumn id="7478" xr3:uid="{AAC2E89D-61CB-4697-BB15-76C34DB531C9}" name="Column7478"/>
    <tableColumn id="7479" xr3:uid="{04C5C4AA-CD69-42DB-8F2A-C8E3FE053CCB}" name="Column7479"/>
    <tableColumn id="7480" xr3:uid="{00E57579-B4C5-42DF-BDEB-A93969DF1D2A}" name="Column7480"/>
    <tableColumn id="7481" xr3:uid="{F4CABA4A-FDCD-4409-8854-23E643DB6E5E}" name="Column7481"/>
    <tableColumn id="7482" xr3:uid="{DCAAE695-CA85-42AC-AFE7-A3A1488529A1}" name="Column7482"/>
    <tableColumn id="7483" xr3:uid="{3BF86571-BDDD-4765-B6B0-12EDBD95E896}" name="Column7483"/>
    <tableColumn id="7484" xr3:uid="{3ED8EF19-43B5-4933-87C6-8984991C468F}" name="Column7484"/>
    <tableColumn id="7485" xr3:uid="{5C332BA7-4AA2-47B5-98C7-E066247DA489}" name="Column7485"/>
    <tableColumn id="7486" xr3:uid="{7414864B-2B3E-429C-A6EF-04A4EFD0E48A}" name="Column7486"/>
    <tableColumn id="7487" xr3:uid="{C524F9CE-5305-41A4-A42D-9D104FE3E9DB}" name="Column7487"/>
    <tableColumn id="7488" xr3:uid="{F4067A9E-E40A-45D4-854E-27ED5E3D3051}" name="Column7488"/>
    <tableColumn id="7489" xr3:uid="{E7308C0C-B163-4A2B-AAF1-1A2579CC8414}" name="Column7489"/>
    <tableColumn id="7490" xr3:uid="{07253964-32CE-4C9B-B1EE-AFAE490CF598}" name="Column7490"/>
    <tableColumn id="7491" xr3:uid="{4FFDF81E-252D-4CE8-84EE-6A76F2407A35}" name="Column7491"/>
    <tableColumn id="7492" xr3:uid="{C092AE5C-7394-434A-94FD-F1CF0568176D}" name="Column7492"/>
    <tableColumn id="7493" xr3:uid="{E4E7FACC-B14E-478B-BEC2-E6B7932B4C4A}" name="Column7493"/>
    <tableColumn id="7494" xr3:uid="{8429D6DF-39EE-4A72-B925-E172CD51E2C6}" name="Column7494"/>
    <tableColumn id="7495" xr3:uid="{F2498646-9A65-4B2C-8572-F5AD8041E5E8}" name="Column7495"/>
    <tableColumn id="7496" xr3:uid="{4B3D2507-6B74-4F0F-B763-9A6B682ABB72}" name="Column7496"/>
    <tableColumn id="7497" xr3:uid="{F0D1F99A-038A-4FFC-90A1-E45826B8C4FD}" name="Column7497"/>
    <tableColumn id="7498" xr3:uid="{0FE6437A-6FE0-4E17-8A32-CC6F8FE2692D}" name="Column7498"/>
    <tableColumn id="7499" xr3:uid="{14E168F9-8E54-4AD8-83FE-4FB495D61560}" name="Column7499"/>
    <tableColumn id="7500" xr3:uid="{651DE8C1-1D42-4581-8C16-A0CEC93BF2B8}" name="Column7500"/>
    <tableColumn id="7501" xr3:uid="{FBC36EC7-D25F-460E-94C8-3C5005AEEDC5}" name="Column7501"/>
    <tableColumn id="7502" xr3:uid="{EE157DE7-EDFF-45F8-A4AD-8957635B90EA}" name="Column7502"/>
    <tableColumn id="7503" xr3:uid="{861FDD0A-3F2C-40F1-9745-608D0474A911}" name="Column7503"/>
    <tableColumn id="7504" xr3:uid="{D61A1BA0-8254-4C28-8F92-1A2BB3540AD4}" name="Column7504"/>
    <tableColumn id="7505" xr3:uid="{81A4D08C-1C6F-4D60-9457-B06B50EAF1F0}" name="Column7505"/>
    <tableColumn id="7506" xr3:uid="{BDA6947F-09EA-4150-BE8F-545344891EBC}" name="Column7506"/>
    <tableColumn id="7507" xr3:uid="{955A3946-E856-434A-9319-064EBB4DAAAF}" name="Column7507"/>
    <tableColumn id="7508" xr3:uid="{2DC400BE-046E-43CF-8894-F54D5F1A0102}" name="Column7508"/>
    <tableColumn id="7509" xr3:uid="{27EBDAEB-88CB-4BFE-81D5-79D99F7ABD0E}" name="Column7509"/>
    <tableColumn id="7510" xr3:uid="{206D3982-FB7A-492E-9C35-EBD215BA559E}" name="Column7510"/>
    <tableColumn id="7511" xr3:uid="{A5A058F6-15B6-40B1-9CE0-474B33F760C7}" name="Column7511"/>
    <tableColumn id="7512" xr3:uid="{8DADC5F1-E153-4595-95ED-B9B4D43D5A1E}" name="Column7512"/>
    <tableColumn id="7513" xr3:uid="{A158F05C-F0A5-44E9-8C0B-70F91990793B}" name="Column7513"/>
    <tableColumn id="7514" xr3:uid="{F7F4E400-9B2E-4CB1-BD63-7061173B7C6E}" name="Column7514"/>
    <tableColumn id="7515" xr3:uid="{9ECEBD58-B53E-43D4-A531-008C5C9C7ACE}" name="Column7515"/>
    <tableColumn id="7516" xr3:uid="{44C90500-8DD6-4A27-BE79-D37ED84145E0}" name="Column7516"/>
    <tableColumn id="7517" xr3:uid="{EAC85537-C402-450F-A964-7408747605A2}" name="Column7517"/>
    <tableColumn id="7518" xr3:uid="{91B0A019-930B-43C4-B2E8-C2BC4979C997}" name="Column7518"/>
    <tableColumn id="7519" xr3:uid="{1009958C-F778-4400-8FF7-10CF3A1FC458}" name="Column7519"/>
    <tableColumn id="7520" xr3:uid="{24C4DFB8-B6BC-4E31-B6ED-8804AABC5A3A}" name="Column7520"/>
    <tableColumn id="7521" xr3:uid="{B8292668-4765-463B-8ADA-1736DDCC7324}" name="Column7521"/>
    <tableColumn id="7522" xr3:uid="{C1FF0502-16F9-43C0-B6E9-9B14179F5D7C}" name="Column7522"/>
    <tableColumn id="7523" xr3:uid="{97B3D349-1B64-4852-AC11-428B7EA3272F}" name="Column7523"/>
    <tableColumn id="7524" xr3:uid="{2B8BA862-4B4E-4224-B709-92FC765378A8}" name="Column7524"/>
    <tableColumn id="7525" xr3:uid="{6065C2A1-9836-480C-8A65-FE92FE25FD68}" name="Column7525"/>
    <tableColumn id="7526" xr3:uid="{3D44BE25-8CE1-475D-8492-24FC73EBF80E}" name="Column7526"/>
    <tableColumn id="7527" xr3:uid="{BD618C1B-8943-4859-A346-5CC5202A2377}" name="Column7527"/>
    <tableColumn id="7528" xr3:uid="{5E1F93C1-1849-4A76-B4AF-2B543D252BE0}" name="Column7528"/>
    <tableColumn id="7529" xr3:uid="{1DFAE05F-BDAF-4F3A-B862-DDA48E0518AD}" name="Column7529"/>
    <tableColumn id="7530" xr3:uid="{9C37DB6F-F3B0-4AA9-B60F-7231BE6B611B}" name="Column7530"/>
    <tableColumn id="7531" xr3:uid="{A4F14AB6-E798-43DE-AEA7-38A41A51FAEB}" name="Column7531"/>
    <tableColumn id="7532" xr3:uid="{02CA9F65-14EE-4BAE-B3F3-ACB4CF610AF2}" name="Column7532"/>
    <tableColumn id="7533" xr3:uid="{3710FA66-8A6D-477A-A6B1-B8957230D51E}" name="Column7533"/>
    <tableColumn id="7534" xr3:uid="{B0271A97-614C-4037-914E-EA4450E5CD6F}" name="Column7534"/>
    <tableColumn id="7535" xr3:uid="{15E21974-F779-4410-96B9-88A07803C048}" name="Column7535"/>
    <tableColumn id="7536" xr3:uid="{F6ADB14B-366B-43A8-857B-2F45F975C39A}" name="Column7536"/>
    <tableColumn id="7537" xr3:uid="{EDA6D1D3-8ED8-43D9-B7B7-9A697D6BBF20}" name="Column7537"/>
    <tableColumn id="7538" xr3:uid="{B4C03A5B-254E-4AAF-A4E6-884969EF0564}" name="Column7538"/>
    <tableColumn id="7539" xr3:uid="{34B48731-0B84-4F27-8E81-A1223EA0BE59}" name="Column7539"/>
    <tableColumn id="7540" xr3:uid="{A0BBB7E0-A2D5-4505-9F46-7C5EEF5188F7}" name="Column7540"/>
    <tableColumn id="7541" xr3:uid="{BBD90454-F4AC-40CD-8E28-EFFE47E0B5CE}" name="Column7541"/>
    <tableColumn id="7542" xr3:uid="{BDC38504-978B-4EF1-B7AB-AEAE42D9A34F}" name="Column7542"/>
    <tableColumn id="7543" xr3:uid="{CE9D8374-30AB-4C58-94C0-8ADB162F3939}" name="Column7543"/>
    <tableColumn id="7544" xr3:uid="{259193C1-761A-4733-B0BC-48A2325E48BC}" name="Column7544"/>
    <tableColumn id="7545" xr3:uid="{95F43CE3-B988-4D62-8A52-D851E3CA3AC6}" name="Column7545"/>
    <tableColumn id="7546" xr3:uid="{F4BABEF9-6423-4034-8D64-6B5B02ECD8BA}" name="Column7546"/>
    <tableColumn id="7547" xr3:uid="{0B3A7051-1C0E-4C0C-B88B-F55C78913950}" name="Column7547"/>
    <tableColumn id="7548" xr3:uid="{C3E8D5B3-0D29-40E3-965D-C0972DA667E8}" name="Column7548"/>
    <tableColumn id="7549" xr3:uid="{100FDF1D-648F-4E90-AB81-47BFDB9C3D07}" name="Column7549"/>
    <tableColumn id="7550" xr3:uid="{32236D7B-15D2-4F6B-87A7-C21C8C829716}" name="Column7550"/>
    <tableColumn id="7551" xr3:uid="{53B8BA4C-BC1E-41D8-A545-DE4DE80857A7}" name="Column7551"/>
    <tableColumn id="7552" xr3:uid="{9EFE59E1-575D-4926-887B-21B3ACD402A5}" name="Column7552"/>
    <tableColumn id="7553" xr3:uid="{AF603EFD-4376-489F-AE97-622086B8A016}" name="Column7553"/>
    <tableColumn id="7554" xr3:uid="{A88B148B-854A-4FB5-94CB-D97CE4B7D837}" name="Column7554"/>
    <tableColumn id="7555" xr3:uid="{BB77CD4E-FAB2-4E8F-BF84-E5283EB7A7A1}" name="Column7555"/>
    <tableColumn id="7556" xr3:uid="{07534D64-DD47-444F-9534-19E46A21F46A}" name="Column7556"/>
    <tableColumn id="7557" xr3:uid="{F4801A6B-C8D5-4356-80AC-1738C4F5F975}" name="Column7557"/>
    <tableColumn id="7558" xr3:uid="{CEC29717-F7C0-4784-91B4-E38AC98A25E6}" name="Column7558"/>
    <tableColumn id="7559" xr3:uid="{16314556-2FDF-4B41-BB8E-A0605FF94E1F}" name="Column7559"/>
    <tableColumn id="7560" xr3:uid="{98153056-B6E0-4A41-A72A-5D527E466E20}" name="Column7560"/>
    <tableColumn id="7561" xr3:uid="{80AAA113-1417-4615-AAA0-D994883EB9AD}" name="Column7561"/>
    <tableColumn id="7562" xr3:uid="{8C7571A8-263B-4DB9-A771-961ADB175036}" name="Column7562"/>
    <tableColumn id="7563" xr3:uid="{CCD1A2F6-A39B-49FF-8D61-B2158106BB56}" name="Column7563"/>
    <tableColumn id="7564" xr3:uid="{3C8CC9C0-58F2-461F-BF24-71BD083B0AA5}" name="Column7564"/>
    <tableColumn id="7565" xr3:uid="{DFC29492-9706-4899-8C05-43578BD57C2D}" name="Column7565"/>
    <tableColumn id="7566" xr3:uid="{BA8332FB-2493-4664-978C-221391E8C720}" name="Column7566"/>
    <tableColumn id="7567" xr3:uid="{9E4A83AC-BDC7-4AE7-A2F7-F2FD5D280D7D}" name="Column7567"/>
    <tableColumn id="7568" xr3:uid="{04C5AF04-9772-4F30-99C8-8541A02B6D5B}" name="Column7568"/>
    <tableColumn id="7569" xr3:uid="{27D519D4-023E-4B71-9277-9B250599E95A}" name="Column7569"/>
    <tableColumn id="7570" xr3:uid="{7C7A9FD6-DB1E-41BB-9BDD-CBBC59A30D77}" name="Column7570"/>
    <tableColumn id="7571" xr3:uid="{5D03CE65-E99B-4E98-A0A5-69D496C2A9FF}" name="Column7571"/>
    <tableColumn id="7572" xr3:uid="{78598181-7F04-4C8D-BF8C-A553F543D1E7}" name="Column7572"/>
    <tableColumn id="7573" xr3:uid="{67741FFE-FC1F-4BD6-B3B7-94A53BC3D4CC}" name="Column7573"/>
    <tableColumn id="7574" xr3:uid="{71437577-3CEE-4924-A671-4609A79D883E}" name="Column7574"/>
    <tableColumn id="7575" xr3:uid="{D5ADBCD2-CE81-4BA4-85B5-1F1C953A2628}" name="Column7575"/>
    <tableColumn id="7576" xr3:uid="{6FFB0D3D-C2C5-465B-9FF1-36A0C2B51C0B}" name="Column7576"/>
    <tableColumn id="7577" xr3:uid="{53203D80-822E-48E9-8678-A106CB66C9DC}" name="Column7577"/>
    <tableColumn id="7578" xr3:uid="{4AD47775-024A-4EAD-A480-517280FE420B}" name="Column7578"/>
    <tableColumn id="7579" xr3:uid="{519FA1D7-D157-41DE-9F0A-50543F64B7DF}" name="Column7579"/>
    <tableColumn id="7580" xr3:uid="{1CA5361B-E40B-461C-BC09-5B573E570F06}" name="Column7580"/>
    <tableColumn id="7581" xr3:uid="{5E9A007A-66CB-4EC9-8235-3353CABDA682}" name="Column7581"/>
    <tableColumn id="7582" xr3:uid="{0A3B274C-86B5-4F16-AD69-E3BD27D5A410}" name="Column7582"/>
    <tableColumn id="7583" xr3:uid="{5FD04E23-9F2C-41BE-B005-AD87CF9B62C1}" name="Column7583"/>
    <tableColumn id="7584" xr3:uid="{09056FA5-16F2-40C5-9695-74659F7CE8F2}" name="Column7584"/>
    <tableColumn id="7585" xr3:uid="{CEA7F060-9BF9-4AD0-BAC3-3FCA5797EBB5}" name="Column7585"/>
    <tableColumn id="7586" xr3:uid="{4D724323-1B9F-4F4A-BE19-B974ECDF2D1E}" name="Column7586"/>
    <tableColumn id="7587" xr3:uid="{758438BE-E573-439A-80E3-CF26FE452F7B}" name="Column7587"/>
    <tableColumn id="7588" xr3:uid="{68F9A4AD-83D9-4759-95EC-556780AFE4A9}" name="Column7588"/>
    <tableColumn id="7589" xr3:uid="{08CE5F62-7DF5-46BC-ACDB-9E9C5D0560C8}" name="Column7589"/>
    <tableColumn id="7590" xr3:uid="{E8CFD55C-1325-4066-A69E-38FC8AE8EB11}" name="Column7590"/>
    <tableColumn id="7591" xr3:uid="{E84A2037-2A97-41F5-9DD3-8B12A07F0F6E}" name="Column7591"/>
    <tableColumn id="7592" xr3:uid="{890142D4-DE07-4C29-A532-168A51D5EA0D}" name="Column7592"/>
    <tableColumn id="7593" xr3:uid="{7E549A34-F9AA-4DFE-A05B-2ADDF0BC8B2D}" name="Column7593"/>
    <tableColumn id="7594" xr3:uid="{1DF71C82-AEAD-44C1-ADC0-027FDB986385}" name="Column7594"/>
    <tableColumn id="7595" xr3:uid="{A4E9D4B3-818A-4BF4-A89F-88A18450E7F6}" name="Column7595"/>
    <tableColumn id="7596" xr3:uid="{6553FBC2-237F-4805-A6EC-B7008D76E1CB}" name="Column7596"/>
    <tableColumn id="7597" xr3:uid="{19C00C8F-C3A9-416E-89C2-9D59F6FBC1DC}" name="Column7597"/>
    <tableColumn id="7598" xr3:uid="{4A1BC387-FF42-4F31-8511-5DBE55B3387E}" name="Column7598"/>
    <tableColumn id="7599" xr3:uid="{DD34B9D1-042A-44A6-A480-DBBFD776B8C4}" name="Column7599"/>
    <tableColumn id="7600" xr3:uid="{B1B5B1E5-4F0E-40F7-9D0B-413CF05AEF3F}" name="Column7600"/>
    <tableColumn id="7601" xr3:uid="{D6A42B24-B231-41F5-A3DE-C0E5ECC39566}" name="Column7601"/>
    <tableColumn id="7602" xr3:uid="{4E2EA363-337F-4A3F-B6BC-E0907672960A}" name="Column7602"/>
    <tableColumn id="7603" xr3:uid="{5F33D696-A258-42D9-BD08-432189E52F77}" name="Column7603"/>
    <tableColumn id="7604" xr3:uid="{DA314689-480E-4DC9-B37A-4B9596B3E586}" name="Column7604"/>
    <tableColumn id="7605" xr3:uid="{9ACC7EC3-B50A-47CC-8BDC-14987F827484}" name="Column7605"/>
    <tableColumn id="7606" xr3:uid="{FEB1B055-CAE4-4E69-BCF5-C3E08BC80C55}" name="Column7606"/>
    <tableColumn id="7607" xr3:uid="{96E4FB20-BDA5-4070-8E85-7F70861A200F}" name="Column7607"/>
    <tableColumn id="7608" xr3:uid="{72A137B3-EA5B-4509-AFEF-E164FC9DDFDB}" name="Column7608"/>
    <tableColumn id="7609" xr3:uid="{1407EDCF-343C-4E3F-AE94-45324F4D9158}" name="Column7609"/>
    <tableColumn id="7610" xr3:uid="{E22B18DB-7682-449B-B121-B40CAAB09474}" name="Column7610"/>
    <tableColumn id="7611" xr3:uid="{D27D8DC0-3466-48DE-942F-FB077C5A84AD}" name="Column7611"/>
    <tableColumn id="7612" xr3:uid="{BCAE9748-5B42-40EA-91D4-40CF9156DC14}" name="Column7612"/>
    <tableColumn id="7613" xr3:uid="{1A810B45-7031-48F1-AFE1-64CD4ED4D754}" name="Column7613"/>
    <tableColumn id="7614" xr3:uid="{7ABC0D4C-BF20-4CD9-9918-38D2DC9CF98F}" name="Column7614"/>
    <tableColumn id="7615" xr3:uid="{E8B3C776-B2CD-4319-B6E2-FEAF95DC19C2}" name="Column7615"/>
    <tableColumn id="7616" xr3:uid="{22A2DD80-0BCA-4E31-B1DF-0F0332908643}" name="Column7616"/>
    <tableColumn id="7617" xr3:uid="{22966F2A-29E3-4105-8F63-AB4471E5F2EE}" name="Column7617"/>
    <tableColumn id="7618" xr3:uid="{18803D42-F9E7-4FE0-BB3A-101251FCB2FD}" name="Column7618"/>
    <tableColumn id="7619" xr3:uid="{68620AF5-735C-4932-8748-326186B429BA}" name="Column7619"/>
    <tableColumn id="7620" xr3:uid="{C237DB33-4C6B-4A0C-8D8C-53B8500C0F4A}" name="Column7620"/>
    <tableColumn id="7621" xr3:uid="{0BD10D30-874A-466F-A6EE-B51E21800AB5}" name="Column7621"/>
    <tableColumn id="7622" xr3:uid="{86262FF9-8E42-4C5E-9978-BCDA7FC9A2BC}" name="Column7622"/>
    <tableColumn id="7623" xr3:uid="{3B5343B6-D196-41E0-A46F-BE9136B39768}" name="Column7623"/>
    <tableColumn id="7624" xr3:uid="{DAA80FB6-613A-40EC-8F78-8453C08C7ACF}" name="Column7624"/>
    <tableColumn id="7625" xr3:uid="{D4695B93-42D3-41E7-87C1-EAB8EBD2E516}" name="Column7625"/>
    <tableColumn id="7626" xr3:uid="{1C7F1C37-ECE6-4A3C-8EC1-09B7A0ECF1F5}" name="Column7626"/>
    <tableColumn id="7627" xr3:uid="{443CE806-0561-4F89-8ACF-2FB45A40EE22}" name="Column7627"/>
    <tableColumn id="7628" xr3:uid="{9AE7B718-EF0F-49A9-9BB0-62ED76B5FC49}" name="Column7628"/>
    <tableColumn id="7629" xr3:uid="{BEB9AF71-709D-40C8-AD1C-34F378AC796C}" name="Column7629"/>
    <tableColumn id="7630" xr3:uid="{1A691F44-C1E8-43D0-BFC6-98BBF5B425F2}" name="Column7630"/>
    <tableColumn id="7631" xr3:uid="{D5B3B27D-D227-4D7D-9D09-3C4169A5DFEF}" name="Column7631"/>
    <tableColumn id="7632" xr3:uid="{90726FA5-12D3-4248-A137-98D917D0A224}" name="Column7632"/>
    <tableColumn id="7633" xr3:uid="{08A3C37F-15A1-4115-9729-740F65A6893E}" name="Column7633"/>
    <tableColumn id="7634" xr3:uid="{2B08D514-4938-434B-8489-40D8968DADF5}" name="Column7634"/>
    <tableColumn id="7635" xr3:uid="{CD4555D7-973C-4954-886E-8F9195C77341}" name="Column7635"/>
    <tableColumn id="7636" xr3:uid="{4A376D54-6087-4071-98B5-629506395EDC}" name="Column7636"/>
    <tableColumn id="7637" xr3:uid="{D494C2BE-87DC-42C4-B797-99E0DDB3EE71}" name="Column7637"/>
    <tableColumn id="7638" xr3:uid="{D67635E6-CCD7-4F97-A9B6-8B82ED6C5A8F}" name="Column7638"/>
    <tableColumn id="7639" xr3:uid="{6545219D-B3DB-46B5-AE8E-BC37C9527707}" name="Column7639"/>
    <tableColumn id="7640" xr3:uid="{FFE6A75E-AACC-4A26-B6F8-A3564D913222}" name="Column7640"/>
    <tableColumn id="7641" xr3:uid="{485595D3-BC41-4ED5-B9F3-FDBF607697F1}" name="Column7641"/>
    <tableColumn id="7642" xr3:uid="{E23058A9-805F-4A08-8804-A746690CDA34}" name="Column7642"/>
    <tableColumn id="7643" xr3:uid="{956E41D2-27C6-4FA9-A72E-A92AD2B43817}" name="Column7643"/>
    <tableColumn id="7644" xr3:uid="{188891E1-E782-4799-82D2-65DC2F63E044}" name="Column7644"/>
    <tableColumn id="7645" xr3:uid="{476C5104-1330-49C5-BE25-B97726227ED4}" name="Column7645"/>
    <tableColumn id="7646" xr3:uid="{920F1A4A-BD3C-422C-8ADD-C82B62AC9DA2}" name="Column7646"/>
    <tableColumn id="7647" xr3:uid="{8A2C87AE-882D-4BC3-A01A-D47E6295D87B}" name="Column7647"/>
    <tableColumn id="7648" xr3:uid="{92A731BE-4D7E-4A51-A813-76604378F49D}" name="Column7648"/>
    <tableColumn id="7649" xr3:uid="{871C2D47-9D21-4B91-831A-B9B40EC937CB}" name="Column7649"/>
    <tableColumn id="7650" xr3:uid="{FF6F9E69-C1D0-44B3-89B2-3C57AED1225C}" name="Column7650"/>
    <tableColumn id="7651" xr3:uid="{A3CCAC66-F99E-4A9D-B056-A194D2AE5F84}" name="Column7651"/>
    <tableColumn id="7652" xr3:uid="{EAD761BC-57A3-4B8B-B975-5861DAFB3984}" name="Column7652"/>
    <tableColumn id="7653" xr3:uid="{59B02BAF-C322-43F1-8313-8D585274B2B5}" name="Column7653"/>
    <tableColumn id="7654" xr3:uid="{DE130D6B-C959-4298-8439-52E3AD71ACB4}" name="Column7654"/>
    <tableColumn id="7655" xr3:uid="{D86600EA-DAD9-408E-BD82-86B5FBB61B04}" name="Column7655"/>
    <tableColumn id="7656" xr3:uid="{84757664-E003-447D-BF12-00AB2BEC1676}" name="Column7656"/>
    <tableColumn id="7657" xr3:uid="{81C2037E-A415-4770-AD37-BB55A5D4A9D6}" name="Column7657"/>
    <tableColumn id="7658" xr3:uid="{91AE3F14-D50D-4CEA-ABB4-9B8266E170EF}" name="Column7658"/>
    <tableColumn id="7659" xr3:uid="{4CE97584-013F-4512-9199-828BAB1888DA}" name="Column7659"/>
    <tableColumn id="7660" xr3:uid="{CF152DE6-9737-4223-A204-7C5543BC12B6}" name="Column7660"/>
    <tableColumn id="7661" xr3:uid="{863AD414-CAAF-4433-B974-E04C6FA4E83F}" name="Column7661"/>
    <tableColumn id="7662" xr3:uid="{97AA971F-C907-474A-8409-5AC26A86DA12}" name="Column7662"/>
    <tableColumn id="7663" xr3:uid="{48C97B10-67B0-4436-9B44-4179D1ABD759}" name="Column7663"/>
    <tableColumn id="7664" xr3:uid="{B10A7522-C11F-439B-B24E-6E9F0225B360}" name="Column7664"/>
    <tableColumn id="7665" xr3:uid="{2D31FEB0-683F-42AA-A24A-7913153BEBE1}" name="Column7665"/>
    <tableColumn id="7666" xr3:uid="{888B1057-ED8D-4BDB-A0F7-780819EDA184}" name="Column7666"/>
    <tableColumn id="7667" xr3:uid="{D1BD23D9-A6BE-410F-A3C7-AF5EECD17817}" name="Column7667"/>
    <tableColumn id="7668" xr3:uid="{3269097B-5968-4AF3-B17E-9045DF51FAEB}" name="Column7668"/>
    <tableColumn id="7669" xr3:uid="{590076BD-265E-47E0-A6A6-C031294DAB68}" name="Column7669"/>
    <tableColumn id="7670" xr3:uid="{4EF91D50-E468-40B8-94D7-DC6C7AE851A8}" name="Column7670"/>
    <tableColumn id="7671" xr3:uid="{66F3E0B5-D518-446C-97BD-231E0951C780}" name="Column7671"/>
    <tableColumn id="7672" xr3:uid="{C53E9474-7B7D-4682-9F1A-899C4E307F57}" name="Column7672"/>
    <tableColumn id="7673" xr3:uid="{946FB492-6F8A-4E98-AC6B-F331DE1DFCAC}" name="Column7673"/>
    <tableColumn id="7674" xr3:uid="{49B9B681-3757-48F8-A179-7BA6F26332FA}" name="Column7674"/>
    <tableColumn id="7675" xr3:uid="{BFDF25C6-2D1E-455C-80BC-B803513A08B2}" name="Column7675"/>
    <tableColumn id="7676" xr3:uid="{CA6626F3-A1FB-4E8D-BBE0-4FE02B1BB463}" name="Column7676"/>
    <tableColumn id="7677" xr3:uid="{EDF72C9B-60F0-4982-8814-EF0AB36B7FC8}" name="Column7677"/>
    <tableColumn id="7678" xr3:uid="{3F19EABA-2830-4DDF-83F6-BDBD60125895}" name="Column7678"/>
    <tableColumn id="7679" xr3:uid="{8C7B72B1-F2CA-4275-95E9-577A07A5B230}" name="Column7679"/>
    <tableColumn id="7680" xr3:uid="{29C61A00-69DD-45D0-B0B0-4C6B1BA25FDD}" name="Column7680"/>
    <tableColumn id="7681" xr3:uid="{5F7E8FA5-C5B1-4BD4-878B-3A56DE22F54E}" name="Column7681"/>
    <tableColumn id="7682" xr3:uid="{65DAC2AE-A887-47C5-9910-7C1012EF0DDC}" name="Column7682"/>
    <tableColumn id="7683" xr3:uid="{0BCECA67-36BF-4DC2-B1B4-261C05DDC98F}" name="Column7683"/>
    <tableColumn id="7684" xr3:uid="{FC4C3028-D461-4F58-A3DC-0037D4349F51}" name="Column7684"/>
    <tableColumn id="7685" xr3:uid="{D9FF8AF3-A1A3-4106-8575-340FC90F3FE6}" name="Column7685"/>
    <tableColumn id="7686" xr3:uid="{531A131B-5826-404E-AE1B-7D465C2027E8}" name="Column7686"/>
    <tableColumn id="7687" xr3:uid="{160B5FB1-79D0-4373-8D32-A84DF0B36B26}" name="Column7687"/>
    <tableColumn id="7688" xr3:uid="{1B5E6F95-509F-4943-83BA-3F4179129938}" name="Column7688"/>
    <tableColumn id="7689" xr3:uid="{26746FBE-52B7-4E46-9964-C152B805A95A}" name="Column7689"/>
    <tableColumn id="7690" xr3:uid="{EBF8B2C8-4F19-45D4-B743-F65E55B15B09}" name="Column7690"/>
    <tableColumn id="7691" xr3:uid="{D6D771DB-4CC4-4867-967C-BE6EB5AFF562}" name="Column7691"/>
    <tableColumn id="7692" xr3:uid="{24DE577D-68A4-4B76-A3C4-24C97D35D143}" name="Column7692"/>
    <tableColumn id="7693" xr3:uid="{1070A452-EC0B-4BAB-B0A4-C43C2F6D66C6}" name="Column7693"/>
    <tableColumn id="7694" xr3:uid="{E45721F2-C466-41E5-B629-AA8AAC36ECA8}" name="Column7694"/>
    <tableColumn id="7695" xr3:uid="{4DCB7875-C0C5-495A-80BB-5E834BB5C2FC}" name="Column7695"/>
    <tableColumn id="7696" xr3:uid="{1837E1BC-EBFA-4081-AD75-0FF8BAEEA3CB}" name="Column7696"/>
    <tableColumn id="7697" xr3:uid="{52ACAD42-5B44-44DC-A370-574CF806E6FE}" name="Column7697"/>
    <tableColumn id="7698" xr3:uid="{B5240CBB-AAF4-493F-B001-EB9BAD04D278}" name="Column7698"/>
    <tableColumn id="7699" xr3:uid="{104B048C-5728-4623-894E-EDB5B9EAA8EB}" name="Column7699"/>
    <tableColumn id="7700" xr3:uid="{1313DCF4-DBBC-4A3F-A9F5-E0A4CC2EEB28}" name="Column7700"/>
    <tableColumn id="7701" xr3:uid="{D058173C-DA2A-4966-ABFD-860C74CEC8AE}" name="Column7701"/>
    <tableColumn id="7702" xr3:uid="{090C2DCE-B278-4091-A1F8-2C7AF9817505}" name="Column7702"/>
    <tableColumn id="7703" xr3:uid="{0375FE61-52AB-426B-85FD-F1618120FF3B}" name="Column7703"/>
    <tableColumn id="7704" xr3:uid="{7877AB9A-799A-4375-A33D-C381A63D9511}" name="Column7704"/>
    <tableColumn id="7705" xr3:uid="{E32BE113-E3B0-4050-AA34-B14F9A05A1FB}" name="Column7705"/>
    <tableColumn id="7706" xr3:uid="{8B849BF4-9F63-44C4-9E79-283FFDCC3E41}" name="Column7706"/>
    <tableColumn id="7707" xr3:uid="{00C7D9DA-554D-4343-AA49-E207CBF8BCB8}" name="Column7707"/>
    <tableColumn id="7708" xr3:uid="{92B266C7-C533-44E9-935E-37766A5095DC}" name="Column7708"/>
    <tableColumn id="7709" xr3:uid="{DBAB1D16-3159-4C04-8D91-72C19A16F570}" name="Column7709"/>
    <tableColumn id="7710" xr3:uid="{82C25ADE-65AF-4F44-94AE-D7AD070C7437}" name="Column7710"/>
    <tableColumn id="7711" xr3:uid="{8E624620-50FA-458F-AB84-4C14BB57EA1B}" name="Column7711"/>
    <tableColumn id="7712" xr3:uid="{2C79FDEC-5252-4195-ACA9-288F1B59C212}" name="Column7712"/>
    <tableColumn id="7713" xr3:uid="{748384C5-1247-425C-BECC-5A5F711CA512}" name="Column7713"/>
    <tableColumn id="7714" xr3:uid="{97E6CB0E-3794-4D85-A238-8F632FB9E812}" name="Column7714"/>
    <tableColumn id="7715" xr3:uid="{C210D4DC-A74E-4D3B-8267-611035D0E006}" name="Column7715"/>
    <tableColumn id="7716" xr3:uid="{67765E1D-D0C8-4F91-A457-868D56DF0A64}" name="Column7716"/>
    <tableColumn id="7717" xr3:uid="{2C9010EC-D140-4DD0-86DD-B03400E283A9}" name="Column7717"/>
    <tableColumn id="7718" xr3:uid="{459B684E-08B6-4577-BBD3-02DD84A2C051}" name="Column7718"/>
    <tableColumn id="7719" xr3:uid="{08E23F0D-CAD5-44D9-8EF5-46F4312FB5A9}" name="Column7719"/>
    <tableColumn id="7720" xr3:uid="{4840684C-A558-4F20-A92B-5F2D0BE7740F}" name="Column7720"/>
    <tableColumn id="7721" xr3:uid="{8A08C74D-0571-48C5-A7C2-0075ECB8CE6C}" name="Column7721"/>
    <tableColumn id="7722" xr3:uid="{8766CAC4-7135-4DA6-B3EF-E4975D390719}" name="Column7722"/>
    <tableColumn id="7723" xr3:uid="{5FF15E6C-5AFC-46C7-A942-83E37C41D706}" name="Column7723"/>
    <tableColumn id="7724" xr3:uid="{08AEAB38-DD5C-4A70-B5DD-D4F9A6E1326B}" name="Column7724"/>
    <tableColumn id="7725" xr3:uid="{670130E8-C3AE-4502-AFCF-62F03EBC0EC9}" name="Column7725"/>
    <tableColumn id="7726" xr3:uid="{06A7B35C-D50D-4CEE-A3BF-F7B1ED5E2A1D}" name="Column7726"/>
    <tableColumn id="7727" xr3:uid="{5190B00A-49B5-4A2B-9F68-B0A3B7BD8D05}" name="Column7727"/>
    <tableColumn id="7728" xr3:uid="{DFDEE44C-9516-47AC-9233-ADB4A47862A7}" name="Column7728"/>
    <tableColumn id="7729" xr3:uid="{FDB63F63-D0D7-4D16-980F-E8643DC839BD}" name="Column7729"/>
    <tableColumn id="7730" xr3:uid="{DED9647E-E87E-483A-97DC-C5B9DA41C0B1}" name="Column7730"/>
    <tableColumn id="7731" xr3:uid="{50366BDA-D8AF-4FEA-994D-8E70C8BD37D7}" name="Column7731"/>
    <tableColumn id="7732" xr3:uid="{8BA4223E-0316-4770-A884-4EEE423100D1}" name="Column7732"/>
    <tableColumn id="7733" xr3:uid="{2A400B09-4A12-42F0-9274-FD170227CF58}" name="Column7733"/>
    <tableColumn id="7734" xr3:uid="{52754EA4-2A18-4A4B-B7CC-D1BD488D9186}" name="Column7734"/>
    <tableColumn id="7735" xr3:uid="{CAB415DC-0401-439B-A425-660B76A2F3E5}" name="Column7735"/>
    <tableColumn id="7736" xr3:uid="{910887F7-129E-4788-8718-AE4514530C35}" name="Column7736"/>
    <tableColumn id="7737" xr3:uid="{C7DA725D-4391-4DD2-8949-DE6FC3BDB0E3}" name="Column7737"/>
    <tableColumn id="7738" xr3:uid="{0AF05D31-3AD0-4ABF-ABE8-B14EEBD779C7}" name="Column7738"/>
    <tableColumn id="7739" xr3:uid="{A23150F1-EF2E-468B-B946-3C22DA5CE02E}" name="Column7739"/>
    <tableColumn id="7740" xr3:uid="{9BD74E81-334E-4FC0-AADD-5CCDD17ABE5B}" name="Column7740"/>
    <tableColumn id="7741" xr3:uid="{5D09F760-AD77-439E-BAD2-34ED36B1EA8B}" name="Column7741"/>
    <tableColumn id="7742" xr3:uid="{0C3368F2-19A0-4DAC-92C7-5F0CE071E9D4}" name="Column7742"/>
    <tableColumn id="7743" xr3:uid="{77D3FC98-85C8-4170-B204-029497B20E89}" name="Column7743"/>
    <tableColumn id="7744" xr3:uid="{A9DB0171-0795-4AC3-82F0-A78FB034C867}" name="Column7744"/>
    <tableColumn id="7745" xr3:uid="{6261CEB5-5974-48DF-B169-871F89BD228F}" name="Column7745"/>
    <tableColumn id="7746" xr3:uid="{E5CA3F2C-C86B-4FEA-A954-592A14BB264B}" name="Column7746"/>
    <tableColumn id="7747" xr3:uid="{47CF7BD6-7047-4F25-A3C7-9887243FBD48}" name="Column7747"/>
    <tableColumn id="7748" xr3:uid="{2A305D4C-23E3-4D72-AE89-8ED38E82C89B}" name="Column7748"/>
    <tableColumn id="7749" xr3:uid="{28A55A2A-409D-4397-9896-D318C35965F1}" name="Column7749"/>
    <tableColumn id="7750" xr3:uid="{8F975243-AE73-4A73-9F44-4B4863514D52}" name="Column7750"/>
    <tableColumn id="7751" xr3:uid="{7BE79B02-DCDB-44FE-8060-EBA338514DC7}" name="Column7751"/>
    <tableColumn id="7752" xr3:uid="{1F18C447-3A60-4D6A-ABF8-512EFD531001}" name="Column7752"/>
    <tableColumn id="7753" xr3:uid="{B6CAC9D9-726F-420C-B2CA-177BDB01E76F}" name="Column7753"/>
    <tableColumn id="7754" xr3:uid="{821554E5-5074-4CA1-BFD9-4AE680CEACBC}" name="Column7754"/>
    <tableColumn id="7755" xr3:uid="{00E1DF22-8375-4217-9836-7A414CCFD6A2}" name="Column7755"/>
    <tableColumn id="7756" xr3:uid="{F69C71D4-1D45-40EE-A67B-D7C291B9E8F1}" name="Column7756"/>
    <tableColumn id="7757" xr3:uid="{AFCCEF88-25C0-4277-8B4B-F2A8243AB46F}" name="Column7757"/>
    <tableColumn id="7758" xr3:uid="{C5F0FF26-CD14-48C8-AB07-5F9E24207A31}" name="Column7758"/>
    <tableColumn id="7759" xr3:uid="{ABD5C43C-6F63-482E-8592-ABA8DBA788B2}" name="Column7759"/>
    <tableColumn id="7760" xr3:uid="{A41F0E69-4957-42D5-AE07-DE7B0EB79713}" name="Column7760"/>
    <tableColumn id="7761" xr3:uid="{91D80908-45D4-46C0-9F6C-C7D59D815250}" name="Column7761"/>
    <tableColumn id="7762" xr3:uid="{ABA2D980-1786-4CE9-8BE2-673F0A777D04}" name="Column7762"/>
    <tableColumn id="7763" xr3:uid="{E3F01117-3006-4D6F-9C5A-C2EC0B371342}" name="Column7763"/>
    <tableColumn id="7764" xr3:uid="{898965A6-75E7-4E0F-ADB4-38DF7FAF5CBC}" name="Column7764"/>
    <tableColumn id="7765" xr3:uid="{6E668BC7-C4CC-4807-A751-492DC845D0C5}" name="Column7765"/>
    <tableColumn id="7766" xr3:uid="{B4BE62AD-BD75-40A7-9B1F-28C312A69863}" name="Column7766"/>
    <tableColumn id="7767" xr3:uid="{846F1979-AEE2-4EE8-A485-F4D0121C88E2}" name="Column7767"/>
    <tableColumn id="7768" xr3:uid="{0607E5DF-B9E3-461A-BE09-1BB6EEC9C4C9}" name="Column7768"/>
    <tableColumn id="7769" xr3:uid="{4B24E596-3ECF-4AF1-B5FA-6AE0408873B0}" name="Column7769"/>
    <tableColumn id="7770" xr3:uid="{79E9F376-1A60-4F3A-AE87-F15A4C839CA1}" name="Column7770"/>
    <tableColumn id="7771" xr3:uid="{15F74CDD-B419-44C7-A642-0E4215EA3397}" name="Column7771"/>
    <tableColumn id="7772" xr3:uid="{DD5ADDE5-E6AF-45CD-9ACA-B8CB0CF2B393}" name="Column7772"/>
    <tableColumn id="7773" xr3:uid="{60CBEEF7-E504-4090-BB2F-83288CEACBC3}" name="Column7773"/>
    <tableColumn id="7774" xr3:uid="{EF5A34B2-6F75-4119-85D3-34D5FA45CC5C}" name="Column7774"/>
    <tableColumn id="7775" xr3:uid="{FF58F521-0FC0-4F05-9EFA-D2C169F772C8}" name="Column7775"/>
    <tableColumn id="7776" xr3:uid="{D7E8CF83-0691-499A-A632-300F982B58DD}" name="Column7776"/>
    <tableColumn id="7777" xr3:uid="{458DC582-D84E-41E5-BCC4-D29D8F0E2642}" name="Column7777"/>
    <tableColumn id="7778" xr3:uid="{A3802D11-BD9F-47F3-B88D-29AB543058E8}" name="Column7778"/>
    <tableColumn id="7779" xr3:uid="{F247CF35-8A8E-46F6-A7FA-073CA8079A41}" name="Column7779"/>
    <tableColumn id="7780" xr3:uid="{1525925D-6F9C-46CE-8E54-8AA491587373}" name="Column7780"/>
    <tableColumn id="7781" xr3:uid="{7B7857B9-4EF3-4B72-9AEA-1E5892EF74C8}" name="Column7781"/>
    <tableColumn id="7782" xr3:uid="{2B3F1635-20C9-4811-B4C3-4841B633F7D4}" name="Column7782"/>
    <tableColumn id="7783" xr3:uid="{63E7AE38-38B5-49DA-8050-B8CEE60D1ED0}" name="Column7783"/>
    <tableColumn id="7784" xr3:uid="{4761DBE8-F5B6-47C4-91FC-4854B668AF96}" name="Column7784"/>
    <tableColumn id="7785" xr3:uid="{B4ECFAFF-1044-43AE-A517-6A02F4253474}" name="Column7785"/>
    <tableColumn id="7786" xr3:uid="{5CC57F6F-90C4-469B-8CF5-7EB4B678E154}" name="Column7786"/>
    <tableColumn id="7787" xr3:uid="{985CC036-125A-4AB8-8F82-9A045F71E518}" name="Column7787"/>
    <tableColumn id="7788" xr3:uid="{46047E78-A5CE-4D0C-9462-858CFA93312D}" name="Column7788"/>
    <tableColumn id="7789" xr3:uid="{C193DBD1-4C1D-4883-9032-4E29D7C707EE}" name="Column7789"/>
    <tableColumn id="7790" xr3:uid="{E39757D3-DA4D-40DF-A1EE-31A76BE1F1F3}" name="Column7790"/>
    <tableColumn id="7791" xr3:uid="{2237E1D6-30C7-4EC7-829C-C8E8437A3F0C}" name="Column7791"/>
    <tableColumn id="7792" xr3:uid="{8DD72DDB-AD04-4043-AF00-0CD49B67E8AF}" name="Column7792"/>
    <tableColumn id="7793" xr3:uid="{1D9A6876-A5C1-4466-B04F-B60B09B96DA9}" name="Column7793"/>
    <tableColumn id="7794" xr3:uid="{C12B8485-9ED2-44C5-845D-3552E3E9BC12}" name="Column7794"/>
    <tableColumn id="7795" xr3:uid="{59301486-547F-4951-805A-B787B5DDC9C0}" name="Column7795"/>
    <tableColumn id="7796" xr3:uid="{FA6764BE-0FD4-4DC9-9274-7E8990669920}" name="Column7796"/>
    <tableColumn id="7797" xr3:uid="{BA0CB421-8F4B-4C32-A824-0BDC84C50021}" name="Column7797"/>
    <tableColumn id="7798" xr3:uid="{2238232D-FACF-4D06-8975-F69292D03AA9}" name="Column7798"/>
    <tableColumn id="7799" xr3:uid="{B2F14688-6E4E-4412-A1D3-8479544D443A}" name="Column7799"/>
    <tableColumn id="7800" xr3:uid="{4C5E6D01-E112-49F3-AED7-076D7D93568F}" name="Column7800"/>
    <tableColumn id="7801" xr3:uid="{2CB6D5E4-3027-4CA6-AF8E-7D9D7AD87B4A}" name="Column7801"/>
    <tableColumn id="7802" xr3:uid="{B8A547F7-BAA8-4A4A-AF58-FC1974C4D656}" name="Column7802"/>
    <tableColumn id="7803" xr3:uid="{3E460449-70A9-4EC6-B19F-FD8B3E10D880}" name="Column7803"/>
    <tableColumn id="7804" xr3:uid="{AA731C6A-5DCC-4A27-AF13-D20A794FB080}" name="Column7804"/>
    <tableColumn id="7805" xr3:uid="{1C0C1129-380E-454C-BD98-9B7720868E2D}" name="Column7805"/>
    <tableColumn id="7806" xr3:uid="{D0352128-2986-4C6B-8217-E82337290E9F}" name="Column7806"/>
    <tableColumn id="7807" xr3:uid="{BF149BA7-BED2-4894-8EFE-33FC6384F170}" name="Column7807"/>
    <tableColumn id="7808" xr3:uid="{EB0CC13D-7538-4B06-A78C-FF0F9C0345AB}" name="Column7808"/>
    <tableColumn id="7809" xr3:uid="{4E420A46-BF3D-4FCF-A1E8-3E5C21E7EE79}" name="Column7809"/>
    <tableColumn id="7810" xr3:uid="{5286175C-D2BE-43FD-93E5-AE5E2CD7770A}" name="Column7810"/>
    <tableColumn id="7811" xr3:uid="{C73D1E18-6CB8-4126-B4E6-665E3E221E61}" name="Column7811"/>
    <tableColumn id="7812" xr3:uid="{D6A062DC-EB5D-4A64-BC37-2FA8ED277880}" name="Column7812"/>
    <tableColumn id="7813" xr3:uid="{3EC2BBE0-0C5C-4B5C-B31C-623AB1DD9E28}" name="Column7813"/>
    <tableColumn id="7814" xr3:uid="{40EAC6B5-518C-4178-A7F1-200459F9E899}" name="Column7814"/>
    <tableColumn id="7815" xr3:uid="{2FF57A2B-8D8D-49C1-B24E-ACBC51B0C58D}" name="Column7815"/>
    <tableColumn id="7816" xr3:uid="{4D46CF6D-7B24-4BB2-8C57-070C9C4C07FB}" name="Column7816"/>
    <tableColumn id="7817" xr3:uid="{E0D7B4E8-CCC0-419D-9936-4584B4279344}" name="Column7817"/>
    <tableColumn id="7818" xr3:uid="{BCAA17AA-EAD5-4675-9C8F-D97601BFB0C2}" name="Column7818"/>
    <tableColumn id="7819" xr3:uid="{19DD27DE-7F4E-4153-BA34-3F646766E9D5}" name="Column7819"/>
    <tableColumn id="7820" xr3:uid="{647F6E27-9B4D-4374-96A2-4E8F7A539C79}" name="Column7820"/>
    <tableColumn id="7821" xr3:uid="{536D76D6-F5CF-40A1-B654-A60A28707E45}" name="Column7821"/>
    <tableColumn id="7822" xr3:uid="{352A4F5D-24C9-479B-9882-21ACD3862051}" name="Column7822"/>
    <tableColumn id="7823" xr3:uid="{F3E0F6B9-3D5E-41A7-8494-E45AE1AC90F4}" name="Column7823"/>
    <tableColumn id="7824" xr3:uid="{F297F63F-0590-4F4B-B0DA-5D73530C35DA}" name="Column7824"/>
    <tableColumn id="7825" xr3:uid="{BE57E866-E0B1-422C-8C70-0297CBA4FE81}" name="Column7825"/>
    <tableColumn id="7826" xr3:uid="{B38E96FC-552D-4600-9228-1C965D1957BD}" name="Column7826"/>
    <tableColumn id="7827" xr3:uid="{BBDE49F4-FD9C-4C2C-B2F7-331644B16D21}" name="Column7827"/>
    <tableColumn id="7828" xr3:uid="{99B2CC6F-1E83-4820-BAFC-E7A9B6D02495}" name="Column7828"/>
    <tableColumn id="7829" xr3:uid="{0570E865-02A0-462F-9DF6-B6796B5FC2D7}" name="Column7829"/>
    <tableColumn id="7830" xr3:uid="{FDF5F13C-C39B-4B92-851E-B23A4678F1F7}" name="Column7830"/>
    <tableColumn id="7831" xr3:uid="{75B11A00-C474-4549-8A8C-527C7CEEDD12}" name="Column7831"/>
    <tableColumn id="7832" xr3:uid="{14482C46-49D1-4A23-A1C8-028579C1860A}" name="Column7832"/>
    <tableColumn id="7833" xr3:uid="{ADA15212-E5E0-4956-9DC7-C22C65DE8F6C}" name="Column7833"/>
    <tableColumn id="7834" xr3:uid="{563C6359-E265-4110-8964-E2C32C5D2F42}" name="Column7834"/>
    <tableColumn id="7835" xr3:uid="{5AAED564-D4EA-41DF-B025-771439C69B3F}" name="Column7835"/>
    <tableColumn id="7836" xr3:uid="{2F276CBB-91ED-45B2-895F-F0F95321B58C}" name="Column7836"/>
    <tableColumn id="7837" xr3:uid="{C3C22CC0-8AC1-4830-9B3B-E822A194F4C6}" name="Column7837"/>
    <tableColumn id="7838" xr3:uid="{6E1D6E9A-5099-492B-9896-F1C3DD7C85D6}" name="Column7838"/>
    <tableColumn id="7839" xr3:uid="{9AEFBDD9-5E7A-4C24-886D-D20AEADED824}" name="Column7839"/>
    <tableColumn id="7840" xr3:uid="{6E6C86E8-A454-44EA-8EA7-B61D1E006384}" name="Column7840"/>
    <tableColumn id="7841" xr3:uid="{C5608B3C-E7B6-4CFD-8339-869D12B0AF1B}" name="Column7841"/>
    <tableColumn id="7842" xr3:uid="{ADCB2B28-2DF8-4B64-83E1-61C88B455EFF}" name="Column7842"/>
    <tableColumn id="7843" xr3:uid="{BB4320C4-3815-420F-9D9E-93B7BD66D70B}" name="Column7843"/>
    <tableColumn id="7844" xr3:uid="{A6A13EA2-C99E-4C4B-B510-0FB7CC932D5F}" name="Column7844"/>
    <tableColumn id="7845" xr3:uid="{A20F1F43-1ECA-4876-A794-E1A0000E8FB2}" name="Column7845"/>
    <tableColumn id="7846" xr3:uid="{E7F0652D-3112-4BC2-9FD4-97F9E701C2A2}" name="Column7846"/>
    <tableColumn id="7847" xr3:uid="{7262F86C-AFBC-4249-B7F4-50E06616CABE}" name="Column7847"/>
    <tableColumn id="7848" xr3:uid="{7FC400B5-0533-4694-A76F-4E6C45D4511E}" name="Column7848"/>
    <tableColumn id="7849" xr3:uid="{6E4F79E2-D865-4F87-A51B-254325AB043E}" name="Column7849"/>
    <tableColumn id="7850" xr3:uid="{8A4867B1-D691-4EC8-B595-1B0D28852917}" name="Column7850"/>
    <tableColumn id="7851" xr3:uid="{13554A2E-A1A9-497B-AF76-B17E53F584AF}" name="Column7851"/>
    <tableColumn id="7852" xr3:uid="{58BCCA1F-A076-4FED-AFB0-FDA0BFF7526E}" name="Column7852"/>
    <tableColumn id="7853" xr3:uid="{472D2B14-E85C-497F-B767-D1145F393B4D}" name="Column7853"/>
    <tableColumn id="7854" xr3:uid="{9ED087C4-A960-44AE-82A1-ECE42FD2D55C}" name="Column7854"/>
    <tableColumn id="7855" xr3:uid="{BD57B462-BEFB-4F8B-B0C3-3B7F73FE1C19}" name="Column7855"/>
    <tableColumn id="7856" xr3:uid="{A71B5C10-58DE-4D26-B686-F8A63522AAFA}" name="Column7856"/>
    <tableColumn id="7857" xr3:uid="{D0A435AF-3A64-41C7-A406-07D2653F6EFE}" name="Column7857"/>
    <tableColumn id="7858" xr3:uid="{578171E2-11EF-4000-8799-C21367CDDA8C}" name="Column7858"/>
    <tableColumn id="7859" xr3:uid="{CCDE14AB-2D26-45EA-A1D9-5D58EB36CD05}" name="Column7859"/>
    <tableColumn id="7860" xr3:uid="{5E432DDC-4CCB-4E3E-87B5-8208C1CBAE2D}" name="Column7860"/>
    <tableColumn id="7861" xr3:uid="{789B91F7-FC56-4839-8B2B-7360C68760AB}" name="Column7861"/>
    <tableColumn id="7862" xr3:uid="{7DB5DB39-7A66-4D02-B5C7-4ED870151366}" name="Column7862"/>
    <tableColumn id="7863" xr3:uid="{053B8F63-73C6-40E5-B03D-6541914FE10E}" name="Column7863"/>
    <tableColumn id="7864" xr3:uid="{E327C3AD-68FA-4F00-ABD3-6DCE9FA0FA73}" name="Column7864"/>
    <tableColumn id="7865" xr3:uid="{24BA5068-53F5-4019-8888-ECCA2749DE02}" name="Column7865"/>
    <tableColumn id="7866" xr3:uid="{01DDFA97-4D0C-498C-B3F6-F2CDBBF9C5BD}" name="Column7866"/>
    <tableColumn id="7867" xr3:uid="{528A0E90-BF58-454A-8D79-D2EE48888FF7}" name="Column7867"/>
    <tableColumn id="7868" xr3:uid="{BE0867C0-1E2E-4A6F-8654-D7B449FD6372}" name="Column7868"/>
    <tableColumn id="7869" xr3:uid="{EF8D1A22-10AB-47D1-B868-B44206D7EDC5}" name="Column7869"/>
    <tableColumn id="7870" xr3:uid="{7DFF7A91-453A-4A59-B71C-8E4895DCA97E}" name="Column7870"/>
    <tableColumn id="7871" xr3:uid="{13923D09-ED3B-4D03-9CC3-A41C0D4DAA3C}" name="Column7871"/>
    <tableColumn id="7872" xr3:uid="{D0775817-0D08-4A62-A6D4-3CECBDC62C0A}" name="Column7872"/>
    <tableColumn id="7873" xr3:uid="{E6EC374C-E559-4359-B62A-FEB6E179054F}" name="Column7873"/>
    <tableColumn id="7874" xr3:uid="{0D6FBC45-BDC2-4DDD-A804-F787957B9BB7}" name="Column7874"/>
    <tableColumn id="7875" xr3:uid="{6463B40F-D505-40D6-9116-2450BB1D381C}" name="Column7875"/>
    <tableColumn id="7876" xr3:uid="{9F494B0A-5B4F-4BCF-AD34-B90731E1B555}" name="Column7876"/>
    <tableColumn id="7877" xr3:uid="{173248A4-6ACE-4D96-8FBC-3AEEB8E3FBED}" name="Column7877"/>
    <tableColumn id="7878" xr3:uid="{866FFF90-3127-48AD-9C02-16C1A137A3EF}" name="Column7878"/>
    <tableColumn id="7879" xr3:uid="{2E16AEDA-4289-43E1-ADA3-53556ACBA5F8}" name="Column7879"/>
    <tableColumn id="7880" xr3:uid="{E0099C9C-F4FE-4C6D-8566-E92C550725F5}" name="Column7880"/>
    <tableColumn id="7881" xr3:uid="{5BA0AD12-03D7-45A7-93ED-3C39CB069C3C}" name="Column7881"/>
    <tableColumn id="7882" xr3:uid="{7C0D1E83-F829-46C7-B6B6-EB7656567E1B}" name="Column7882"/>
    <tableColumn id="7883" xr3:uid="{8B2D1CA2-7205-4DF4-878E-DA272DCA6245}" name="Column7883"/>
    <tableColumn id="7884" xr3:uid="{662A0731-AA9D-4154-B82D-2DF36318FAB6}" name="Column7884"/>
    <tableColumn id="7885" xr3:uid="{AD3548A2-C506-4851-8797-8612D2CF056A}" name="Column7885"/>
    <tableColumn id="7886" xr3:uid="{B46121E9-0958-4D0A-AFAD-2928326BAEA9}" name="Column7886"/>
    <tableColumn id="7887" xr3:uid="{89A08E97-0E13-494C-97D3-C72B45BE874C}" name="Column7887"/>
    <tableColumn id="7888" xr3:uid="{B3BE4704-1F41-4BE7-A638-7FE33FDBB562}" name="Column7888"/>
    <tableColumn id="7889" xr3:uid="{51C43DA6-8336-45FD-AB7E-79A75DA33B6E}" name="Column7889"/>
    <tableColumn id="7890" xr3:uid="{24337DBA-B20B-4A19-A81E-D83704B5DA9B}" name="Column7890"/>
    <tableColumn id="7891" xr3:uid="{D8C0A1FE-C0C8-4877-9773-F21F519C8B5C}" name="Column7891"/>
    <tableColumn id="7892" xr3:uid="{621A525A-23C4-45C1-995D-ED9B1E7AA250}" name="Column7892"/>
    <tableColumn id="7893" xr3:uid="{64EB9612-171F-486B-85F3-A905F6B43E4A}" name="Column7893"/>
    <tableColumn id="7894" xr3:uid="{8F8FF2A6-9AC5-45B0-9BC9-F5143CBD6689}" name="Column7894"/>
    <tableColumn id="7895" xr3:uid="{184F71FA-14BF-4263-BF68-B5E45796C3B0}" name="Column7895"/>
    <tableColumn id="7896" xr3:uid="{4AF69720-FC36-4779-9449-D7584BAD573A}" name="Column7896"/>
    <tableColumn id="7897" xr3:uid="{FB991E33-B5DE-4A6D-8810-1DCD44E7C532}" name="Column7897"/>
    <tableColumn id="7898" xr3:uid="{63D1D169-C9BA-4F0F-B1D5-6013E45857CD}" name="Column7898"/>
    <tableColumn id="7899" xr3:uid="{735642C9-3BFF-4039-9FDA-70EE33678CD4}" name="Column7899"/>
    <tableColumn id="7900" xr3:uid="{81CE93B1-3A8D-49F8-840B-45540B8CAAE4}" name="Column7900"/>
    <tableColumn id="7901" xr3:uid="{74AAC60F-A784-43FE-8B52-282634023BEB}" name="Column7901"/>
    <tableColumn id="7902" xr3:uid="{2451746A-9249-4CEA-8567-3E8785E02D19}" name="Column7902"/>
    <tableColumn id="7903" xr3:uid="{5875A6E9-C1FB-4C63-8124-0116FB364D05}" name="Column7903"/>
    <tableColumn id="7904" xr3:uid="{57FEFE2B-75CC-4739-B64E-776DAEE6C2A0}" name="Column7904"/>
    <tableColumn id="7905" xr3:uid="{98312397-D6F1-40EE-A2A0-7A9DDB331CEF}" name="Column7905"/>
    <tableColumn id="7906" xr3:uid="{5C66916C-BA04-4A17-BA2D-6967CABC141C}" name="Column7906"/>
    <tableColumn id="7907" xr3:uid="{F63362C0-40E0-41A6-A0D9-C9FB0F68A8AB}" name="Column7907"/>
    <tableColumn id="7908" xr3:uid="{601E4FA3-886D-40DF-950C-06DF15DD0ED6}" name="Column7908"/>
    <tableColumn id="7909" xr3:uid="{CE7F6D2F-7EBF-4AC5-89E6-FEECE410F56F}" name="Column7909"/>
    <tableColumn id="7910" xr3:uid="{59A14C07-A99A-4799-9F74-02CC7DBC8072}" name="Column7910"/>
    <tableColumn id="7911" xr3:uid="{DA56617C-AC38-4D50-8D99-9F606D1944F6}" name="Column7911"/>
    <tableColumn id="7912" xr3:uid="{EFFD2790-4E09-426D-B7EC-03B22A4060C8}" name="Column7912"/>
    <tableColumn id="7913" xr3:uid="{0D058093-84C5-4FC0-94F9-3248A743648D}" name="Column7913"/>
    <tableColumn id="7914" xr3:uid="{38372965-FD83-410E-BC53-F43302167C77}" name="Column7914"/>
    <tableColumn id="7915" xr3:uid="{966F61CC-63D8-4F6B-BE69-FF3D287D91A4}" name="Column7915"/>
    <tableColumn id="7916" xr3:uid="{DF79B0D4-A8F0-4B6E-AED3-79DB05747752}" name="Column7916"/>
    <tableColumn id="7917" xr3:uid="{564E1FC4-CDD1-4DEB-8878-E3086DF40156}" name="Column7917"/>
    <tableColumn id="7918" xr3:uid="{2EB8B4E8-3064-4354-B024-8E65623A88C9}" name="Column7918"/>
    <tableColumn id="7919" xr3:uid="{E86B85BE-89DB-4CA2-8A1A-8480439DB9CD}" name="Column7919"/>
    <tableColumn id="7920" xr3:uid="{A7D2813D-947A-4CD6-A186-53ACE470B15E}" name="Column7920"/>
    <tableColumn id="7921" xr3:uid="{608DEF9C-B487-41C4-8330-88A1C025B7C0}" name="Column7921"/>
    <tableColumn id="7922" xr3:uid="{455164B5-8432-4A12-892F-75B5EA63C99C}" name="Column7922"/>
    <tableColumn id="7923" xr3:uid="{B98C4C98-BA7E-489C-9A02-29E4421E3BC8}" name="Column7923"/>
    <tableColumn id="7924" xr3:uid="{1126D38C-43AC-480D-9F8F-C7418FCE26EF}" name="Column7924"/>
    <tableColumn id="7925" xr3:uid="{2FBCF959-C2BD-4861-9393-F91C1A7DF7DA}" name="Column7925"/>
    <tableColumn id="7926" xr3:uid="{2022A7B3-42C8-49E7-B8E8-2BC237590CF0}" name="Column7926"/>
    <tableColumn id="7927" xr3:uid="{981ED907-3B74-4493-B547-902871094EE7}" name="Column7927"/>
    <tableColumn id="7928" xr3:uid="{A3885E30-5DFD-457D-9356-2DD5F9D6E23F}" name="Column7928"/>
    <tableColumn id="7929" xr3:uid="{D9EA661E-3718-4C50-B269-AADCDCEFCDC8}" name="Column7929"/>
    <tableColumn id="7930" xr3:uid="{75F4A9B6-D207-4130-938B-86D0428F40FF}" name="Column7930"/>
    <tableColumn id="7931" xr3:uid="{354C9DE2-2EE6-4F7D-A436-4F099181F99B}" name="Column7931"/>
    <tableColumn id="7932" xr3:uid="{37708F84-F9D1-445D-AA23-B422B987F0B0}" name="Column7932"/>
    <tableColumn id="7933" xr3:uid="{CAD5447F-F3BD-40B9-8B3F-677FE32A886A}" name="Column7933"/>
    <tableColumn id="7934" xr3:uid="{E742C999-0813-4FC9-B07D-BD719DC80450}" name="Column7934"/>
    <tableColumn id="7935" xr3:uid="{D2BB2EBC-41EC-4854-A947-C29C949B4325}" name="Column7935"/>
    <tableColumn id="7936" xr3:uid="{32CF9AAE-DDF8-4847-828A-38E4755BBCF5}" name="Column7936"/>
    <tableColumn id="7937" xr3:uid="{61904E47-09A3-47DB-8F3C-E9EAD360FD0D}" name="Column7937"/>
    <tableColumn id="7938" xr3:uid="{337A2AA5-7229-4B72-BD9D-6506B6FA8433}" name="Column7938"/>
    <tableColumn id="7939" xr3:uid="{8B2EC3E4-6B62-4B3B-BF0E-0A372EAC30BD}" name="Column7939"/>
    <tableColumn id="7940" xr3:uid="{361522D1-173D-4502-9F97-ED259A092ACD}" name="Column7940"/>
    <tableColumn id="7941" xr3:uid="{E571CFC1-980F-4F4A-B418-636700375E30}" name="Column7941"/>
    <tableColumn id="7942" xr3:uid="{8EF55A57-6984-4837-92F1-91E7315A8E71}" name="Column7942"/>
    <tableColumn id="7943" xr3:uid="{CEB14FF7-C304-4D75-91C9-C65B666C1646}" name="Column7943"/>
    <tableColumn id="7944" xr3:uid="{73266F8F-0E9A-4364-B8B8-798A49F6E330}" name="Column7944"/>
    <tableColumn id="7945" xr3:uid="{A0B2BF5F-E257-48A4-AD9F-926888B3A9A2}" name="Column7945"/>
    <tableColumn id="7946" xr3:uid="{D18BDAF2-4B98-495F-BD43-158B481B5F11}" name="Column7946"/>
    <tableColumn id="7947" xr3:uid="{91053D5D-1779-4784-A759-3D8A8426BB84}" name="Column7947"/>
    <tableColumn id="7948" xr3:uid="{4D8A5432-0E9E-4687-A98F-50E7E94042CA}" name="Column7948"/>
    <tableColumn id="7949" xr3:uid="{F9690E31-61FD-4200-96B7-D683A4FEAB9E}" name="Column7949"/>
    <tableColumn id="7950" xr3:uid="{655478DB-8FD1-4535-B9E2-1C826B146F25}" name="Column7950"/>
    <tableColumn id="7951" xr3:uid="{51568C5B-023A-4445-AA1A-CB80B75B6042}" name="Column7951"/>
    <tableColumn id="7952" xr3:uid="{C3E3DE4D-BA96-468A-B8EB-AE06981B1833}" name="Column7952"/>
    <tableColumn id="7953" xr3:uid="{E85E2AD8-7C33-4AC6-A99F-006AF725CFA5}" name="Column7953"/>
    <tableColumn id="7954" xr3:uid="{12A04FAA-15B0-4561-ABF8-83F36EBAE9F6}" name="Column7954"/>
    <tableColumn id="7955" xr3:uid="{554DDB6B-7D3E-4853-A0DB-22118D8DB1E0}" name="Column7955"/>
    <tableColumn id="7956" xr3:uid="{2A2E1CA4-328E-4691-8CF3-BCFD6A1432EF}" name="Column7956"/>
    <tableColumn id="7957" xr3:uid="{5622D4BF-914E-4360-A3E3-DA44A53E9BB1}" name="Column7957"/>
    <tableColumn id="7958" xr3:uid="{B170C955-6E30-42D1-814D-54BC33BEB3A0}" name="Column7958"/>
    <tableColumn id="7959" xr3:uid="{8B1E822B-2345-4D1D-B479-0D75ED2311EC}" name="Column7959"/>
    <tableColumn id="7960" xr3:uid="{56BFE5A3-F287-4460-9394-FFCB429B4713}" name="Column7960"/>
    <tableColumn id="7961" xr3:uid="{21FC5EB2-FBB2-4EE8-93AB-64580EB6F2FA}" name="Column7961"/>
    <tableColumn id="7962" xr3:uid="{7F7B8E05-C331-48BB-9353-41DA6504B260}" name="Column7962"/>
    <tableColumn id="7963" xr3:uid="{6D6039BF-C320-4326-958E-3B2CBEDCE132}" name="Column7963"/>
    <tableColumn id="7964" xr3:uid="{FEEEAF86-71A9-47A5-BBA8-5412F8442D2C}" name="Column7964"/>
    <tableColumn id="7965" xr3:uid="{B07E93DF-B597-421C-875D-52F01773D6F2}" name="Column7965"/>
    <tableColumn id="7966" xr3:uid="{E1219D6D-561A-4C8C-99AD-63C83FBDB760}" name="Column7966"/>
    <tableColumn id="7967" xr3:uid="{82E9525D-72E3-4AF8-9F1F-5B9BEFF2B179}" name="Column7967"/>
    <tableColumn id="7968" xr3:uid="{A5F9EBE3-DFF0-424A-ADFA-C42ACB369BE1}" name="Column7968"/>
    <tableColumn id="7969" xr3:uid="{2FB13E54-8C42-4C79-9C2F-0109026826A2}" name="Column7969"/>
    <tableColumn id="7970" xr3:uid="{53B7535C-EE00-42F1-BE5C-0F1C0BFC2365}" name="Column7970"/>
    <tableColumn id="7971" xr3:uid="{695CBBF3-FE08-42BE-BA23-65C5427A0F0B}" name="Column7971"/>
    <tableColumn id="7972" xr3:uid="{7D148216-0F79-42F1-99CA-AB72BB24CBA9}" name="Column7972"/>
    <tableColumn id="7973" xr3:uid="{4E2A2B54-0F0E-4227-A6F8-725C9D6CC063}" name="Column7973"/>
    <tableColumn id="7974" xr3:uid="{855AD1E9-AF80-493B-8435-7689470ED223}" name="Column7974"/>
    <tableColumn id="7975" xr3:uid="{840C7869-8594-4158-8D6D-E964C7CB1273}" name="Column7975"/>
    <tableColumn id="7976" xr3:uid="{CC111A24-50F0-41E0-90CF-9F0AA26AE276}" name="Column7976"/>
    <tableColumn id="7977" xr3:uid="{31095272-9734-44F9-9ADB-7ED57C6537B9}" name="Column7977"/>
    <tableColumn id="7978" xr3:uid="{813C146F-81D8-4101-AD8A-3456D9BFFA3F}" name="Column7978"/>
    <tableColumn id="7979" xr3:uid="{27D9B061-C551-4A25-BF3D-99D5CCF1EA7C}" name="Column7979"/>
    <tableColumn id="7980" xr3:uid="{7ADC8E96-30B7-4485-8B79-5BCB89ADA3BF}" name="Column7980"/>
    <tableColumn id="7981" xr3:uid="{CBC056F5-842D-4E19-8509-F60C00D855BF}" name="Column7981"/>
    <tableColumn id="7982" xr3:uid="{AE0F028A-7A54-4C71-9114-64B0C412C279}" name="Column7982"/>
    <tableColumn id="7983" xr3:uid="{9D06167E-62EE-47BE-88F4-5726B5E17E6D}" name="Column7983"/>
    <tableColumn id="7984" xr3:uid="{D30D7B64-F370-456D-BA5E-9D05E0921023}" name="Column7984"/>
    <tableColumn id="7985" xr3:uid="{93516CAE-724C-49EC-9785-8C4AD16E1394}" name="Column7985"/>
    <tableColumn id="7986" xr3:uid="{521D07DA-EFFF-44CC-8B47-20B33FEF4F00}" name="Column7986"/>
    <tableColumn id="7987" xr3:uid="{D2D58A10-F297-4985-8CE1-39319008FD57}" name="Column7987"/>
    <tableColumn id="7988" xr3:uid="{B9E458B9-46DD-4B48-8F89-3243F5CECB08}" name="Column7988"/>
    <tableColumn id="7989" xr3:uid="{EEFBC4F1-C0CF-4835-88E7-3A59AFB14E60}" name="Column7989"/>
    <tableColumn id="7990" xr3:uid="{13DA64DD-A9B7-48D6-8169-B94792F4C5BF}" name="Column7990"/>
    <tableColumn id="7991" xr3:uid="{B96A0533-3054-4026-AF11-043ABB03766A}" name="Column7991"/>
    <tableColumn id="7992" xr3:uid="{A98BEEDF-79A0-420F-9205-3C8D31DABA4B}" name="Column7992"/>
    <tableColumn id="7993" xr3:uid="{B31B2DEE-68FD-42E9-84EC-A0D8710F4C96}" name="Column7993"/>
    <tableColumn id="7994" xr3:uid="{BEAE934A-1FEB-47C1-B9D8-E2336348DEA4}" name="Column7994"/>
    <tableColumn id="7995" xr3:uid="{209CF242-1FB8-4ABD-87E0-C41563D5A5DC}" name="Column7995"/>
    <tableColumn id="7996" xr3:uid="{E61D57F8-3827-4590-910A-92A5A3BDBB0F}" name="Column7996"/>
    <tableColumn id="7997" xr3:uid="{0E2E3B70-CB9D-4F60-BCAF-F0CE89BAFE3F}" name="Column7997"/>
    <tableColumn id="7998" xr3:uid="{E8423659-3EC3-4F48-9219-E42CC4BD278D}" name="Column7998"/>
    <tableColumn id="7999" xr3:uid="{D2853B74-10AE-4A38-B7B9-37DDFA365622}" name="Column7999"/>
    <tableColumn id="8000" xr3:uid="{8DCED847-59BA-470F-B0A2-2DF8456F2C77}" name="Column8000"/>
    <tableColumn id="8001" xr3:uid="{AE5E4F5B-7013-4E8B-AF1F-5581D5101F9C}" name="Column8001"/>
    <tableColumn id="8002" xr3:uid="{DFE57A07-56BA-4727-92FB-9262BBC42385}" name="Column8002"/>
    <tableColumn id="8003" xr3:uid="{FD828E7D-193A-413E-80E4-3D602DE037BA}" name="Column8003"/>
    <tableColumn id="8004" xr3:uid="{5A751FC0-DD60-4E7E-ADA6-59AE087F1564}" name="Column8004"/>
    <tableColumn id="8005" xr3:uid="{7254D935-969B-45F7-B2D4-E364EA61E300}" name="Column8005"/>
    <tableColumn id="8006" xr3:uid="{AF89AB1F-D7C1-4336-97FE-2AD853C16B90}" name="Column8006"/>
    <tableColumn id="8007" xr3:uid="{38963681-8C19-4246-AAF9-F2D054A9186A}" name="Column8007"/>
    <tableColumn id="8008" xr3:uid="{24008BC1-AB47-420F-82A7-32A8DD8E5183}" name="Column8008"/>
    <tableColumn id="8009" xr3:uid="{E5DB494F-E681-4BD5-BE20-16C6EF07F404}" name="Column8009"/>
    <tableColumn id="8010" xr3:uid="{3B23163F-DADC-4D6A-B755-AF5780D8172C}" name="Column8010"/>
    <tableColumn id="8011" xr3:uid="{0C1AA247-56DB-4836-934A-279ABDEB53DD}" name="Column8011"/>
    <tableColumn id="8012" xr3:uid="{D92B3DCE-EE63-4FC2-8778-AC33D2C0852C}" name="Column8012"/>
    <tableColumn id="8013" xr3:uid="{7876CD1F-0FD8-4C4B-8C5D-0BF0F18F429C}" name="Column8013"/>
    <tableColumn id="8014" xr3:uid="{7932AAFE-9902-478D-A118-3A0C41CA5F52}" name="Column8014"/>
    <tableColumn id="8015" xr3:uid="{1031425B-7301-40B6-BF79-3266F8A6B545}" name="Column8015"/>
    <tableColumn id="8016" xr3:uid="{5867FDB7-23B7-4973-ACFF-1C97A63D45A0}" name="Column8016"/>
    <tableColumn id="8017" xr3:uid="{BF8D161C-5A08-4302-AD46-E18F91EEC207}" name="Column8017"/>
    <tableColumn id="8018" xr3:uid="{73E5BA6F-6CD3-433E-9DB9-7201DB7CE192}" name="Column8018"/>
    <tableColumn id="8019" xr3:uid="{65D7BDDA-E869-4D82-B2D6-B72AC2C959EC}" name="Column8019"/>
    <tableColumn id="8020" xr3:uid="{09EE627A-55C1-4190-A5C8-FD333BEAF688}" name="Column8020"/>
    <tableColumn id="8021" xr3:uid="{A7ED5F7B-BA2D-4953-9435-CDFB82B68D5D}" name="Column8021"/>
    <tableColumn id="8022" xr3:uid="{5F0553EA-E6C7-4902-8EA7-5587DDD306A5}" name="Column8022"/>
    <tableColumn id="8023" xr3:uid="{B42B8EE0-C487-438A-84D7-B2D550EFF418}" name="Column8023"/>
    <tableColumn id="8024" xr3:uid="{5BE229B2-2F3E-42EF-865A-BCD514A9FF28}" name="Column8024"/>
    <tableColumn id="8025" xr3:uid="{15C9FEF1-907C-4871-93DF-CDDD4F623D6B}" name="Column8025"/>
    <tableColumn id="8026" xr3:uid="{A6F3E9B7-66D6-4ADB-B360-88097205D1C9}" name="Column8026"/>
    <tableColumn id="8027" xr3:uid="{61768EA4-8217-4047-9BCE-364263D1D8A2}" name="Column8027"/>
    <tableColumn id="8028" xr3:uid="{1DC5C2B4-B58F-4843-829F-50E15DBED39F}" name="Column8028"/>
    <tableColumn id="8029" xr3:uid="{8E1270F5-296D-44F8-8673-B3197DE9F888}" name="Column8029"/>
    <tableColumn id="8030" xr3:uid="{0F04111E-9618-417C-B074-EC4094D75DCA}" name="Column8030"/>
    <tableColumn id="8031" xr3:uid="{1BE1F2A8-0FD4-4EC7-8A55-EFEF0AB6B9CE}" name="Column8031"/>
    <tableColumn id="8032" xr3:uid="{412C9F0F-4DE6-4026-8F0B-9EACE1EC98E7}" name="Column8032"/>
    <tableColumn id="8033" xr3:uid="{51EB248B-E614-4192-A653-A61B93977B1F}" name="Column8033"/>
    <tableColumn id="8034" xr3:uid="{A76EA6D4-93A9-4EB3-B888-CB038A963511}" name="Column8034"/>
    <tableColumn id="8035" xr3:uid="{7CDC855B-B310-4153-9618-296AF098867E}" name="Column8035"/>
    <tableColumn id="8036" xr3:uid="{987BA58A-9C42-44E2-85E6-1214056FC4D9}" name="Column8036"/>
    <tableColumn id="8037" xr3:uid="{EEA250A8-41F2-4888-9D48-02DCEAF90B3B}" name="Column8037"/>
    <tableColumn id="8038" xr3:uid="{E8D6CE5E-2BB5-4F22-A80C-CCF6E7E3E5C9}" name="Column8038"/>
    <tableColumn id="8039" xr3:uid="{2DFEB009-0BCE-4D43-B3CB-67E5A62AEF1A}" name="Column8039"/>
    <tableColumn id="8040" xr3:uid="{71DB8664-F271-4B5A-9DC4-C74BF9D83570}" name="Column8040"/>
    <tableColumn id="8041" xr3:uid="{A4DB84D4-C9B1-4485-A563-454614D09CF0}" name="Column8041"/>
    <tableColumn id="8042" xr3:uid="{755E3562-9CA1-44F2-AD60-97B0885EFC2F}" name="Column8042"/>
    <tableColumn id="8043" xr3:uid="{4D2FFCAC-3F01-4943-A1E3-D317C3F0A4A9}" name="Column8043"/>
    <tableColumn id="8044" xr3:uid="{A02A5A8E-7890-4F73-8520-CECE982EEE3A}" name="Column8044"/>
    <tableColumn id="8045" xr3:uid="{D754C81F-21F4-4FD4-AB9E-A60C7B9FED4C}" name="Column8045"/>
    <tableColumn id="8046" xr3:uid="{33A34E56-8D0F-4D4B-B2D8-38C5E75C7158}" name="Column8046"/>
    <tableColumn id="8047" xr3:uid="{8D4CE632-B0C5-4EB9-8C3C-CD16C6B5CB12}" name="Column8047"/>
    <tableColumn id="8048" xr3:uid="{EE95F029-7004-47AA-A060-FBF00DD57552}" name="Column8048"/>
    <tableColumn id="8049" xr3:uid="{9A94BF2E-3C84-4E3E-913C-DDBBA883750C}" name="Column8049"/>
    <tableColumn id="8050" xr3:uid="{44ED8554-9ADC-4C78-971F-231FB49BA1B9}" name="Column8050"/>
    <tableColumn id="8051" xr3:uid="{A0D6F0C8-431B-4ADB-B59A-48CC6D27391A}" name="Column8051"/>
    <tableColumn id="8052" xr3:uid="{FE1F80A3-51C3-4B3F-90C5-006A7E25ED78}" name="Column8052"/>
    <tableColumn id="8053" xr3:uid="{4AA050B8-0013-48FB-8648-0EBA93B71AFD}" name="Column8053"/>
    <tableColumn id="8054" xr3:uid="{9CAC35C8-C9A2-4E5B-B35A-A79BA4D38E89}" name="Column8054"/>
    <tableColumn id="8055" xr3:uid="{8BADC919-F484-41FF-9CDE-C6242E864A9C}" name="Column8055"/>
    <tableColumn id="8056" xr3:uid="{0FBB0C09-1FFD-426E-A29D-A993C1A9EF79}" name="Column8056"/>
    <tableColumn id="8057" xr3:uid="{19718155-A88E-41E3-A1E4-F39BA93A0814}" name="Column8057"/>
    <tableColumn id="8058" xr3:uid="{17080196-1C54-4B95-8438-D8AB185FBAD7}" name="Column8058"/>
    <tableColumn id="8059" xr3:uid="{42FDBFFD-7EE8-41D1-99C5-8EECED167710}" name="Column8059"/>
    <tableColumn id="8060" xr3:uid="{06A2D636-5532-4DDB-AB07-81AFCB69BEA1}" name="Column8060"/>
    <tableColumn id="8061" xr3:uid="{69D698DD-022B-49BD-A7AE-0BD600EB6D1A}" name="Column8061"/>
    <tableColumn id="8062" xr3:uid="{540816FD-8C49-4982-924E-F968196385F3}" name="Column8062"/>
    <tableColumn id="8063" xr3:uid="{BF40E3DD-944C-4DDF-8433-EC911BD6EF71}" name="Column8063"/>
    <tableColumn id="8064" xr3:uid="{D5F16FD6-9896-48F3-BAFE-F098044ECDD0}" name="Column8064"/>
    <tableColumn id="8065" xr3:uid="{5DC708C5-1DB0-4D03-96A1-CA93FE244326}" name="Column8065"/>
    <tableColumn id="8066" xr3:uid="{2DE206F9-4167-4C14-81F3-3C591EC05E88}" name="Column8066"/>
    <tableColumn id="8067" xr3:uid="{3DAA2C74-F5CE-49C3-9794-CE0F3DB50751}" name="Column8067"/>
    <tableColumn id="8068" xr3:uid="{F49C4B90-3B91-42D0-A8DF-D1B6E3AE81AE}" name="Column8068"/>
    <tableColumn id="8069" xr3:uid="{EAF2617C-98AC-43B8-BECF-E662EE6B4A9D}" name="Column8069"/>
    <tableColumn id="8070" xr3:uid="{363A7A13-B302-4616-9A4D-75B94C8C9812}" name="Column8070"/>
    <tableColumn id="8071" xr3:uid="{F52ED64E-2561-4E60-8B7A-52DEDD32561B}" name="Column8071"/>
    <tableColumn id="8072" xr3:uid="{E3A1EC8A-E28E-42CA-BE95-B69947FF7A63}" name="Column8072"/>
    <tableColumn id="8073" xr3:uid="{F07A30A5-15F2-435E-BEFF-3D7F63702B16}" name="Column8073"/>
    <tableColumn id="8074" xr3:uid="{069F6BDC-4928-453B-BC9D-534F3EBFC5BE}" name="Column8074"/>
    <tableColumn id="8075" xr3:uid="{38BFA72A-B4BB-44C8-A18F-BDEE77871F87}" name="Column8075"/>
    <tableColumn id="8076" xr3:uid="{0A2F4F09-47BE-4860-9889-D0E594BEB9A7}" name="Column8076"/>
    <tableColumn id="8077" xr3:uid="{D901FBA6-21D2-4D96-919B-DEC87C4B3BF2}" name="Column8077"/>
    <tableColumn id="8078" xr3:uid="{F1F99A87-9289-4117-A3AC-800C9A85E122}" name="Column8078"/>
    <tableColumn id="8079" xr3:uid="{63A4A3C9-49D6-4732-AC4E-7668170AB66F}" name="Column8079"/>
    <tableColumn id="8080" xr3:uid="{90C58435-5D2E-4F88-BD72-E139AB4C82BD}" name="Column8080"/>
    <tableColumn id="8081" xr3:uid="{65F5E204-E9DB-43CC-938B-2B027930A670}" name="Column8081"/>
    <tableColumn id="8082" xr3:uid="{DAC2A55E-8A6D-4FB5-8BB8-7763B72CCA07}" name="Column8082"/>
    <tableColumn id="8083" xr3:uid="{21194E53-EF1B-42D0-9DC3-0CF21BC552F8}" name="Column8083"/>
    <tableColumn id="8084" xr3:uid="{64F1A36B-E352-4D8E-9CA0-44EED770ACC5}" name="Column8084"/>
    <tableColumn id="8085" xr3:uid="{62DC7BC4-4E90-439D-8871-62EFA057C5D5}" name="Column8085"/>
    <tableColumn id="8086" xr3:uid="{28EF0142-9663-45CA-AB68-5AAB7B954466}" name="Column8086"/>
    <tableColumn id="8087" xr3:uid="{D408BB03-5B98-4B1F-8187-13BA926A4331}" name="Column8087"/>
    <tableColumn id="8088" xr3:uid="{63043801-CE63-4DA8-A642-D06A9053766F}" name="Column8088"/>
    <tableColumn id="8089" xr3:uid="{4D645CC9-FA80-4D3B-B9EE-90283AA5CB8C}" name="Column8089"/>
    <tableColumn id="8090" xr3:uid="{BD5D04C7-575A-45CE-A5F5-271FCAB37A3D}" name="Column8090"/>
    <tableColumn id="8091" xr3:uid="{68262CD0-97ED-49E9-BA41-6DB35D1A64E6}" name="Column8091"/>
    <tableColumn id="8092" xr3:uid="{8E22F5B0-F947-4897-99F8-0E6ECD3F48DA}" name="Column8092"/>
    <tableColumn id="8093" xr3:uid="{A80DE74F-F99C-4880-8EF3-BBBE646B2802}" name="Column8093"/>
    <tableColumn id="8094" xr3:uid="{2DB4A958-CBF1-44C5-90E2-6D29EF5A849C}" name="Column8094"/>
    <tableColumn id="8095" xr3:uid="{6AAD2BC1-693D-48FD-A450-922032BD930E}" name="Column8095"/>
    <tableColumn id="8096" xr3:uid="{9582D29F-7CB7-4767-A560-1C0E6539B944}" name="Column8096"/>
    <tableColumn id="8097" xr3:uid="{6B1BC585-7F30-4FF7-8C5A-1FF2316EBF23}" name="Column8097"/>
    <tableColumn id="8098" xr3:uid="{9A8BDEEC-9132-4E5A-895A-0A80A77CC04B}" name="Column8098"/>
    <tableColumn id="8099" xr3:uid="{87947934-F468-4BB6-AC3A-FD4D4F01E69E}" name="Column8099"/>
    <tableColumn id="8100" xr3:uid="{E0DDC115-9E14-474D-93AD-6953589338C0}" name="Column8100"/>
    <tableColumn id="8101" xr3:uid="{3B7000BF-CC85-4F6D-8236-26EA6FC0FB16}" name="Column8101"/>
    <tableColumn id="8102" xr3:uid="{D921383F-4450-4DEA-9EC2-7F3A15C00D7C}" name="Column8102"/>
    <tableColumn id="8103" xr3:uid="{74F9CB89-D052-4E0B-967A-5D924D9D96E5}" name="Column8103"/>
    <tableColumn id="8104" xr3:uid="{613032CE-2697-4FAC-B430-C04A76066394}" name="Column8104"/>
    <tableColumn id="8105" xr3:uid="{0636D783-1020-4D91-8D9E-31CA49DBCA3B}" name="Column8105"/>
    <tableColumn id="8106" xr3:uid="{C3C4F19A-C687-4EF3-8EA8-3833F0A2F571}" name="Column8106"/>
    <tableColumn id="8107" xr3:uid="{A8B37D56-0A36-4E82-B9BD-E3F2BA2A96E8}" name="Column8107"/>
    <tableColumn id="8108" xr3:uid="{ACBB03DC-FE1D-4569-80C1-934896C78976}" name="Column8108"/>
    <tableColumn id="8109" xr3:uid="{8D522D26-63DE-49FF-A805-F9337EAD057E}" name="Column8109"/>
    <tableColumn id="8110" xr3:uid="{F965331D-3221-4BEA-B310-ACB802000B36}" name="Column8110"/>
    <tableColumn id="8111" xr3:uid="{36DE44EB-E297-46B4-ABEE-D1D2B05B786B}" name="Column8111"/>
    <tableColumn id="8112" xr3:uid="{E8A4123D-0106-4326-87CF-AC7B5B0020E1}" name="Column8112"/>
    <tableColumn id="8113" xr3:uid="{1E751F1B-8561-462E-9C44-4AA9C12FD003}" name="Column8113"/>
    <tableColumn id="8114" xr3:uid="{62C74B6A-C94D-40B4-AB42-6A5CD990F1A4}" name="Column8114"/>
    <tableColumn id="8115" xr3:uid="{356AAA66-348B-4465-A77D-459E82DA2806}" name="Column8115"/>
    <tableColumn id="8116" xr3:uid="{584C31DE-BB77-4463-93F1-39CE631F70DF}" name="Column8116"/>
    <tableColumn id="8117" xr3:uid="{A5284C0D-0637-4EAE-BBA2-33ED5D04C524}" name="Column8117"/>
    <tableColumn id="8118" xr3:uid="{59B6D72F-390E-49B8-807B-3544148CB014}" name="Column8118"/>
    <tableColumn id="8119" xr3:uid="{3EE24C9D-F14F-4F3F-A936-15122283BCF3}" name="Column8119"/>
    <tableColumn id="8120" xr3:uid="{1D1C7448-2B43-49D0-9571-800562FE1D19}" name="Column8120"/>
    <tableColumn id="8121" xr3:uid="{0BBAA654-CD72-4B27-BC9D-86D495A631E0}" name="Column8121"/>
    <tableColumn id="8122" xr3:uid="{85F9CA0B-ED0E-4DBF-9D55-D84551AA6386}" name="Column8122"/>
    <tableColumn id="8123" xr3:uid="{00AB25B8-A09F-41A6-AF5D-0F064F675EA2}" name="Column8123"/>
    <tableColumn id="8124" xr3:uid="{20FD5FFD-2651-4F98-A221-48BFBB7328AE}" name="Column8124"/>
    <tableColumn id="8125" xr3:uid="{56B8E2A5-A72A-462F-92D9-E96C499654C1}" name="Column8125"/>
    <tableColumn id="8126" xr3:uid="{2310AD31-4DC4-4520-B9C0-DDCBC3A5F7DC}" name="Column8126"/>
    <tableColumn id="8127" xr3:uid="{ED74942C-46D7-47E2-AB19-E7340D4FC8F6}" name="Column8127"/>
    <tableColumn id="8128" xr3:uid="{4D43AB3C-FD80-46DC-B125-C8715024A8A4}" name="Column8128"/>
    <tableColumn id="8129" xr3:uid="{43ABBC26-FB62-48DA-A525-82CFEBCFD055}" name="Column8129"/>
    <tableColumn id="8130" xr3:uid="{42AF40A3-AADD-45AF-9EF8-BE5EEA45E6A0}" name="Column8130"/>
    <tableColumn id="8131" xr3:uid="{5616BBE3-97EF-4F2C-8DA5-7E5947935990}" name="Column8131"/>
    <tableColumn id="8132" xr3:uid="{12913CC9-D41A-4256-81D3-7196728DAF0F}" name="Column8132"/>
    <tableColumn id="8133" xr3:uid="{6F6BBC6A-7138-4B39-A0C1-B29E2E57160E}" name="Column8133"/>
    <tableColumn id="8134" xr3:uid="{BBBC466B-484D-42E2-B37B-8C5693F3BB34}" name="Column8134"/>
    <tableColumn id="8135" xr3:uid="{429BEED2-90BF-4214-9708-24FD1ADEC334}" name="Column8135"/>
    <tableColumn id="8136" xr3:uid="{E84B310A-CB7F-48CF-A820-028B2D3A8F19}" name="Column8136"/>
    <tableColumn id="8137" xr3:uid="{CCC38FB2-61FB-49DE-AD61-26134B1F25B5}" name="Column8137"/>
    <tableColumn id="8138" xr3:uid="{6AE4BC2D-8F12-4960-B715-BC74909F3D43}" name="Column8138"/>
    <tableColumn id="8139" xr3:uid="{C9D366C5-2CF0-4AC5-B384-014F47660867}" name="Column8139"/>
    <tableColumn id="8140" xr3:uid="{98EF39B7-EA2F-4CEF-9A1C-283BFC7E951F}" name="Column8140"/>
    <tableColumn id="8141" xr3:uid="{C70468E9-DC6D-4C88-B805-303104D0FCA3}" name="Column8141"/>
    <tableColumn id="8142" xr3:uid="{2249D034-F8AF-4CFC-8D0D-3B9F0C38B5E7}" name="Column8142"/>
    <tableColumn id="8143" xr3:uid="{99EA6393-45CD-4DCE-B46B-37933D55F08C}" name="Column8143"/>
    <tableColumn id="8144" xr3:uid="{81919F3D-D566-47A2-8873-C01FA2987AE0}" name="Column8144"/>
    <tableColumn id="8145" xr3:uid="{7CF32155-9876-463C-B840-DFD51F553964}" name="Column8145"/>
    <tableColumn id="8146" xr3:uid="{89B8099F-6165-419A-A396-8ABA033777A1}" name="Column8146"/>
    <tableColumn id="8147" xr3:uid="{AB2CC3C7-4B85-43E1-940E-FDF16996E4D8}" name="Column8147"/>
    <tableColumn id="8148" xr3:uid="{47C940FF-83E5-4C04-9AEB-61F4F96F5E8E}" name="Column8148"/>
    <tableColumn id="8149" xr3:uid="{E4FC75A6-5A53-44D7-B79B-A2AEB693E3DC}" name="Column8149"/>
    <tableColumn id="8150" xr3:uid="{7BFF927D-7931-4657-A461-3F52F26A3433}" name="Column8150"/>
    <tableColumn id="8151" xr3:uid="{A517CF4D-5857-4F1F-ABA9-F903D80E0E64}" name="Column8151"/>
    <tableColumn id="8152" xr3:uid="{572C7179-4E93-4BFF-A8F7-F00094812858}" name="Column8152"/>
    <tableColumn id="8153" xr3:uid="{79BDF18F-5EA8-4C92-9EC8-4D97D67A82B9}" name="Column8153"/>
    <tableColumn id="8154" xr3:uid="{D2100DAE-6C07-474C-9729-F04E95092B8D}" name="Column8154"/>
    <tableColumn id="8155" xr3:uid="{CEA30B1B-F0D4-47E7-8E6C-77B70B67B32A}" name="Column8155"/>
    <tableColumn id="8156" xr3:uid="{4FF79BA2-784C-4ABF-AF18-4F566D903BA1}" name="Column8156"/>
    <tableColumn id="8157" xr3:uid="{DB62A0B1-4A20-4D0A-AE5F-2FD986A19109}" name="Column8157"/>
    <tableColumn id="8158" xr3:uid="{B6DBF971-AD33-4EA6-84D7-3C53B66E20C5}" name="Column8158"/>
    <tableColumn id="8159" xr3:uid="{13287879-F1A7-4CD3-B18D-E52445DF16F1}" name="Column8159"/>
    <tableColumn id="8160" xr3:uid="{BFADD4A3-7CF4-4414-924B-021385752AB4}" name="Column8160"/>
    <tableColumn id="8161" xr3:uid="{D5858C14-58FD-4DE5-AFB9-BE8F52E27AB4}" name="Column8161"/>
    <tableColumn id="8162" xr3:uid="{6893F0BC-7F99-4DB5-8730-E20FB0E73BEA}" name="Column8162"/>
    <tableColumn id="8163" xr3:uid="{E66AF767-492F-43D0-8C37-D6EB6E89AAFA}" name="Column8163"/>
    <tableColumn id="8164" xr3:uid="{E38F6F9E-A263-4181-9B12-D2C60AF0CFC8}" name="Column8164"/>
    <tableColumn id="8165" xr3:uid="{FFE0B8C6-A129-4917-BA48-DF7B9B9A5987}" name="Column8165"/>
    <tableColumn id="8166" xr3:uid="{EBF6BB57-CE05-4D98-BAF8-BA1DBFEC7130}" name="Column8166"/>
    <tableColumn id="8167" xr3:uid="{F598A533-0B25-45C8-8B03-5DDF5DD361A2}" name="Column8167"/>
    <tableColumn id="8168" xr3:uid="{8E26652E-AB4B-4096-BBB1-E657045E0705}" name="Column8168"/>
    <tableColumn id="8169" xr3:uid="{8055878D-A933-4682-93C2-4824D6B98893}" name="Column8169"/>
    <tableColumn id="8170" xr3:uid="{8DACAB87-23D6-45F6-903A-5F15209DAC8E}" name="Column8170"/>
    <tableColumn id="8171" xr3:uid="{436F9651-82CF-4D3F-9A7D-2358E095B2F8}" name="Column8171"/>
    <tableColumn id="8172" xr3:uid="{C406AF12-55AD-42F3-82B6-54BB6F65A36B}" name="Column8172"/>
    <tableColumn id="8173" xr3:uid="{43D56DD5-21D4-46C3-914F-E6B14FF59D9B}" name="Column8173"/>
    <tableColumn id="8174" xr3:uid="{09DDBD2A-CC6A-4101-A521-030DA5D05EBE}" name="Column8174"/>
    <tableColumn id="8175" xr3:uid="{4327E4C3-3F7B-48C3-A341-682E71FB1465}" name="Column8175"/>
    <tableColumn id="8176" xr3:uid="{814A6E50-D300-4FFD-8B90-099128011337}" name="Column8176"/>
    <tableColumn id="8177" xr3:uid="{FB8EE659-D51C-4876-BFD6-8D1238A15B62}" name="Column8177"/>
    <tableColumn id="8178" xr3:uid="{BBF26013-D9B3-466C-A9FC-38081D6995E4}" name="Column8178"/>
    <tableColumn id="8179" xr3:uid="{2E2389E2-E5A7-4479-B2F1-F504C6AFDCB5}" name="Column8179"/>
    <tableColumn id="8180" xr3:uid="{34710EA5-8EC8-4972-928C-250428DD1DCB}" name="Column8180"/>
    <tableColumn id="8181" xr3:uid="{57A13919-BBAF-48DF-AFD9-B94FD2222F4E}" name="Column8181"/>
    <tableColumn id="8182" xr3:uid="{4E15A8F9-2A25-4D56-AF0D-1B0FE7493D32}" name="Column8182"/>
    <tableColumn id="8183" xr3:uid="{FEC6FF4D-A5D6-453B-B647-31A9F3573295}" name="Column8183"/>
    <tableColumn id="8184" xr3:uid="{B4DFDFE8-0915-4A2F-A4C8-74C38CB17041}" name="Column8184"/>
    <tableColumn id="8185" xr3:uid="{28629D52-C673-4643-AE29-90D3739353F7}" name="Column8185"/>
    <tableColumn id="8186" xr3:uid="{F5E033CA-4DAB-4456-B1A6-94099F43D28D}" name="Column8186"/>
    <tableColumn id="8187" xr3:uid="{207C8BDA-6740-4777-AAF8-29CB3C876303}" name="Column8187"/>
    <tableColumn id="8188" xr3:uid="{C2F9CC35-F7E7-4D6F-881D-849D8C941E1D}" name="Column8188"/>
    <tableColumn id="8189" xr3:uid="{3A85157C-8238-4F0A-93DF-DDEE68BC149F}" name="Column8189"/>
    <tableColumn id="8190" xr3:uid="{AFAB477B-B9FC-406C-A7D9-6A6095B1F655}" name="Column8190"/>
    <tableColumn id="8191" xr3:uid="{78D11300-04A0-4D46-8256-79AD04FB081C}" name="Column8191"/>
    <tableColumn id="8192" xr3:uid="{D048CCDB-DB42-4595-9B76-D1C0E388E4E7}" name="Column8192"/>
    <tableColumn id="8193" xr3:uid="{30462F62-AF48-469A-A134-CD2E76EA47C8}" name="Column8193"/>
    <tableColumn id="8194" xr3:uid="{21CDDB9D-4169-4E47-BC17-21E65CE94C83}" name="Column8194"/>
    <tableColumn id="8195" xr3:uid="{46BC1D0F-23B3-4361-98BB-5653E934B356}" name="Column8195"/>
    <tableColumn id="8196" xr3:uid="{211C0D9D-B702-4660-B7AD-676E724C45AE}" name="Column8196"/>
    <tableColumn id="8197" xr3:uid="{46BD2DD8-6A7D-4EF5-AA94-AE6257A585EC}" name="Column8197"/>
    <tableColumn id="8198" xr3:uid="{6B947DC8-0B8F-4A1F-A6D6-595ECC795E37}" name="Column8198"/>
    <tableColumn id="8199" xr3:uid="{19565808-56DF-403B-BF3B-1939443EC0C5}" name="Column8199"/>
    <tableColumn id="8200" xr3:uid="{CC7E96AC-C206-4652-9C54-BC7EC5934AC1}" name="Column8200"/>
    <tableColumn id="8201" xr3:uid="{40D5D108-DB70-4F75-B6B4-E76B50949B3F}" name="Column8201"/>
    <tableColumn id="8202" xr3:uid="{BB434CB3-C6A9-4912-92A2-8493F05C0FCF}" name="Column8202"/>
    <tableColumn id="8203" xr3:uid="{723C1976-6F6E-475D-9B66-14DA3E926990}" name="Column8203"/>
    <tableColumn id="8204" xr3:uid="{55FD78A6-6B73-4018-9419-D73959E5440C}" name="Column8204"/>
    <tableColumn id="8205" xr3:uid="{3B66ED41-690D-4C19-8AE7-2FDFBE402155}" name="Column8205"/>
    <tableColumn id="8206" xr3:uid="{6D6FE2BC-750E-42A0-BC4A-11AEA13B3557}" name="Column8206"/>
    <tableColumn id="8207" xr3:uid="{2B3E5729-81E5-42AB-A304-FEE22E3045E0}" name="Column8207"/>
    <tableColumn id="8208" xr3:uid="{3C0213FF-4C83-4331-813A-D291C7315455}" name="Column8208"/>
    <tableColumn id="8209" xr3:uid="{F5F399C8-F42B-432F-BFB5-3725C84823EC}" name="Column8209"/>
    <tableColumn id="8210" xr3:uid="{D24A9F6B-B2AB-4F72-8876-335AF2963643}" name="Column8210"/>
    <tableColumn id="8211" xr3:uid="{70584CC1-2C75-43EE-8E42-EB3F1212BF35}" name="Column8211"/>
    <tableColumn id="8212" xr3:uid="{39201235-559E-4166-A1CB-4C1D0CB20082}" name="Column8212"/>
    <tableColumn id="8213" xr3:uid="{F8DC9033-693D-42DF-B68F-4D601B74E76E}" name="Column8213"/>
    <tableColumn id="8214" xr3:uid="{550AA12E-1FB9-48AA-8E62-D299431F00A8}" name="Column8214"/>
    <tableColumn id="8215" xr3:uid="{F1413623-6804-4718-BEFC-792CF46F8970}" name="Column8215"/>
    <tableColumn id="8216" xr3:uid="{12042DE7-2285-4BAA-A3C1-A51CC66AB811}" name="Column8216"/>
    <tableColumn id="8217" xr3:uid="{E7966566-8A1B-466C-827B-C6734BBF45D1}" name="Column8217"/>
    <tableColumn id="8218" xr3:uid="{FBB68446-DD59-4D4A-BF7E-F21D62768BD7}" name="Column8218"/>
    <tableColumn id="8219" xr3:uid="{66560A5B-AC40-4C4D-82DD-9EA6D501C947}" name="Column8219"/>
    <tableColumn id="8220" xr3:uid="{D9DCC47F-4CC5-4865-8CC9-A7C78B78BED8}" name="Column8220"/>
    <tableColumn id="8221" xr3:uid="{BD0973DA-5C8A-4EA1-B664-04F4C66962D2}" name="Column8221"/>
    <tableColumn id="8222" xr3:uid="{A005D9AD-4A34-4EF2-BC64-8C7DBA7A3FE5}" name="Column8222"/>
    <tableColumn id="8223" xr3:uid="{83BFE05A-4D2D-46EF-8D48-A3BF5B8064C1}" name="Column8223"/>
    <tableColumn id="8224" xr3:uid="{BFDE1006-4CFE-4E69-BB91-55DA5EF40DD2}" name="Column8224"/>
    <tableColumn id="8225" xr3:uid="{835DC5C1-9671-4749-B0D8-5C71DD00C4C3}" name="Column8225"/>
    <tableColumn id="8226" xr3:uid="{BC08045A-97D6-4C70-99F9-17E692336934}" name="Column8226"/>
    <tableColumn id="8227" xr3:uid="{1A4B01BB-EE09-4E7D-8DC5-DE76DA037770}" name="Column8227"/>
    <tableColumn id="8228" xr3:uid="{289A5851-20F3-47B1-B436-A392484C7166}" name="Column8228"/>
    <tableColumn id="8229" xr3:uid="{4D35CA33-8FC6-4E6D-AB8B-FA4377C76142}" name="Column8229"/>
    <tableColumn id="8230" xr3:uid="{01ED0EFB-AF6E-4568-BE43-AF5A8DCC0FA5}" name="Column8230"/>
    <tableColumn id="8231" xr3:uid="{E7A5E294-282F-4B96-B131-DC9F30FE5AC2}" name="Column8231"/>
    <tableColumn id="8232" xr3:uid="{3B70F5A7-3BFC-47B4-A6FC-721C79CFF9C7}" name="Column8232"/>
    <tableColumn id="8233" xr3:uid="{253C56DE-400C-498C-885F-3565160D2E95}" name="Column8233"/>
    <tableColumn id="8234" xr3:uid="{BE4E72AA-573E-4D45-8565-FD703823A535}" name="Column8234"/>
    <tableColumn id="8235" xr3:uid="{825A90BE-8BC8-4D2E-80A6-4474907E2468}" name="Column8235"/>
    <tableColumn id="8236" xr3:uid="{8523C11A-6B88-4F8C-B76E-69AFCC0ECDAD}" name="Column8236"/>
    <tableColumn id="8237" xr3:uid="{218AD134-5DA8-4907-AFD6-6CE71F853827}" name="Column8237"/>
    <tableColumn id="8238" xr3:uid="{1C2B5BF6-579C-429B-90E6-2F2021354B34}" name="Column8238"/>
    <tableColumn id="8239" xr3:uid="{A06A1265-12FF-44DA-ADE2-FA5FC67235FB}" name="Column8239"/>
    <tableColumn id="8240" xr3:uid="{03EBDA79-CBA2-49C5-A800-3F1C0F4184B4}" name="Column8240"/>
    <tableColumn id="8241" xr3:uid="{661E2854-926F-483B-84E8-9007F45A3B69}" name="Column8241"/>
    <tableColumn id="8242" xr3:uid="{E0583428-90D2-4984-A5A4-62B64F7D8E04}" name="Column8242"/>
    <tableColumn id="8243" xr3:uid="{65DF34E2-ABF2-4928-8D68-DF862A277DE3}" name="Column8243"/>
    <tableColumn id="8244" xr3:uid="{99EBA507-9139-4113-B2D1-2FC79554889E}" name="Column8244"/>
    <tableColumn id="8245" xr3:uid="{742FCF38-E07E-4BAD-A316-3246FC964DFD}" name="Column8245"/>
    <tableColumn id="8246" xr3:uid="{75242769-C61E-4288-BDF7-857AABF4445F}" name="Column8246"/>
    <tableColumn id="8247" xr3:uid="{D3F893D9-D6A6-4D3E-901C-2751CACDA00C}" name="Column8247"/>
    <tableColumn id="8248" xr3:uid="{8A07C31B-7394-411E-9744-ACCBEEAE6B00}" name="Column8248"/>
    <tableColumn id="8249" xr3:uid="{4741B61E-C095-4298-AA54-E573616F22BD}" name="Column8249"/>
    <tableColumn id="8250" xr3:uid="{1DD4B6E6-52F5-4DFC-B48E-A468144BB69D}" name="Column8250"/>
    <tableColumn id="8251" xr3:uid="{C17EE827-6E6E-4C60-99FC-85B5088A2422}" name="Column8251"/>
    <tableColumn id="8252" xr3:uid="{24EF918A-B101-464D-A8C6-5B38513483BF}" name="Column8252"/>
    <tableColumn id="8253" xr3:uid="{54B63E98-FF00-439E-8F0C-9AF9D65C933D}" name="Column8253"/>
    <tableColumn id="8254" xr3:uid="{0A37FF33-8B14-4B09-9F8B-7ED5085E3B84}" name="Column8254"/>
    <tableColumn id="8255" xr3:uid="{58C3C822-F069-4441-A866-D5104E008251}" name="Column8255"/>
    <tableColumn id="8256" xr3:uid="{E0DFDBEF-79CA-477D-AB82-1C2A849D939F}" name="Column8256"/>
    <tableColumn id="8257" xr3:uid="{BA44BBD1-1250-4DBE-87C0-06A76245A3D4}" name="Column8257"/>
    <tableColumn id="8258" xr3:uid="{6286C6E4-D732-4E05-BD02-5A00FC300FAA}" name="Column8258"/>
    <tableColumn id="8259" xr3:uid="{62F0AA4C-ED25-4F87-8B71-68A7A0D08A14}" name="Column8259"/>
    <tableColumn id="8260" xr3:uid="{BF4CE57D-33C7-49C9-B4EA-2802765EA284}" name="Column8260"/>
    <tableColumn id="8261" xr3:uid="{1F5B5A5D-928E-4D86-B324-31EC11B2BEA0}" name="Column8261"/>
    <tableColumn id="8262" xr3:uid="{BAF752E6-11E0-4045-AD76-1BB9ABCF4997}" name="Column8262"/>
    <tableColumn id="8263" xr3:uid="{2F8356D8-9402-481B-98DE-772989932ABF}" name="Column8263"/>
    <tableColumn id="8264" xr3:uid="{D6D7F438-55C3-4529-8806-6392D648D143}" name="Column8264"/>
    <tableColumn id="8265" xr3:uid="{AA37E1FC-39FB-4E5F-8218-2E2D6D8CB08C}" name="Column8265"/>
    <tableColumn id="8266" xr3:uid="{2CA24D57-3B63-458E-BAD9-E647543D3A91}" name="Column8266"/>
    <tableColumn id="8267" xr3:uid="{E6165F08-FE3E-4CD8-90E0-E99B05035E12}" name="Column8267"/>
    <tableColumn id="8268" xr3:uid="{DF6F0BBA-4ECA-49F8-9C1F-857D55277AC8}" name="Column8268"/>
    <tableColumn id="8269" xr3:uid="{13B517E0-30DF-48B3-8BB9-FBA0E2A0444E}" name="Column8269"/>
    <tableColumn id="8270" xr3:uid="{8BEE1376-F530-40B7-8B4B-7708278DD714}" name="Column8270"/>
    <tableColumn id="8271" xr3:uid="{9F26360A-24C7-414C-82FE-B3651EE5171B}" name="Column8271"/>
    <tableColumn id="8272" xr3:uid="{D096DD93-CDCE-4FDB-A635-35A0DD849581}" name="Column8272"/>
    <tableColumn id="8273" xr3:uid="{12112E19-F35B-4FBB-8E26-E7A1E42773F7}" name="Column8273"/>
    <tableColumn id="8274" xr3:uid="{03690E44-89AE-4C31-822E-F15502FC58AE}" name="Column8274"/>
    <tableColumn id="8275" xr3:uid="{2F4A3D42-BBF7-457C-A91E-2F0CEC07D6FF}" name="Column8275"/>
    <tableColumn id="8276" xr3:uid="{B8614113-1267-48F6-A5D1-65A61FA79800}" name="Column8276"/>
    <tableColumn id="8277" xr3:uid="{0DC33C63-E9A6-4A8C-9D69-27B6449D7CC9}" name="Column8277"/>
    <tableColumn id="8278" xr3:uid="{7F826A0C-0740-4EDF-95AD-4AFE6467EF8D}" name="Column8278"/>
    <tableColumn id="8279" xr3:uid="{7E6041E4-033E-4DC1-8676-6604A9977EBD}" name="Column8279"/>
    <tableColumn id="8280" xr3:uid="{3822234A-2769-49B2-AEF4-D4ACDCF03718}" name="Column8280"/>
    <tableColumn id="8281" xr3:uid="{853F72F4-E0F7-41CC-9828-ADC44D1BEAF6}" name="Column8281"/>
    <tableColumn id="8282" xr3:uid="{18A4B908-561F-4D29-9DF6-5E5EEBB4D73B}" name="Column8282"/>
    <tableColumn id="8283" xr3:uid="{87A49B4C-97B1-4CDD-86C5-3E05C999DFED}" name="Column8283"/>
    <tableColumn id="8284" xr3:uid="{7F31E0BD-8327-41B5-9E18-E1E2608E93AF}" name="Column8284"/>
    <tableColumn id="8285" xr3:uid="{25056FB9-7835-4DC5-A921-7AA1F4BEB124}" name="Column8285"/>
    <tableColumn id="8286" xr3:uid="{4DB2D2EC-E7BF-421D-B671-4F03C9E033D5}" name="Column8286"/>
    <tableColumn id="8287" xr3:uid="{2003D915-F63C-4CF8-8392-DF29F8B142BB}" name="Column8287"/>
    <tableColumn id="8288" xr3:uid="{979CA6D8-CADD-4093-9285-1308CD741A2D}" name="Column8288"/>
    <tableColumn id="8289" xr3:uid="{87594DA5-1CDB-48C9-A7D9-AAC7D30DE02C}" name="Column8289"/>
    <tableColumn id="8290" xr3:uid="{D1014F68-EB15-48F6-A9E6-33B285FB8E0A}" name="Column8290"/>
    <tableColumn id="8291" xr3:uid="{FF4F3EC2-2028-44F4-A16F-DBFB41A92478}" name="Column8291"/>
    <tableColumn id="8292" xr3:uid="{54827C71-46B8-44AE-B759-C3B580EF15D7}" name="Column8292"/>
    <tableColumn id="8293" xr3:uid="{2271F01F-FDEE-433C-9B32-BA9DE2655075}" name="Column8293"/>
    <tableColumn id="8294" xr3:uid="{1133E7D4-1426-4993-9AB7-B8E9FF7D70B7}" name="Column8294"/>
    <tableColumn id="8295" xr3:uid="{6D0B00B2-BDB4-41D0-8E38-69FD4E4CB4B6}" name="Column8295"/>
    <tableColumn id="8296" xr3:uid="{9358782F-9384-44FE-AA84-E491A2B67D18}" name="Column8296"/>
    <tableColumn id="8297" xr3:uid="{3FCD5064-2DC3-4B1D-B57A-23F2CC3279F1}" name="Column8297"/>
    <tableColumn id="8298" xr3:uid="{39B28540-F169-4BBA-98DD-829EEF9FC84C}" name="Column8298"/>
    <tableColumn id="8299" xr3:uid="{8A535B79-754C-41F9-AC08-2FD5A70D4C02}" name="Column8299"/>
    <tableColumn id="8300" xr3:uid="{CCFF8FF5-69D6-4E7F-9367-88BC7EBDDA0E}" name="Column8300"/>
    <tableColumn id="8301" xr3:uid="{2D898E6B-CC18-4973-810A-476B28A548C4}" name="Column8301"/>
    <tableColumn id="8302" xr3:uid="{A216AA31-A46C-493E-8178-3C8D9D6D2FAC}" name="Column8302"/>
    <tableColumn id="8303" xr3:uid="{7865FE66-1BE4-4E4B-AE70-A7F12B97F2BF}" name="Column8303"/>
    <tableColumn id="8304" xr3:uid="{8450D1F3-D8E3-40A6-9CEE-9806E1BDD65C}" name="Column8304"/>
    <tableColumn id="8305" xr3:uid="{BDF0BFFB-E2F7-44B4-904C-AA5AB5227991}" name="Column8305"/>
    <tableColumn id="8306" xr3:uid="{7477E4F0-B4D7-4B7E-8F9E-B2AA2FAFC0C2}" name="Column8306"/>
    <tableColumn id="8307" xr3:uid="{6C20FDD3-6423-416E-BE16-9ED4D99EB37D}" name="Column8307"/>
    <tableColumn id="8308" xr3:uid="{E44696FA-B015-441F-945B-5EEEDA218B65}" name="Column8308"/>
    <tableColumn id="8309" xr3:uid="{29286A76-8D2B-4AA3-A3F1-3641EEBF00E0}" name="Column8309"/>
    <tableColumn id="8310" xr3:uid="{690A9918-B4E2-4E74-8591-0D7C3676A011}" name="Column8310"/>
    <tableColumn id="8311" xr3:uid="{FEBDB5DF-0E37-4349-98F4-D8DEC548A370}" name="Column8311"/>
    <tableColumn id="8312" xr3:uid="{6658CBE0-DEE9-4425-8D64-23ECB89F3134}" name="Column8312"/>
    <tableColumn id="8313" xr3:uid="{C160F8A7-4990-468A-8867-7C8AED8E2502}" name="Column8313"/>
    <tableColumn id="8314" xr3:uid="{330990D9-7B6C-47CA-886E-5B4C15B04493}" name="Column8314"/>
    <tableColumn id="8315" xr3:uid="{941D2D63-6796-44AF-B61B-689F613013DD}" name="Column8315"/>
    <tableColumn id="8316" xr3:uid="{EF026234-4E97-4F5B-BF9E-C5DBB7BD4C6E}" name="Column8316"/>
    <tableColumn id="8317" xr3:uid="{459EE2B4-BE28-434D-A957-1153F6E7BE34}" name="Column8317"/>
    <tableColumn id="8318" xr3:uid="{75282B95-1FDB-4879-82CC-E4630A1AC361}" name="Column8318"/>
    <tableColumn id="8319" xr3:uid="{A790B8CB-80D1-403E-B9AB-2E17CD1A7E6E}" name="Column8319"/>
    <tableColumn id="8320" xr3:uid="{5870ED2C-7608-4DF8-B852-81E7AE43513F}" name="Column8320"/>
    <tableColumn id="8321" xr3:uid="{BC7D8DCB-B2B5-44F1-A82B-992C71EDF653}" name="Column8321"/>
    <tableColumn id="8322" xr3:uid="{FB46316A-4232-4513-BF7F-E38C31AFCDE7}" name="Column8322"/>
    <tableColumn id="8323" xr3:uid="{56169C8C-31E9-4136-8411-51E58D1DE618}" name="Column8323"/>
    <tableColumn id="8324" xr3:uid="{1DC3E572-537A-49DF-8A87-512077ABAAF9}" name="Column8324"/>
    <tableColumn id="8325" xr3:uid="{682228F8-A80D-4653-8DF6-62F69CCABDDC}" name="Column8325"/>
    <tableColumn id="8326" xr3:uid="{7E88AF3F-09C4-4FEB-A929-D7C9F9AA608A}" name="Column8326"/>
    <tableColumn id="8327" xr3:uid="{46FFBB6F-9380-4F26-A6C9-AA02C4257F23}" name="Column8327"/>
    <tableColumn id="8328" xr3:uid="{969C12C5-7EFC-4934-BF90-5219AC819382}" name="Column8328"/>
    <tableColumn id="8329" xr3:uid="{5A4AB20E-9D7E-4D8A-B518-BEF696E32C5C}" name="Column8329"/>
    <tableColumn id="8330" xr3:uid="{1E7E88D9-9EEC-4297-ADAF-A1990CFCD8FB}" name="Column8330"/>
    <tableColumn id="8331" xr3:uid="{F8CEAB4C-3076-4FF1-8FE2-BCE476F51683}" name="Column8331"/>
    <tableColumn id="8332" xr3:uid="{E23BC7EF-C3FB-4F43-AC61-E5FE12D995C5}" name="Column8332"/>
    <tableColumn id="8333" xr3:uid="{9EEF203D-FE69-4E7E-9E22-93A483AFCC6D}" name="Column8333"/>
    <tableColumn id="8334" xr3:uid="{9E5EAADF-9D25-466E-A73D-ED3AEE851023}" name="Column8334"/>
    <tableColumn id="8335" xr3:uid="{9DC43544-43E5-4A70-AD69-8AF83F8E663F}" name="Column8335"/>
    <tableColumn id="8336" xr3:uid="{F7BBCB72-E628-4088-B139-3BB09578DCD8}" name="Column8336"/>
    <tableColumn id="8337" xr3:uid="{ED1330E8-8FF0-4A1A-8CD5-7D66755DD943}" name="Column8337"/>
    <tableColumn id="8338" xr3:uid="{65E0F2BE-C64E-4A5B-81C9-74017951A300}" name="Column8338"/>
    <tableColumn id="8339" xr3:uid="{CE15CE78-9CA2-4DD7-A400-FD73B8312C38}" name="Column8339"/>
    <tableColumn id="8340" xr3:uid="{E209D3FA-5C7B-415E-BBCA-23C711D4C35B}" name="Column8340"/>
    <tableColumn id="8341" xr3:uid="{BF764ABD-434F-4674-A164-DAD96EFC05BB}" name="Column8341"/>
    <tableColumn id="8342" xr3:uid="{87E4A098-0675-4D55-A89C-D6866F911E3E}" name="Column8342"/>
    <tableColumn id="8343" xr3:uid="{4017ABD4-BD4C-4797-8AA0-ABBA7132EB94}" name="Column8343"/>
    <tableColumn id="8344" xr3:uid="{8C423C45-6D79-4FC2-B71D-9439607D338B}" name="Column8344"/>
    <tableColumn id="8345" xr3:uid="{0096ACA5-D01F-4398-8591-110873E96E6C}" name="Column8345"/>
    <tableColumn id="8346" xr3:uid="{37BB6537-5492-4E2F-AF28-44737BA85A41}" name="Column8346"/>
    <tableColumn id="8347" xr3:uid="{6F6C7E21-53D1-485B-8898-06742FD5E36B}" name="Column8347"/>
    <tableColumn id="8348" xr3:uid="{B4ED82E2-E956-4C73-9D30-A19F17F734FD}" name="Column8348"/>
    <tableColumn id="8349" xr3:uid="{44683A63-8864-4910-8090-26029F9DF45E}" name="Column8349"/>
    <tableColumn id="8350" xr3:uid="{8E0B5DD9-9766-4CE6-ACF5-0DCD59B823F1}" name="Column8350"/>
    <tableColumn id="8351" xr3:uid="{FB08E2F5-8E25-47E5-ABE0-A5641D15E2BF}" name="Column8351"/>
    <tableColumn id="8352" xr3:uid="{6630213F-026D-4E7A-8ABC-A8CF54DA091D}" name="Column8352"/>
    <tableColumn id="8353" xr3:uid="{0685A5E7-DDEF-41D4-B339-9275FDC57E38}" name="Column8353"/>
    <tableColumn id="8354" xr3:uid="{04BD5BAD-F62F-483C-AB18-AE4D0119158A}" name="Column8354"/>
    <tableColumn id="8355" xr3:uid="{5C6A7D0B-FD1A-4420-AEA5-59F554B4802A}" name="Column8355"/>
    <tableColumn id="8356" xr3:uid="{7234F6AB-E078-4816-BF2D-A583B3B98AE7}" name="Column8356"/>
    <tableColumn id="8357" xr3:uid="{10BB1A4A-C551-4EB3-871E-6306DBF03947}" name="Column8357"/>
    <tableColumn id="8358" xr3:uid="{98E562D3-7EC1-4EEA-9AF3-B2D4993446EA}" name="Column8358"/>
    <tableColumn id="8359" xr3:uid="{5A2117FF-4474-4906-A080-1BA0A8A6A2B5}" name="Column8359"/>
    <tableColumn id="8360" xr3:uid="{6CA0E512-B378-4EA6-91B4-B885A71CCC4C}" name="Column8360"/>
    <tableColumn id="8361" xr3:uid="{04982175-74E5-4EC3-A7EB-E3B010EB56C0}" name="Column8361"/>
    <tableColumn id="8362" xr3:uid="{C56DC3BD-A038-42DD-A03D-D72172D9621F}" name="Column8362"/>
    <tableColumn id="8363" xr3:uid="{EB103777-CA6C-457D-B481-BF3C828C1F8B}" name="Column8363"/>
    <tableColumn id="8364" xr3:uid="{101C91E6-5F3A-46DD-8B0A-A8B8DE3412BF}" name="Column8364"/>
    <tableColumn id="8365" xr3:uid="{127CA78B-2327-4EDD-B8A4-D3D2BA81AE11}" name="Column8365"/>
    <tableColumn id="8366" xr3:uid="{BB59ACB7-D061-459E-9579-A2BA6BC4EC54}" name="Column8366"/>
    <tableColumn id="8367" xr3:uid="{87AC39A5-E4EF-435D-82C8-23DD75CE9625}" name="Column8367"/>
    <tableColumn id="8368" xr3:uid="{D067AAB7-6257-412C-B999-B9B65B415AD8}" name="Column8368"/>
    <tableColumn id="8369" xr3:uid="{52A55E5C-8417-4E21-850B-179284596EE5}" name="Column8369"/>
    <tableColumn id="8370" xr3:uid="{ABCD4704-B91F-440D-A23F-FA790DDECBDD}" name="Column8370"/>
    <tableColumn id="8371" xr3:uid="{1DA97D12-4C3B-49FC-9504-C4C6B05413B2}" name="Column8371"/>
    <tableColumn id="8372" xr3:uid="{3DC25404-9F5B-48B0-863B-5DBF7A926AAA}" name="Column8372"/>
    <tableColumn id="8373" xr3:uid="{175D55E0-4DC8-4948-B020-9ABA8AFD3156}" name="Column8373"/>
    <tableColumn id="8374" xr3:uid="{A0B5F891-330F-4895-8269-466F50012888}" name="Column8374"/>
    <tableColumn id="8375" xr3:uid="{C9630F8B-06E2-4B99-B574-6925E35BA728}" name="Column8375"/>
    <tableColumn id="8376" xr3:uid="{95A74991-7C07-4807-8762-F657F38B90D9}" name="Column8376"/>
    <tableColumn id="8377" xr3:uid="{E05A1043-4460-4594-8541-91C75B0822DB}" name="Column8377"/>
    <tableColumn id="8378" xr3:uid="{F9D2CC75-5BAC-4680-9B9E-7CF647B1CF80}" name="Column8378"/>
    <tableColumn id="8379" xr3:uid="{4AE5F3E6-7A75-464D-8169-7DDC4BBB41B1}" name="Column8379"/>
    <tableColumn id="8380" xr3:uid="{88481E18-4C5A-4FDE-AACD-04F2EA077840}" name="Column8380"/>
    <tableColumn id="8381" xr3:uid="{9971B933-F900-4055-AD67-2F4E12D54949}" name="Column8381"/>
    <tableColumn id="8382" xr3:uid="{CEB48B5C-372D-40ED-AFAE-69F99832A733}" name="Column8382"/>
    <tableColumn id="8383" xr3:uid="{0E3B39E2-A5F3-4CB6-96B7-2942D7C5C813}" name="Column8383"/>
    <tableColumn id="8384" xr3:uid="{B359D27E-40D2-455C-B1E2-D89DFB06D9E8}" name="Column8384"/>
    <tableColumn id="8385" xr3:uid="{D1789E68-12AD-478E-B269-96A069DE0F17}" name="Column8385"/>
    <tableColumn id="8386" xr3:uid="{0B8E8D34-E47E-4E93-8A6C-D5D294C2C90B}" name="Column8386"/>
    <tableColumn id="8387" xr3:uid="{7D9320F8-9299-45A0-A43A-266D20628E91}" name="Column8387"/>
    <tableColumn id="8388" xr3:uid="{BE316511-72C4-4000-8673-F1BC12AD493A}" name="Column8388"/>
    <tableColumn id="8389" xr3:uid="{2889F5C4-F0E5-44E5-8B7D-0AD61537DFFC}" name="Column8389"/>
    <tableColumn id="8390" xr3:uid="{4E51ACF8-9888-4AFC-B4FD-5D9B8599896C}" name="Column8390"/>
    <tableColumn id="8391" xr3:uid="{28D68792-2971-4E69-88C6-0E620A8A56A4}" name="Column8391"/>
    <tableColumn id="8392" xr3:uid="{D83BE76D-034F-4FCF-804B-49870521F489}" name="Column8392"/>
    <tableColumn id="8393" xr3:uid="{83EAFD65-0582-4817-9E36-0AAAF89B95AA}" name="Column8393"/>
    <tableColumn id="8394" xr3:uid="{952A57BC-EE73-4996-988D-2E800E66E648}" name="Column8394"/>
    <tableColumn id="8395" xr3:uid="{5DA00E79-EAB6-4E43-B093-79FEAD5C7530}" name="Column8395"/>
    <tableColumn id="8396" xr3:uid="{77140BBA-2BF7-4369-B837-902A58ACA73A}" name="Column8396"/>
    <tableColumn id="8397" xr3:uid="{62522669-905A-491F-B913-ECADABE9A4A8}" name="Column8397"/>
    <tableColumn id="8398" xr3:uid="{43BF048F-BA4A-4CC6-A323-34F4693B4DEB}" name="Column8398"/>
    <tableColumn id="8399" xr3:uid="{413F5AAE-1244-4B8C-A80E-901A1EC98594}" name="Column8399"/>
    <tableColumn id="8400" xr3:uid="{727D7E47-A2D8-43CC-86C8-79BAD16C810A}" name="Column8400"/>
    <tableColumn id="8401" xr3:uid="{FE11D253-6D8C-4174-AD88-8F8C36A74C40}" name="Column8401"/>
    <tableColumn id="8402" xr3:uid="{75CDE588-9552-4491-BE1E-669BFFC4110C}" name="Column8402"/>
    <tableColumn id="8403" xr3:uid="{F96A9AE8-E243-4935-837A-3984C3C18F26}" name="Column8403"/>
    <tableColumn id="8404" xr3:uid="{86570409-1F21-45B1-8F19-FB229AB31FA6}" name="Column8404"/>
    <tableColumn id="8405" xr3:uid="{944A957B-3CDE-4BDA-9843-D2D013165DF7}" name="Column8405"/>
    <tableColumn id="8406" xr3:uid="{83F8198E-BBD8-4DAE-B281-D33650B8D402}" name="Column8406"/>
    <tableColumn id="8407" xr3:uid="{C12447DA-F007-4967-8460-C8F9AB48C06C}" name="Column8407"/>
    <tableColumn id="8408" xr3:uid="{13682D3F-0767-4574-B480-3E61ECBD28D7}" name="Column8408"/>
    <tableColumn id="8409" xr3:uid="{C13CBCE8-E72F-4E1E-B6F7-E862815D8836}" name="Column8409"/>
    <tableColumn id="8410" xr3:uid="{2CCC25C0-51DB-42FB-AE35-E77994A1667C}" name="Column8410"/>
    <tableColumn id="8411" xr3:uid="{E2D89E86-E8DB-467E-A914-73B9789D3753}" name="Column8411"/>
    <tableColumn id="8412" xr3:uid="{C7821209-BCC2-4D07-975E-2EABBCDEE77F}" name="Column8412"/>
    <tableColumn id="8413" xr3:uid="{3A237E03-EE0F-4512-9649-D3FAC384E5F0}" name="Column8413"/>
    <tableColumn id="8414" xr3:uid="{F64B9BDC-C4FC-4244-8C19-A4A989DDD1C0}" name="Column8414"/>
    <tableColumn id="8415" xr3:uid="{AC1BE27A-A4A4-4EBB-94A0-B4CB088DE63F}" name="Column8415"/>
    <tableColumn id="8416" xr3:uid="{1C1D41C8-1ABF-47EC-B409-2136B1E90EC1}" name="Column8416"/>
    <tableColumn id="8417" xr3:uid="{A4C69F32-731B-4C97-A853-335CCF1C7E0C}" name="Column8417"/>
    <tableColumn id="8418" xr3:uid="{4823161A-E4F9-4B1F-899D-EB6A7FC0E239}" name="Column8418"/>
    <tableColumn id="8419" xr3:uid="{C22898D2-F359-4DBE-A4E8-8023CAA9E741}" name="Column8419"/>
    <tableColumn id="8420" xr3:uid="{0DB38D6A-1F27-421A-83CB-B1E96C5873E1}" name="Column8420"/>
    <tableColumn id="8421" xr3:uid="{5354FEF4-77FD-409F-920F-89DC55448E04}" name="Column8421"/>
    <tableColumn id="8422" xr3:uid="{69F94DCF-B4B6-4C17-981D-FDF3361423BE}" name="Column8422"/>
    <tableColumn id="8423" xr3:uid="{14F81144-2AA4-4AE5-A46B-8D9B3FBB01A5}" name="Column8423"/>
    <tableColumn id="8424" xr3:uid="{C7A8FC37-EBF0-44BC-99D4-E09354C3B6EF}" name="Column8424"/>
    <tableColumn id="8425" xr3:uid="{4ED11590-75D3-45C0-A6A6-5C9B43EB0792}" name="Column8425"/>
    <tableColumn id="8426" xr3:uid="{4AD234A1-448E-4856-9F6B-5F99B033F9F9}" name="Column8426"/>
    <tableColumn id="8427" xr3:uid="{26E16795-DB86-4358-BF23-FCE899B89B17}" name="Column8427"/>
    <tableColumn id="8428" xr3:uid="{0AB70035-1F28-40F5-A272-9FAF6A73A081}" name="Column8428"/>
    <tableColumn id="8429" xr3:uid="{B74413B7-3520-42C4-871E-C25B6CC276E9}" name="Column8429"/>
    <tableColumn id="8430" xr3:uid="{9C6274F2-A631-4FA3-9132-4D365159D4F4}" name="Column8430"/>
    <tableColumn id="8431" xr3:uid="{1594D6CF-03DA-45C4-8675-FF1076A7876D}" name="Column8431"/>
    <tableColumn id="8432" xr3:uid="{7B2AF090-87A7-4E48-9CEC-08E7B7C8CCC4}" name="Column8432"/>
    <tableColumn id="8433" xr3:uid="{CB39BFA5-AF7C-411B-941D-E8829408C570}" name="Column8433"/>
    <tableColumn id="8434" xr3:uid="{4A844B90-C16E-414F-A578-D114CCEF946C}" name="Column8434"/>
    <tableColumn id="8435" xr3:uid="{410B4410-284F-4F70-878E-C465CD8A19EF}" name="Column8435"/>
    <tableColumn id="8436" xr3:uid="{3BEC6C57-1157-4141-BAFE-AACEE436E4BC}" name="Column8436"/>
    <tableColumn id="8437" xr3:uid="{930C3087-99EE-4DEF-9BA9-FB7112B764AE}" name="Column8437"/>
    <tableColumn id="8438" xr3:uid="{9EADF198-6CAC-49D3-9CC1-13C8D1F41949}" name="Column8438"/>
    <tableColumn id="8439" xr3:uid="{E715DA3F-5E7F-4562-B4AA-D0FB2FF97A5D}" name="Column8439"/>
    <tableColumn id="8440" xr3:uid="{D0C4EF19-D1AB-433A-9F42-BFE524CB8A2C}" name="Column8440"/>
    <tableColumn id="8441" xr3:uid="{C0D998FA-6757-4960-91E2-DF889B2CE8E7}" name="Column8441"/>
    <tableColumn id="8442" xr3:uid="{28127F76-E56B-406D-B2B6-2FA6468F415A}" name="Column8442"/>
    <tableColumn id="8443" xr3:uid="{8C2409A8-44FA-4B21-BE4D-90BDD5D2E37E}" name="Column8443"/>
    <tableColumn id="8444" xr3:uid="{D6A040A0-6E06-449D-BF69-15F5D694FF68}" name="Column8444"/>
    <tableColumn id="8445" xr3:uid="{9C472D8E-0E21-4828-8C43-F07B361418DE}" name="Column8445"/>
    <tableColumn id="8446" xr3:uid="{A226BC50-22C3-4CF9-83E0-63FD9E601EED}" name="Column8446"/>
    <tableColumn id="8447" xr3:uid="{F7EAEC19-6C58-4430-A281-01F05B2B41C9}" name="Column8447"/>
    <tableColumn id="8448" xr3:uid="{B5960014-4F51-4B4F-A956-0E930D376B3E}" name="Column8448"/>
    <tableColumn id="8449" xr3:uid="{E434C7D5-8C0B-4587-B08A-EF564109BE30}" name="Column8449"/>
    <tableColumn id="8450" xr3:uid="{04F805C5-8772-49F9-96BC-E96E01C942A5}" name="Column8450"/>
    <tableColumn id="8451" xr3:uid="{CDE93E5C-A565-45BB-BC6D-24D2E80705CE}" name="Column8451"/>
    <tableColumn id="8452" xr3:uid="{AAE1A740-4C39-4E39-B63E-21C54775423C}" name="Column8452"/>
    <tableColumn id="8453" xr3:uid="{FBD7B4B2-FD89-4372-94B0-2893E98F10FC}" name="Column8453"/>
    <tableColumn id="8454" xr3:uid="{93626AFF-B8E6-4E4D-BB45-833E9DAA3DE7}" name="Column8454"/>
    <tableColumn id="8455" xr3:uid="{D7945AD3-DF24-45A6-BFF7-7F80966B95C9}" name="Column8455"/>
    <tableColumn id="8456" xr3:uid="{A7C13AF5-A6A9-4102-9BF1-AAE6774CC31C}" name="Column8456"/>
    <tableColumn id="8457" xr3:uid="{F162DB8F-6A04-45C7-90B5-87503B9CAFD6}" name="Column8457"/>
    <tableColumn id="8458" xr3:uid="{D98507D9-0B3A-4D9F-9E4C-E0737FFCDF54}" name="Column8458"/>
    <tableColumn id="8459" xr3:uid="{9F06EBCF-939D-4A53-8488-F8EEF7CEC251}" name="Column8459"/>
    <tableColumn id="8460" xr3:uid="{3D3B6979-DDFE-4DD2-ABD6-29F84A7D4369}" name="Column8460"/>
    <tableColumn id="8461" xr3:uid="{83BDD084-5822-4D4B-AFE3-EF8C1B1556C7}" name="Column8461"/>
    <tableColumn id="8462" xr3:uid="{9FB0F4EA-8A54-4D1A-8BA9-5A94B4BB2D38}" name="Column8462"/>
    <tableColumn id="8463" xr3:uid="{3C8ECCD3-3F15-4189-92E5-63B0AE73C25F}" name="Column8463"/>
    <tableColumn id="8464" xr3:uid="{7F99D6BB-0AF3-4027-BE8C-D922BE3C1916}" name="Column8464"/>
    <tableColumn id="8465" xr3:uid="{9FA132A8-9A85-4C57-BCBA-BD6EFEA9BDD4}" name="Column8465"/>
    <tableColumn id="8466" xr3:uid="{10F65846-9D7F-4864-B751-9F74193C523D}" name="Column8466"/>
    <tableColumn id="8467" xr3:uid="{8AEE5CC8-5A72-4BE4-A384-7C9509FFAD73}" name="Column8467"/>
    <tableColumn id="8468" xr3:uid="{FD6D8063-5825-46A5-B930-721F3639DCC3}" name="Column8468"/>
    <tableColumn id="8469" xr3:uid="{B901DF61-7EB0-40A7-9DEA-F85F2D0674FE}" name="Column8469"/>
    <tableColumn id="8470" xr3:uid="{7758606B-C0B9-4613-B4AB-20B8BAF0A2DF}" name="Column8470"/>
    <tableColumn id="8471" xr3:uid="{C0763476-26C2-4220-B8C0-C78567C75220}" name="Column8471"/>
    <tableColumn id="8472" xr3:uid="{6B885304-477D-4533-8D5F-48A2D175E917}" name="Column8472"/>
    <tableColumn id="8473" xr3:uid="{9DDFEDDD-02E4-4E67-A527-5C77FA0E0159}" name="Column8473"/>
    <tableColumn id="8474" xr3:uid="{345A8773-56C9-49FD-BC97-07CB5ED54FD5}" name="Column8474"/>
    <tableColumn id="8475" xr3:uid="{6727CC2C-7A0D-4796-9528-0152B7386D7C}" name="Column8475"/>
    <tableColumn id="8476" xr3:uid="{C699B9EE-F587-4FEA-A6B0-669A62B4DAA1}" name="Column8476"/>
    <tableColumn id="8477" xr3:uid="{5547C311-BFF0-4359-BC85-CC39E2EA4FB6}" name="Column8477"/>
    <tableColumn id="8478" xr3:uid="{896DBEBE-FB48-4CC6-86CA-2417FFC1E340}" name="Column8478"/>
    <tableColumn id="8479" xr3:uid="{DB09EF4C-6278-4C4F-8AB6-63C0B99A8B54}" name="Column8479"/>
    <tableColumn id="8480" xr3:uid="{B5AFF13E-C9BF-4C7E-8149-AAFDD43553A4}" name="Column8480"/>
    <tableColumn id="8481" xr3:uid="{904A1AB3-E34F-46FF-B03A-717669F35FEA}" name="Column8481"/>
    <tableColumn id="8482" xr3:uid="{66273F47-FDD5-47A5-B761-338AC4DA28CA}" name="Column8482"/>
    <tableColumn id="8483" xr3:uid="{5719781C-D4B0-47EA-B359-29F8205ADBCC}" name="Column8483"/>
    <tableColumn id="8484" xr3:uid="{44D09944-1051-4F64-89F2-DFE65706FBBD}" name="Column8484"/>
    <tableColumn id="8485" xr3:uid="{FF664EFF-7909-4D1A-82D3-D33741BD8A30}" name="Column8485"/>
    <tableColumn id="8486" xr3:uid="{CFCB87C5-067C-4BEE-92AA-ADB1E7F497C6}" name="Column8486"/>
    <tableColumn id="8487" xr3:uid="{25B05BFD-3DF1-4782-8FAC-28365B72AC85}" name="Column8487"/>
    <tableColumn id="8488" xr3:uid="{5CBE8EBF-8293-4F79-B545-F6462418EA91}" name="Column8488"/>
    <tableColumn id="8489" xr3:uid="{3F20672D-E770-456D-93C0-1387230E4C27}" name="Column8489"/>
    <tableColumn id="8490" xr3:uid="{AFD6005E-13DD-40AD-8BFF-9E16311255BD}" name="Column8490"/>
    <tableColumn id="8491" xr3:uid="{16770510-9C75-4AB0-AB62-1EF16444A002}" name="Column8491"/>
    <tableColumn id="8492" xr3:uid="{EFF1C796-358A-43D2-9983-53852BB04626}" name="Column8492"/>
    <tableColumn id="8493" xr3:uid="{A9CC5FAF-D374-4DD9-8A5A-A218A8081B61}" name="Column8493"/>
    <tableColumn id="8494" xr3:uid="{309B111A-0618-4272-9A0B-13047B8E794B}" name="Column8494"/>
    <tableColumn id="8495" xr3:uid="{0BFA9B6D-3EDA-4EF0-946C-CA566508562F}" name="Column8495"/>
    <tableColumn id="8496" xr3:uid="{AC19B1FC-7E1F-409D-B775-7F4624B95C43}" name="Column8496"/>
    <tableColumn id="8497" xr3:uid="{31DA464A-6EDC-406D-89CF-B262B5D54077}" name="Column8497"/>
    <tableColumn id="8498" xr3:uid="{D3B20696-3A4E-4C45-985F-E8FCCEC1E478}" name="Column8498"/>
    <tableColumn id="8499" xr3:uid="{4D9DE3CA-9CE5-45DC-9EF7-CC1B82106898}" name="Column8499"/>
    <tableColumn id="8500" xr3:uid="{E0002589-9E99-4D3D-A593-4DB62FB50327}" name="Column8500"/>
    <tableColumn id="8501" xr3:uid="{479DA03E-AB4C-4C8B-9C2F-8B52B5EF904A}" name="Column8501"/>
    <tableColumn id="8502" xr3:uid="{E5820EAC-21D1-41F4-AB06-EB48555FF578}" name="Column8502"/>
    <tableColumn id="8503" xr3:uid="{8ED65101-CAC8-4FA1-817A-2612A61C82EA}" name="Column8503"/>
    <tableColumn id="8504" xr3:uid="{6353ACDF-FFB3-4428-A1E9-680AF101A07C}" name="Column8504"/>
    <tableColumn id="8505" xr3:uid="{503BE27B-69F6-4D4B-A004-379B7751B28C}" name="Column8505"/>
    <tableColumn id="8506" xr3:uid="{DB766DF7-2E24-45BB-8117-872B74042EE1}" name="Column8506"/>
    <tableColumn id="8507" xr3:uid="{AA1F995B-B76F-4893-B2FA-F4F7B8AB9404}" name="Column8507"/>
    <tableColumn id="8508" xr3:uid="{40AC3F1F-0FD6-439B-9F07-F77BF5E126E8}" name="Column8508"/>
    <tableColumn id="8509" xr3:uid="{00BF454D-FBCD-40C4-9A31-0AE3036002F8}" name="Column8509"/>
    <tableColumn id="8510" xr3:uid="{CD9484A5-0648-4C5B-BF05-1E2925B7093A}" name="Column8510"/>
    <tableColumn id="8511" xr3:uid="{D5DB661C-7289-4B12-BAA7-F3CF6B404E85}" name="Column8511"/>
    <tableColumn id="8512" xr3:uid="{56DA430F-5B92-4EFE-89F5-205DDD3592E4}" name="Column8512"/>
    <tableColumn id="8513" xr3:uid="{95791C30-B2FD-4FBD-927B-CD6361732D76}" name="Column8513"/>
    <tableColumn id="8514" xr3:uid="{1005B006-41B6-4A04-A5F4-B134720BB3BE}" name="Column8514"/>
    <tableColumn id="8515" xr3:uid="{D11636CD-BC4D-4012-9F82-C6BECEDE466C}" name="Column8515"/>
    <tableColumn id="8516" xr3:uid="{A211460F-5AFE-48B7-BC3F-02D0C7156D27}" name="Column8516"/>
    <tableColumn id="8517" xr3:uid="{20E078E1-1958-4163-AE15-BFFB310F5EB4}" name="Column8517"/>
    <tableColumn id="8518" xr3:uid="{CFD56800-F264-4FD5-9354-D4903C470FEB}" name="Column8518"/>
    <tableColumn id="8519" xr3:uid="{D007CFFF-6B38-4F9C-A276-7E40AE24852B}" name="Column8519"/>
    <tableColumn id="8520" xr3:uid="{0418085C-437E-43C4-8CCD-26BE028CB7C4}" name="Column8520"/>
    <tableColumn id="8521" xr3:uid="{6E5514C9-F3BC-4C5C-9C3A-EFCD290B0106}" name="Column8521"/>
    <tableColumn id="8522" xr3:uid="{D0EF259B-6F2A-4CAB-9364-8C73AB7C07B3}" name="Column8522"/>
    <tableColumn id="8523" xr3:uid="{4E0927C0-00EE-4AAB-8D69-B2E369EF8C4B}" name="Column8523"/>
    <tableColumn id="8524" xr3:uid="{F97983C8-8292-4FE6-A52F-384A0FED9DB2}" name="Column8524"/>
    <tableColumn id="8525" xr3:uid="{9C662DE1-3288-4699-BF44-28E3380BFA25}" name="Column8525"/>
    <tableColumn id="8526" xr3:uid="{95613271-4EF8-4598-ABE3-BDD62774C4C0}" name="Column8526"/>
    <tableColumn id="8527" xr3:uid="{3A2475BB-CDF4-4025-94C2-399E5DB7231F}" name="Column8527"/>
    <tableColumn id="8528" xr3:uid="{9424D22B-4A31-466D-AB2A-B16CF026DE9B}" name="Column8528"/>
    <tableColumn id="8529" xr3:uid="{197CE4B9-F7A8-4186-9A25-C17ACEEC9B83}" name="Column8529"/>
    <tableColumn id="8530" xr3:uid="{D5C3B22B-87D5-46E6-9E21-C898374A1CC7}" name="Column8530"/>
    <tableColumn id="8531" xr3:uid="{00D8A747-5BAD-4459-97C3-D8F0CDC9EA12}" name="Column8531"/>
    <tableColumn id="8532" xr3:uid="{EB504066-5CD5-4ED7-9696-92123A693C88}" name="Column8532"/>
    <tableColumn id="8533" xr3:uid="{BE5E784A-CD22-406C-BA91-2ED385DA0F25}" name="Column8533"/>
    <tableColumn id="8534" xr3:uid="{C6F55BE1-3E30-487E-90EF-6BFB7EC3C7A3}" name="Column8534"/>
    <tableColumn id="8535" xr3:uid="{A963A151-4C4D-40D8-B998-B12CA18C9980}" name="Column8535"/>
    <tableColumn id="8536" xr3:uid="{C206CBD1-4DD0-46A2-AA90-1B62C933022B}" name="Column8536"/>
    <tableColumn id="8537" xr3:uid="{E6AC67A5-9E4F-44D6-96C2-B0538F7E5808}" name="Column8537"/>
    <tableColumn id="8538" xr3:uid="{5416AF56-53A9-4D82-B523-D1EAA38AC3B5}" name="Column8538"/>
    <tableColumn id="8539" xr3:uid="{7AECC47C-D5DC-4B9A-A279-0F846A619C0B}" name="Column8539"/>
    <tableColumn id="8540" xr3:uid="{B9D1F705-6D17-4AA0-BF8F-E7A5C410EAA6}" name="Column8540"/>
    <tableColumn id="8541" xr3:uid="{DBAAC7E8-8A53-4CA1-83D0-097E49025A8D}" name="Column8541"/>
    <tableColumn id="8542" xr3:uid="{F9A3D46E-4042-4E7B-9770-CE28184A7BB4}" name="Column8542"/>
    <tableColumn id="8543" xr3:uid="{8EEC1239-CF88-44F1-ABC2-3A938EB4F8BC}" name="Column8543"/>
    <tableColumn id="8544" xr3:uid="{DE236334-CD92-4736-B053-616F9F762E2F}" name="Column8544"/>
    <tableColumn id="8545" xr3:uid="{AC6AD1FB-A068-4FF9-8079-05734F7C11C7}" name="Column8545"/>
    <tableColumn id="8546" xr3:uid="{9F06DEDD-9B85-472B-8FBC-8E507353C4CE}" name="Column8546"/>
    <tableColumn id="8547" xr3:uid="{F8DAD4D8-5F98-4D65-8E8F-6549FF13C863}" name="Column8547"/>
    <tableColumn id="8548" xr3:uid="{04342D77-DC63-4567-A450-0B750333E760}" name="Column8548"/>
    <tableColumn id="8549" xr3:uid="{99983429-1F7B-4679-BC1B-39790056EAE3}" name="Column8549"/>
    <tableColumn id="8550" xr3:uid="{104061D5-BB0B-47CF-9644-043A932FE6A1}" name="Column8550"/>
    <tableColumn id="8551" xr3:uid="{AD5BEAB3-037A-4C35-96A1-86D2FFFB0AFC}" name="Column8551"/>
    <tableColumn id="8552" xr3:uid="{E26545CD-DCD2-4A73-BBEF-2F14FC28880E}" name="Column8552"/>
    <tableColumn id="8553" xr3:uid="{1201CC64-E45F-4B98-9C83-6DD29690C5DF}" name="Column8553"/>
    <tableColumn id="8554" xr3:uid="{F5B8E2C9-BBE3-4D0C-82D1-D9C0D17E7800}" name="Column8554"/>
    <tableColumn id="8555" xr3:uid="{FB328CA5-7D19-45B8-9AA6-A4BA4A43CFF4}" name="Column8555"/>
    <tableColumn id="8556" xr3:uid="{7F3F3D69-6250-4AAF-A198-8B5AAAC8EEE8}" name="Column8556"/>
    <tableColumn id="8557" xr3:uid="{2D00327C-50E0-47CA-BE52-D03F0258E26A}" name="Column8557"/>
    <tableColumn id="8558" xr3:uid="{7C34043D-24D7-4E98-A3D9-751762C3C6A5}" name="Column8558"/>
    <tableColumn id="8559" xr3:uid="{180F26B4-1E8C-4EE5-A26B-FDC01C4B036F}" name="Column8559"/>
    <tableColumn id="8560" xr3:uid="{665992F8-1387-4D56-85C4-907AE5ADF273}" name="Column8560"/>
    <tableColumn id="8561" xr3:uid="{78CDE0BF-3841-4048-88B9-390D2AAF8ED5}" name="Column8561"/>
    <tableColumn id="8562" xr3:uid="{6AD8BBDA-FABB-409C-90E3-DD551EEDC913}" name="Column8562"/>
    <tableColumn id="8563" xr3:uid="{8C388524-AAAD-4A1B-905A-D70F8ED3D4E1}" name="Column8563"/>
    <tableColumn id="8564" xr3:uid="{32078935-F7D7-40C0-9418-4E7AA079D508}" name="Column8564"/>
    <tableColumn id="8565" xr3:uid="{277590EA-4864-4661-A77B-9C9DB91E7334}" name="Column8565"/>
    <tableColumn id="8566" xr3:uid="{B028A0CE-0086-47F5-886C-93153D0ACEC9}" name="Column8566"/>
    <tableColumn id="8567" xr3:uid="{C1611799-DB6D-4C69-B10E-6E0720C80222}" name="Column8567"/>
    <tableColumn id="8568" xr3:uid="{F98CDEC6-24E5-45C6-9B80-CA77B72D9DDA}" name="Column8568"/>
    <tableColumn id="8569" xr3:uid="{8B8EC39A-4A35-4000-8AE4-3CF88061B011}" name="Column8569"/>
    <tableColumn id="8570" xr3:uid="{1FEFBFA9-10B7-4497-8BC7-F6188A143631}" name="Column8570"/>
    <tableColumn id="8571" xr3:uid="{CB62377C-81CC-4724-B6BD-195836339A08}" name="Column8571"/>
    <tableColumn id="8572" xr3:uid="{26B5B722-336E-44B7-B1E9-9C80E0B416DE}" name="Column8572"/>
    <tableColumn id="8573" xr3:uid="{D3388F14-BBD3-4462-AC57-DA8AA96E5674}" name="Column8573"/>
    <tableColumn id="8574" xr3:uid="{A3056AE4-A1F0-49A8-82B7-4BA35E64C4F8}" name="Column8574"/>
    <tableColumn id="8575" xr3:uid="{B04029A8-E648-41D1-9CC1-AEA5105E2AE8}" name="Column8575"/>
    <tableColumn id="8576" xr3:uid="{8FC17179-7D00-48F7-B4C7-9857790CAB80}" name="Column8576"/>
    <tableColumn id="8577" xr3:uid="{743ADDD7-F945-4294-8E6D-FD14D19E358D}" name="Column8577"/>
    <tableColumn id="8578" xr3:uid="{B6288CF6-689A-417C-B167-CC7EC959B49B}" name="Column8578"/>
    <tableColumn id="8579" xr3:uid="{55E065FE-2AD8-4AC3-9F86-180260024E3A}" name="Column8579"/>
    <tableColumn id="8580" xr3:uid="{AA9717FF-E9D5-414B-A115-7338D2404189}" name="Column8580"/>
    <tableColumn id="8581" xr3:uid="{F4A9C8AB-A60D-435F-8D3F-AFFA83529089}" name="Column8581"/>
    <tableColumn id="8582" xr3:uid="{E123EB14-B506-4F7C-A449-43F002AC0B72}" name="Column8582"/>
    <tableColumn id="8583" xr3:uid="{999A5BE1-4CE0-470D-B971-08B5B21246F6}" name="Column8583"/>
    <tableColumn id="8584" xr3:uid="{FC2966F1-2EDC-4CCD-8DEF-75EEC92E7397}" name="Column8584"/>
    <tableColumn id="8585" xr3:uid="{2B760B8A-E8F8-4485-9527-026283A73616}" name="Column8585"/>
    <tableColumn id="8586" xr3:uid="{70C83821-C096-4B96-956B-08137B7565EA}" name="Column8586"/>
    <tableColumn id="8587" xr3:uid="{A77C6327-70BF-4B5F-B54F-32F49DEF01AC}" name="Column8587"/>
    <tableColumn id="8588" xr3:uid="{EB5B20B4-0280-4C36-BF09-35E4D3CE7D63}" name="Column8588"/>
    <tableColumn id="8589" xr3:uid="{02FF11BD-C854-4CF7-B965-C26AFA78E7AA}" name="Column8589"/>
    <tableColumn id="8590" xr3:uid="{70FFD4F9-891A-4347-9F37-FCAB36871B93}" name="Column8590"/>
    <tableColumn id="8591" xr3:uid="{CE8B130F-5C1B-4F7D-8345-DC91D094B5E4}" name="Column8591"/>
    <tableColumn id="8592" xr3:uid="{8B635F51-E7BA-4F07-8427-125FB0FDEA53}" name="Column8592"/>
    <tableColumn id="8593" xr3:uid="{CCA7D5B7-C417-434C-BEF8-8D02324FF991}" name="Column8593"/>
    <tableColumn id="8594" xr3:uid="{48F5A0C5-B1C2-4F0D-8A71-67484C268C81}" name="Column8594"/>
    <tableColumn id="8595" xr3:uid="{74C00F8E-00C6-4291-8B74-729E2AA455BF}" name="Column8595"/>
    <tableColumn id="8596" xr3:uid="{027DFC11-2B43-42FB-A302-A0B47F0099D2}" name="Column8596"/>
    <tableColumn id="8597" xr3:uid="{3C4EE124-65F4-4E7A-A5F1-1C57C914ABE8}" name="Column8597"/>
    <tableColumn id="8598" xr3:uid="{6146D190-968C-4584-951C-80507515DE6E}" name="Column8598"/>
    <tableColumn id="8599" xr3:uid="{F875F6B1-AA00-4A3C-BE17-4F0E85BE28B4}" name="Column8599"/>
    <tableColumn id="8600" xr3:uid="{8D1DD804-815D-4065-9EA8-E982A7031FA0}" name="Column8600"/>
    <tableColumn id="8601" xr3:uid="{C730EEF9-D38E-4DCF-98B9-34FA2C957379}" name="Column8601"/>
    <tableColumn id="8602" xr3:uid="{67431978-FCBA-4AA4-ACA1-0F062C17C533}" name="Column8602"/>
    <tableColumn id="8603" xr3:uid="{380E19BE-FD4F-4477-BCDD-98DAAFA84F14}" name="Column8603"/>
    <tableColumn id="8604" xr3:uid="{C6D965ED-C244-4CE4-B67A-622EDBBACB29}" name="Column8604"/>
    <tableColumn id="8605" xr3:uid="{C2AD704B-CC84-4AEE-9E1A-D6C0D5ABA1C9}" name="Column8605"/>
    <tableColumn id="8606" xr3:uid="{C73DE495-1903-43F5-B987-86842845C422}" name="Column8606"/>
    <tableColumn id="8607" xr3:uid="{CD13BBDF-0E76-41D1-91E8-A852BCA782C9}" name="Column8607"/>
    <tableColumn id="8608" xr3:uid="{FF59D301-519A-42B6-8037-B64688DFCF46}" name="Column8608"/>
    <tableColumn id="8609" xr3:uid="{5768177C-FB8E-437E-A98D-13AA4B2DB1E9}" name="Column8609"/>
    <tableColumn id="8610" xr3:uid="{7129A7F4-E3B7-41F3-B314-9F672F9AF081}" name="Column8610"/>
    <tableColumn id="8611" xr3:uid="{864FEE41-E012-4180-94BC-76087896DAD8}" name="Column8611"/>
    <tableColumn id="8612" xr3:uid="{496BC7E4-B153-4DA3-99EF-6ACCD96C1FA6}" name="Column8612"/>
    <tableColumn id="8613" xr3:uid="{E854127D-1675-4170-B46E-B30AF731C37C}" name="Column8613"/>
    <tableColumn id="8614" xr3:uid="{DF01D7F5-830B-42C2-9C58-E98561EAEC2E}" name="Column8614"/>
    <tableColumn id="8615" xr3:uid="{1C7F836B-5246-4296-B256-C98DC3247187}" name="Column8615"/>
    <tableColumn id="8616" xr3:uid="{77DD7810-9946-4113-B315-991ECC5918A4}" name="Column8616"/>
    <tableColumn id="8617" xr3:uid="{D247B623-53B6-4836-88F5-D4987CCE80F2}" name="Column8617"/>
    <tableColumn id="8618" xr3:uid="{1A1B8B94-A45D-41B8-97C0-1E2FEC559C33}" name="Column8618"/>
    <tableColumn id="8619" xr3:uid="{AA03D38F-3EED-4976-856F-84A687E5BFA7}" name="Column8619"/>
    <tableColumn id="8620" xr3:uid="{0A860FA9-D1FA-47E4-A147-25F91C8B632A}" name="Column8620"/>
    <tableColumn id="8621" xr3:uid="{309778FD-6622-44AC-A95B-4C5623381159}" name="Column8621"/>
    <tableColumn id="8622" xr3:uid="{6798B259-EA4A-44E6-8233-F7C816162950}" name="Column8622"/>
    <tableColumn id="8623" xr3:uid="{A7696FE6-893C-43D9-9EE3-C983FED33C4F}" name="Column8623"/>
    <tableColumn id="8624" xr3:uid="{770DBCFF-F564-4118-9013-C90C42615F33}" name="Column8624"/>
    <tableColumn id="8625" xr3:uid="{9E9F6E68-CEE2-4F10-AE9D-1DE8D4295396}" name="Column8625"/>
    <tableColumn id="8626" xr3:uid="{A4CB0A54-C33A-4F88-A8D4-8BB229AE2086}" name="Column8626"/>
    <tableColumn id="8627" xr3:uid="{87691B41-92D6-4B90-9F85-1EACA86C3B48}" name="Column8627"/>
    <tableColumn id="8628" xr3:uid="{9C4F746F-34F2-4298-B008-33C1E4397F63}" name="Column8628"/>
    <tableColumn id="8629" xr3:uid="{405C741E-754B-4C02-9FFC-09A049263310}" name="Column8629"/>
    <tableColumn id="8630" xr3:uid="{4D416BD5-F8C9-40C8-922C-6068F0CFF394}" name="Column8630"/>
    <tableColumn id="8631" xr3:uid="{DED0408F-68FC-4FC3-A53B-F09567FC2B30}" name="Column8631"/>
    <tableColumn id="8632" xr3:uid="{255CA551-C946-48F6-8166-091224561B87}" name="Column8632"/>
    <tableColumn id="8633" xr3:uid="{CE347CB2-4DCF-41B3-8143-5603220BE2A0}" name="Column8633"/>
    <tableColumn id="8634" xr3:uid="{A3C8772E-2397-4AD6-B4D4-ECC265185650}" name="Column8634"/>
    <tableColumn id="8635" xr3:uid="{984656F5-0432-4709-934E-64B5FB44D070}" name="Column8635"/>
    <tableColumn id="8636" xr3:uid="{BB4EC09A-3173-4299-A858-240E7D40E127}" name="Column8636"/>
    <tableColumn id="8637" xr3:uid="{85E9AD67-1158-4E5C-B1AE-24C8217917DF}" name="Column8637"/>
    <tableColumn id="8638" xr3:uid="{E6961D6B-0619-4AA3-B023-2C0E5DC0ED36}" name="Column8638"/>
    <tableColumn id="8639" xr3:uid="{171B2B9F-610E-4BBE-90B1-D7C1C6AAD66D}" name="Column8639"/>
    <tableColumn id="8640" xr3:uid="{79FDA2E8-639A-44DD-B591-D0C5189C4C6E}" name="Column8640"/>
    <tableColumn id="8641" xr3:uid="{72A4884F-6866-47A1-9479-9C6AC3AC8B31}" name="Column8641"/>
    <tableColumn id="8642" xr3:uid="{14748640-B68B-42CB-949F-73A99B54C82A}" name="Column8642"/>
    <tableColumn id="8643" xr3:uid="{ADE4F954-A805-4DAB-804E-D25952D90457}" name="Column8643"/>
    <tableColumn id="8644" xr3:uid="{17318FEB-DDAC-4E54-8AEF-C9AE975FAFED}" name="Column8644"/>
    <tableColumn id="8645" xr3:uid="{A837D4AB-4184-4E91-BD4E-BD9CB6AFE64F}" name="Column8645"/>
    <tableColumn id="8646" xr3:uid="{FC7EAFE3-4A52-4795-9129-96BA57A5C1FC}" name="Column8646"/>
    <tableColumn id="8647" xr3:uid="{3CC29216-4506-439E-9211-663E9E77BEF9}" name="Column8647"/>
    <tableColumn id="8648" xr3:uid="{66193323-1B68-4A9C-8DDF-7DE0E15F7EC1}" name="Column8648"/>
    <tableColumn id="8649" xr3:uid="{27FF5502-50D2-4E82-8640-CF5E9C123CEB}" name="Column8649"/>
    <tableColumn id="8650" xr3:uid="{F84DF2C9-C95D-4023-B11A-E15E61CC437D}" name="Column8650"/>
    <tableColumn id="8651" xr3:uid="{EB571B12-60B8-47D5-A6F2-D3EAFB061EA2}" name="Column8651"/>
    <tableColumn id="8652" xr3:uid="{959D21AA-705C-4134-9C3F-DA0A762BA4EB}" name="Column8652"/>
    <tableColumn id="8653" xr3:uid="{DAA3BA3D-D0CC-46BC-9D8C-50B41E9499E1}" name="Column8653"/>
    <tableColumn id="8654" xr3:uid="{ABF7F7BA-F94F-421B-90F7-741395CE7D19}" name="Column8654"/>
    <tableColumn id="8655" xr3:uid="{70E1FD5C-72FC-47FE-85FD-6EEDC5F280E8}" name="Column8655"/>
    <tableColumn id="8656" xr3:uid="{DA5B42C0-E3EE-417A-B75F-A08F6238C402}" name="Column8656"/>
    <tableColumn id="8657" xr3:uid="{34B61F9F-FED7-42D7-BDD4-C512B686F2C1}" name="Column8657"/>
    <tableColumn id="8658" xr3:uid="{72EA89D0-1A45-43E0-98E7-C8966011678C}" name="Column8658"/>
    <tableColumn id="8659" xr3:uid="{BE667DC8-AD06-4921-9E3B-7003B3EC436C}" name="Column8659"/>
    <tableColumn id="8660" xr3:uid="{6B4C392F-7D39-4FB7-BEC6-1F9AAA9AE10D}" name="Column8660"/>
    <tableColumn id="8661" xr3:uid="{E61C1179-DEBF-4292-A83C-93FA7068956C}" name="Column8661"/>
    <tableColumn id="8662" xr3:uid="{DD071C73-3CB1-4AD1-AC3C-3F24F8B30538}" name="Column8662"/>
    <tableColumn id="8663" xr3:uid="{6AE2E02C-08D5-4E23-AB89-78AD33571267}" name="Column8663"/>
    <tableColumn id="8664" xr3:uid="{962DAF9E-0B7C-47B3-85F7-6716E5EF3CC3}" name="Column8664"/>
    <tableColumn id="8665" xr3:uid="{171CDA1A-5436-4E4F-8B09-AF89EEB94451}" name="Column8665"/>
    <tableColumn id="8666" xr3:uid="{09114AB0-DF9F-477A-ACBC-8C2315970A44}" name="Column8666"/>
    <tableColumn id="8667" xr3:uid="{7218D1DF-83F6-4F25-B791-E92080E7B7D9}" name="Column8667"/>
    <tableColumn id="8668" xr3:uid="{98B2BBF3-55A3-418F-A9F4-C88FB65903F3}" name="Column8668"/>
    <tableColumn id="8669" xr3:uid="{450EB9CF-B6AE-4F2C-BE36-716CB51C4629}" name="Column8669"/>
    <tableColumn id="8670" xr3:uid="{72FE713E-4EF5-4859-8352-ADC16239F583}" name="Column8670"/>
    <tableColumn id="8671" xr3:uid="{8D27638C-EB73-4CB7-A5D0-EC60A7824BC0}" name="Column8671"/>
    <tableColumn id="8672" xr3:uid="{DA6634FF-EFD0-4742-AC0D-270BBBF6E06E}" name="Column8672"/>
    <tableColumn id="8673" xr3:uid="{7E2D10CF-5C45-41A8-A310-7888D1CCE0B9}" name="Column8673"/>
    <tableColumn id="8674" xr3:uid="{2E10AE75-228C-4408-BE27-06868802C93B}" name="Column8674"/>
    <tableColumn id="8675" xr3:uid="{A3CE401E-40E6-4A55-8D41-4C445BB94B9B}" name="Column8675"/>
    <tableColumn id="8676" xr3:uid="{84184238-FD37-4905-8740-B4D6A6D43EFE}" name="Column8676"/>
    <tableColumn id="8677" xr3:uid="{E9DFAF12-51A0-4FDE-A42D-615865B37D8B}" name="Column8677"/>
    <tableColumn id="8678" xr3:uid="{BC95ED37-49BE-49CF-9DA3-AAE870056552}" name="Column8678"/>
    <tableColumn id="8679" xr3:uid="{55F7D959-08F7-476D-90C2-D233F2718551}" name="Column8679"/>
    <tableColumn id="8680" xr3:uid="{80978166-D2DA-402B-A2E6-ECABF6BB308E}" name="Column8680"/>
    <tableColumn id="8681" xr3:uid="{5EDFCB2F-32F9-43B6-B39C-09F45F1918D7}" name="Column8681"/>
    <tableColumn id="8682" xr3:uid="{7CC22DD6-3C43-4F33-8039-4D3EE5FE351E}" name="Column8682"/>
    <tableColumn id="8683" xr3:uid="{D8FBC2E0-1DBD-4938-ADE8-44CEBA2F2035}" name="Column8683"/>
    <tableColumn id="8684" xr3:uid="{57E70000-919D-429D-ACD7-19B2EC566B75}" name="Column8684"/>
    <tableColumn id="8685" xr3:uid="{4537BFBE-E2C4-4E6A-B644-1025C297DA8E}" name="Column8685"/>
    <tableColumn id="8686" xr3:uid="{4EA8B9C0-B8A5-48CA-89D9-B6EB0FAEC69F}" name="Column8686"/>
    <tableColumn id="8687" xr3:uid="{BD7DEA4B-9A43-4F87-8A89-180F95AD9ACD}" name="Column8687"/>
    <tableColumn id="8688" xr3:uid="{51EF2BFB-4B22-433D-8658-74FD91E7859D}" name="Column8688"/>
    <tableColumn id="8689" xr3:uid="{F9B432D3-F71F-4BA2-A419-3A9DC1080053}" name="Column8689"/>
    <tableColumn id="8690" xr3:uid="{1186D54B-FE30-48BD-AE2E-2F113684F4BA}" name="Column8690"/>
    <tableColumn id="8691" xr3:uid="{2FC51EBF-66E5-460E-AD29-D191EBA7AC16}" name="Column8691"/>
    <tableColumn id="8692" xr3:uid="{2049495F-19CA-4499-9E0C-9CE37EE8F608}" name="Column8692"/>
    <tableColumn id="8693" xr3:uid="{F1B3DA9C-7258-4DD2-92F7-0BFF276EBA5B}" name="Column8693"/>
    <tableColumn id="8694" xr3:uid="{5CCFA1C5-13D2-4DCC-940B-DEF73C4B6656}" name="Column8694"/>
    <tableColumn id="8695" xr3:uid="{B8D5279C-9F25-4FB3-BBC2-25EB086E4059}" name="Column8695"/>
    <tableColumn id="8696" xr3:uid="{5EBED7CD-AD87-4538-B402-E3401A5F1DCB}" name="Column8696"/>
    <tableColumn id="8697" xr3:uid="{5EFE8BB5-B120-455C-80B4-844BD3459A22}" name="Column8697"/>
    <tableColumn id="8698" xr3:uid="{2915D3B4-FBD1-444E-BCB6-6DF9C8C361D1}" name="Column8698"/>
    <tableColumn id="8699" xr3:uid="{4D59B801-829A-4D3F-90D1-251200CDD1BC}" name="Column8699"/>
    <tableColumn id="8700" xr3:uid="{FB47CA61-203F-496F-A4E2-3DAC1BEF1012}" name="Column8700"/>
    <tableColumn id="8701" xr3:uid="{F10EF575-4606-4570-B59C-35F24E94B188}" name="Column8701"/>
    <tableColumn id="8702" xr3:uid="{C801D96D-383E-4A72-B82C-6BA2F64586B9}" name="Column8702"/>
    <tableColumn id="8703" xr3:uid="{F9143E2D-3919-40BA-A5BF-A59EEAD2DFFB}" name="Column8703"/>
    <tableColumn id="8704" xr3:uid="{8753D6FE-20BE-4002-B120-D22437E75E32}" name="Column8704"/>
    <tableColumn id="8705" xr3:uid="{9945C69E-4534-4ADA-B30E-A40BC26C8875}" name="Column8705"/>
    <tableColumn id="8706" xr3:uid="{D6FE99A2-55A0-45DB-AD73-7A58BFDAE679}" name="Column8706"/>
    <tableColumn id="8707" xr3:uid="{6AC36405-3B51-495A-9922-906FF54D780C}" name="Column8707"/>
    <tableColumn id="8708" xr3:uid="{06410C5C-CB7F-4D6E-B854-0B34875E2971}" name="Column8708"/>
    <tableColumn id="8709" xr3:uid="{21FC992F-3492-42A9-B61F-0B790C49164A}" name="Column8709"/>
    <tableColumn id="8710" xr3:uid="{715D54D2-670A-405D-B1D0-FB9168399C55}" name="Column8710"/>
    <tableColumn id="8711" xr3:uid="{49081964-6C7F-4C5B-BE4A-4CA07704EE36}" name="Column8711"/>
    <tableColumn id="8712" xr3:uid="{502F12EF-4042-4820-9F25-89C293513497}" name="Column8712"/>
    <tableColumn id="8713" xr3:uid="{2D7E9558-77FB-470D-A1F5-0D9FEC0B7179}" name="Column8713"/>
    <tableColumn id="8714" xr3:uid="{7C44A042-07E3-4020-8069-2B8DE0D66DC7}" name="Column8714"/>
    <tableColumn id="8715" xr3:uid="{8DD1543A-D8EC-425C-B465-DB7F79CEABBA}" name="Column8715"/>
    <tableColumn id="8716" xr3:uid="{B38EF178-5473-4B56-AFDD-C2B99E4A964C}" name="Column8716"/>
    <tableColumn id="8717" xr3:uid="{8BDF8DAC-3ADF-4BAA-849A-9B35A6DC49EB}" name="Column8717"/>
    <tableColumn id="8718" xr3:uid="{0F761FCE-0DA0-48FF-9804-FC63FFE94EB5}" name="Column8718"/>
    <tableColumn id="8719" xr3:uid="{85AB2478-71C8-4A1C-84BA-DA5CC108DA80}" name="Column8719"/>
    <tableColumn id="8720" xr3:uid="{744BD154-B541-492F-9836-09EFCA0E6915}" name="Column8720"/>
    <tableColumn id="8721" xr3:uid="{93E184AA-DDFC-440A-8A50-75192DC11DFC}" name="Column8721"/>
    <tableColumn id="8722" xr3:uid="{6CAB495C-39AF-4EE7-8B3B-05CA918EE4B4}" name="Column8722"/>
    <tableColumn id="8723" xr3:uid="{75EA33E2-AB56-4934-8FED-7C03D970AFB0}" name="Column8723"/>
    <tableColumn id="8724" xr3:uid="{33D2241D-1190-4F9E-AD98-57B4CE7B800A}" name="Column8724"/>
    <tableColumn id="8725" xr3:uid="{EE9F48BA-BD52-4D60-B941-FC3D2125725A}" name="Column8725"/>
    <tableColumn id="8726" xr3:uid="{7F8C64C4-A8C1-4E54-9302-43301D0EB532}" name="Column8726"/>
    <tableColumn id="8727" xr3:uid="{043B681D-7F95-4847-B663-0DC69A24EBD7}" name="Column8727"/>
    <tableColumn id="8728" xr3:uid="{1EB84BB6-2676-4446-A356-32E935C20333}" name="Column8728"/>
    <tableColumn id="8729" xr3:uid="{10A5FF80-4ED4-4A34-9A83-B72802DEFBD9}" name="Column8729"/>
    <tableColumn id="8730" xr3:uid="{18799011-F82C-454B-B32D-5860727AFEA5}" name="Column8730"/>
    <tableColumn id="8731" xr3:uid="{C2C63AD5-3118-4344-83AD-64F2BBA831E3}" name="Column8731"/>
    <tableColumn id="8732" xr3:uid="{BD91BB12-ACD7-4680-B115-916B11DBC9F3}" name="Column8732"/>
    <tableColumn id="8733" xr3:uid="{A614D32E-6EB0-4727-989A-56038046FD81}" name="Column8733"/>
    <tableColumn id="8734" xr3:uid="{84E3BB57-8E95-4B8A-A914-7B352ED4D1A9}" name="Column8734"/>
    <tableColumn id="8735" xr3:uid="{7DE424EE-B775-4FCD-95F4-6ACD7397658A}" name="Column8735"/>
    <tableColumn id="8736" xr3:uid="{B969215E-36C5-4082-92F3-0FC8808E2E67}" name="Column8736"/>
    <tableColumn id="8737" xr3:uid="{A94F823F-EF64-494F-BACE-B41CDA1F3C9E}" name="Column8737"/>
    <tableColumn id="8738" xr3:uid="{B44FD896-161D-4F31-BC3F-2CB33CEEBB6F}" name="Column8738"/>
    <tableColumn id="8739" xr3:uid="{9269AADB-239B-42B6-907A-AA8169FDEE15}" name="Column8739"/>
    <tableColumn id="8740" xr3:uid="{00124EBB-654A-48D4-821D-98CF052FE6DE}" name="Column8740"/>
    <tableColumn id="8741" xr3:uid="{72FFD430-9386-468C-BE96-0C2EF05762DC}" name="Column8741"/>
    <tableColumn id="8742" xr3:uid="{E0416D5C-8592-4D0D-994E-4B4B556DFAB4}" name="Column8742"/>
    <tableColumn id="8743" xr3:uid="{8DE51E69-510E-47CD-8AEC-43F58D290DA4}" name="Column8743"/>
    <tableColumn id="8744" xr3:uid="{6DAE428A-F770-4E6B-99E5-4C3B4001C1C9}" name="Column8744"/>
    <tableColumn id="8745" xr3:uid="{E912CD9E-802F-4523-A635-C94E42626CD1}" name="Column8745"/>
    <tableColumn id="8746" xr3:uid="{48FEBB57-8E1E-4949-A492-07C7EAA1D526}" name="Column8746"/>
    <tableColumn id="8747" xr3:uid="{813FAC73-964F-4D1B-811B-1A7CEBC04CAF}" name="Column8747"/>
    <tableColumn id="8748" xr3:uid="{4EF2DF95-89B6-43EE-89D8-00E89248A19A}" name="Column8748"/>
    <tableColumn id="8749" xr3:uid="{0483EB7D-4E67-44B1-8C32-B848E0B13546}" name="Column8749"/>
    <tableColumn id="8750" xr3:uid="{B15B0787-C9B7-4D00-A152-D87F9B96716C}" name="Column8750"/>
    <tableColumn id="8751" xr3:uid="{2B0177D0-E074-4F08-897A-E17E02FD20C2}" name="Column8751"/>
    <tableColumn id="8752" xr3:uid="{B6E2FBA4-3219-44F8-B524-0121BA6157B3}" name="Column8752"/>
    <tableColumn id="8753" xr3:uid="{E0193CC5-1BBF-4017-9DD6-6B760BBE734F}" name="Column8753"/>
    <tableColumn id="8754" xr3:uid="{300B9997-532D-4C96-90E9-C9218A8715E8}" name="Column8754"/>
    <tableColumn id="8755" xr3:uid="{756EB595-F53C-41A8-BB0E-F5731D704C41}" name="Column8755"/>
    <tableColumn id="8756" xr3:uid="{33474823-CD7E-4220-AA9C-A105A2FC9D38}" name="Column8756"/>
    <tableColumn id="8757" xr3:uid="{35DD0D0B-DF2F-48EB-AA0B-4BC4EBB096DF}" name="Column8757"/>
    <tableColumn id="8758" xr3:uid="{2630CC65-2CCB-43D1-A589-B35F831BB195}" name="Column8758"/>
    <tableColumn id="8759" xr3:uid="{687D6FB4-6CD0-467B-9FD9-9A77CF649F69}" name="Column8759"/>
    <tableColumn id="8760" xr3:uid="{1B0C9D04-305B-4424-837E-F58C49D4079D}" name="Column8760"/>
    <tableColumn id="8761" xr3:uid="{263A4293-18AF-475E-B5AC-A204A004B91C}" name="Column8761"/>
    <tableColumn id="8762" xr3:uid="{E29FC23E-C25D-4D97-A918-4DE36FB6E99E}" name="Column8762"/>
    <tableColumn id="8763" xr3:uid="{1D7CFC9D-D726-4244-ADD9-7EE2C79D4CA2}" name="Column8763"/>
    <tableColumn id="8764" xr3:uid="{905614E1-E8A6-42F9-99A3-6DD3EF5D1D9B}" name="Column8764"/>
    <tableColumn id="8765" xr3:uid="{B000EA6F-AD27-4171-B859-1434F9AFACF0}" name="Column8765"/>
    <tableColumn id="8766" xr3:uid="{D686D90E-2D6D-4B92-AB6E-2CE5741C1CAD}" name="Column8766"/>
    <tableColumn id="8767" xr3:uid="{CE8CDBDE-9F05-4B35-BA69-2BA21A6CD915}" name="Column8767"/>
    <tableColumn id="8768" xr3:uid="{5114C31E-887A-495C-B5B9-F9D6F55E2018}" name="Column8768"/>
    <tableColumn id="8769" xr3:uid="{CB1A75E6-9C6F-4CFC-98D5-1297B78C6D84}" name="Column8769"/>
    <tableColumn id="8770" xr3:uid="{B00DDD03-5259-4DCF-A1D4-423312677504}" name="Column8770"/>
    <tableColumn id="8771" xr3:uid="{1B891FBD-6E7A-47E0-9BB9-6AE48425FF56}" name="Column8771"/>
    <tableColumn id="8772" xr3:uid="{3B77C695-E043-4A15-B183-98599BB30374}" name="Column8772"/>
    <tableColumn id="8773" xr3:uid="{17BE0F76-C101-4EBB-83E3-74CAE5904FE7}" name="Column8773"/>
    <tableColumn id="8774" xr3:uid="{5A3B5B6C-48D7-4829-9068-78FEAE595C8D}" name="Column8774"/>
    <tableColumn id="8775" xr3:uid="{FABF17A5-D649-4D4E-9BA0-A415975AA9E4}" name="Column8775"/>
    <tableColumn id="8776" xr3:uid="{D000BCD1-3D10-475C-9060-56838252A215}" name="Column8776"/>
    <tableColumn id="8777" xr3:uid="{69FE3D55-CCDA-4BE2-B606-1286DBFFDA79}" name="Column8777"/>
    <tableColumn id="8778" xr3:uid="{EFB7645B-2F8F-4B90-8227-AA734F64BBCB}" name="Column8778"/>
    <tableColumn id="8779" xr3:uid="{2A68C690-A5DE-4096-9ADD-BFEC3D482844}" name="Column8779"/>
    <tableColumn id="8780" xr3:uid="{8D6C7AD6-EC95-4FE3-BE1F-172EE7FD90E2}" name="Column8780"/>
    <tableColumn id="8781" xr3:uid="{58487CE3-DB49-4246-AD50-8D597DEAD659}" name="Column8781"/>
    <tableColumn id="8782" xr3:uid="{26A970E5-240A-4F36-AE15-7EC87835195A}" name="Column8782"/>
    <tableColumn id="8783" xr3:uid="{7C8911E0-6D20-403E-9F2E-EB1EF4BA6E4A}" name="Column8783"/>
    <tableColumn id="8784" xr3:uid="{ADE1704C-FDE0-4200-A989-2DCDF7E3F47B}" name="Column8784"/>
    <tableColumn id="8785" xr3:uid="{AED34BC9-66B0-4B8E-A60A-401F5CC8A155}" name="Column8785"/>
    <tableColumn id="8786" xr3:uid="{523D2A0A-6880-4C58-8FD3-6672D9707C25}" name="Column8786"/>
    <tableColumn id="8787" xr3:uid="{1D4CFC41-F384-4F6F-9F38-5862D760B955}" name="Column8787"/>
    <tableColumn id="8788" xr3:uid="{3CA6793C-F792-4510-AE45-10A87CED793B}" name="Column8788"/>
    <tableColumn id="8789" xr3:uid="{4A4F9127-7284-4AC1-BE0E-74898B4EB65B}" name="Column8789"/>
    <tableColumn id="8790" xr3:uid="{B41FF351-5ADF-4A7F-A04B-E585B82E3DDB}" name="Column8790"/>
    <tableColumn id="8791" xr3:uid="{956A6692-28B7-44EC-80B6-67D8BB177E30}" name="Column8791"/>
    <tableColumn id="8792" xr3:uid="{650BBA13-2917-40DE-BFA4-27942E70B18C}" name="Column8792"/>
    <tableColumn id="8793" xr3:uid="{7B2D370E-C912-4AE9-9D2E-1BBA5AE16EA9}" name="Column8793"/>
    <tableColumn id="8794" xr3:uid="{B259B043-7F17-4862-9CBA-D95FC27B3BC8}" name="Column8794"/>
    <tableColumn id="8795" xr3:uid="{7547562E-C566-4DC7-AA11-E18B6F55B769}" name="Column8795"/>
    <tableColumn id="8796" xr3:uid="{1D5B20D2-62E7-4189-8DD1-5D7E154EC823}" name="Column8796"/>
    <tableColumn id="8797" xr3:uid="{DA7CF758-1517-48B5-B898-4AE7855684E8}" name="Column8797"/>
    <tableColumn id="8798" xr3:uid="{1D353CFC-96C7-4206-B424-5C64F361B4E0}" name="Column8798"/>
    <tableColumn id="8799" xr3:uid="{6E78AE69-3BCE-4AC2-8FB1-185FAF0C28C2}" name="Column8799"/>
    <tableColumn id="8800" xr3:uid="{12AE755B-41FE-4EFA-A487-510DE86F9207}" name="Column8800"/>
    <tableColumn id="8801" xr3:uid="{B9DA8C82-B458-44EF-82F5-A0A89C47C8FD}" name="Column8801"/>
    <tableColumn id="8802" xr3:uid="{3CB4EE87-765B-4EAC-851D-D4339B0B173B}" name="Column8802"/>
    <tableColumn id="8803" xr3:uid="{F08F6B46-2EA0-43E3-9474-DEB74A21956B}" name="Column8803"/>
    <tableColumn id="8804" xr3:uid="{35CC64E6-2CA9-462E-A324-E60EA83D58C8}" name="Column8804"/>
    <tableColumn id="8805" xr3:uid="{F6F14C0A-93DF-47BF-A0B5-0DD03DFFDB7D}" name="Column8805"/>
    <tableColumn id="8806" xr3:uid="{4F7D01CC-B100-4EA3-BDD9-BC512B02B4B5}" name="Column8806"/>
    <tableColumn id="8807" xr3:uid="{82D4203F-65BE-4EC1-866D-E2FC2074C5E6}" name="Column8807"/>
    <tableColumn id="8808" xr3:uid="{1EFF9D61-361C-4B5E-AF5D-0D7D9F1777B3}" name="Column8808"/>
    <tableColumn id="8809" xr3:uid="{CDF3E6E4-D4B9-477B-A5C5-AB7DE4CFDD5E}" name="Column8809"/>
    <tableColumn id="8810" xr3:uid="{CE4664CD-098E-4EDA-8E3A-765D4E6275CB}" name="Column8810"/>
    <tableColumn id="8811" xr3:uid="{8C681A83-ED43-487E-8A06-1B96BCEF10FC}" name="Column8811"/>
    <tableColumn id="8812" xr3:uid="{B4244F4E-7A49-4B37-889E-8C7947B2A8CD}" name="Column8812"/>
    <tableColumn id="8813" xr3:uid="{D459CCFE-D21E-4184-9BC7-37D315ACE12A}" name="Column8813"/>
    <tableColumn id="8814" xr3:uid="{389FCCE9-1CB1-43E8-9C3F-7CF965E44E1D}" name="Column8814"/>
    <tableColumn id="8815" xr3:uid="{53E3E29B-0306-40D1-B6A1-15DAE56DC80C}" name="Column8815"/>
    <tableColumn id="8816" xr3:uid="{38CE9EC6-68A3-4436-8CC6-351CB870E13C}" name="Column8816"/>
    <tableColumn id="8817" xr3:uid="{4D4511D1-3919-45ED-9A45-45BA6E48D214}" name="Column8817"/>
    <tableColumn id="8818" xr3:uid="{601BA7F2-21DB-4E27-B2D7-12D521324C6E}" name="Column8818"/>
    <tableColumn id="8819" xr3:uid="{A533533F-2264-4BAB-94A6-A90B0B297D00}" name="Column8819"/>
    <tableColumn id="8820" xr3:uid="{06A79592-77A4-4C65-A29F-8B4282A1C9C5}" name="Column8820"/>
    <tableColumn id="8821" xr3:uid="{E67BA1AD-6C43-4132-BC51-7312D64607DD}" name="Column8821"/>
    <tableColumn id="8822" xr3:uid="{50DD22DF-036E-40D5-93AD-95F85AF87126}" name="Column8822"/>
    <tableColumn id="8823" xr3:uid="{660033D2-168A-4E8C-AECC-67D95ABFC87A}" name="Column8823"/>
    <tableColumn id="8824" xr3:uid="{FB46EEA6-7509-44D4-9A05-AF58FDDA39A3}" name="Column8824"/>
    <tableColumn id="8825" xr3:uid="{664E3366-C009-44FF-9CC7-61CC7437300E}" name="Column8825"/>
    <tableColumn id="8826" xr3:uid="{13A2E2E6-5A67-4BAC-9C96-FBB38B704700}" name="Column8826"/>
    <tableColumn id="8827" xr3:uid="{270F87CB-4EC3-4AC2-8DAD-49818C26E1A4}" name="Column8827"/>
    <tableColumn id="8828" xr3:uid="{0E8BCB4D-5359-43FE-9EB6-6C6ED983D975}" name="Column8828"/>
    <tableColumn id="8829" xr3:uid="{5469E6CA-8033-45FB-9A54-98055F19A2FB}" name="Column8829"/>
    <tableColumn id="8830" xr3:uid="{D91DBD90-72A6-4678-84F2-D3A0D519E1AE}" name="Column8830"/>
    <tableColumn id="8831" xr3:uid="{F11098F9-F380-4CBD-9D38-1A722B926BCE}" name="Column8831"/>
    <tableColumn id="8832" xr3:uid="{A60AB5CE-2EBB-4BE2-B5C7-D8BFC489D3E5}" name="Column8832"/>
    <tableColumn id="8833" xr3:uid="{4E1819CD-3CEA-41E5-9596-FD376B5C90C8}" name="Column8833"/>
    <tableColumn id="8834" xr3:uid="{28427139-6F64-4086-B5B4-EF38D64DF257}" name="Column8834"/>
    <tableColumn id="8835" xr3:uid="{95E01765-6D1F-47D0-A399-A7EE4CA2D334}" name="Column8835"/>
    <tableColumn id="8836" xr3:uid="{D6018DE9-3DA3-4A8C-A0A8-C93111A3FE64}" name="Column8836"/>
    <tableColumn id="8837" xr3:uid="{2D8ADD4E-7A45-485D-8F78-5879504E952A}" name="Column8837"/>
    <tableColumn id="8838" xr3:uid="{3787029D-1A1B-4F21-9419-1026F572F0C7}" name="Column8838"/>
    <tableColumn id="8839" xr3:uid="{DF37B37C-DD9A-4567-A4ED-9F209F0C10D8}" name="Column8839"/>
    <tableColumn id="8840" xr3:uid="{DD4632BF-6A93-477D-AAB0-C42B59811F5B}" name="Column8840"/>
    <tableColumn id="8841" xr3:uid="{203717EA-4E7B-4F48-87B1-E294F68B6576}" name="Column8841"/>
    <tableColumn id="8842" xr3:uid="{0BEEE1F1-1456-4344-810A-F3B087D3530B}" name="Column8842"/>
    <tableColumn id="8843" xr3:uid="{704107BE-7942-487A-BBF1-68B23C6C5B60}" name="Column8843"/>
    <tableColumn id="8844" xr3:uid="{D88C74E2-138C-41FB-A553-BDB3C3912ECB}" name="Column8844"/>
    <tableColumn id="8845" xr3:uid="{C07F1CCD-D2AA-4384-A389-381F03F2F64C}" name="Column8845"/>
    <tableColumn id="8846" xr3:uid="{4064B619-6502-45BD-9875-8E842C8FA384}" name="Column8846"/>
    <tableColumn id="8847" xr3:uid="{9DF94E5C-F79D-4F23-BDF0-94B4F6BE91D1}" name="Column8847"/>
    <tableColumn id="8848" xr3:uid="{214146DF-ED03-4113-990E-9B5E53F7B212}" name="Column8848"/>
    <tableColumn id="8849" xr3:uid="{AC112BF0-E040-41F4-96BC-30A3E6DA4E4D}" name="Column8849"/>
    <tableColumn id="8850" xr3:uid="{7E1AA166-F320-4BE1-AB32-4C6A05547BC5}" name="Column8850"/>
    <tableColumn id="8851" xr3:uid="{4D056A62-9246-4A30-896A-93CBF18CC42D}" name="Column8851"/>
    <tableColumn id="8852" xr3:uid="{21F2B335-A3E3-4818-A9C5-9FD1315644C5}" name="Column8852"/>
    <tableColumn id="8853" xr3:uid="{6E52F92A-C38D-4C5F-A410-05F03CA1FB55}" name="Column8853"/>
    <tableColumn id="8854" xr3:uid="{F5C5212A-E22F-4716-AB96-158CE16551A6}" name="Column8854"/>
    <tableColumn id="8855" xr3:uid="{96C8E957-3644-48C0-923B-8175D004AA4C}" name="Column8855"/>
    <tableColumn id="8856" xr3:uid="{CAC14741-33F8-4BA8-9E80-F22B169DFE38}" name="Column8856"/>
    <tableColumn id="8857" xr3:uid="{55FDFE77-66D2-491D-8E5E-AA0EE62CA5A4}" name="Column8857"/>
    <tableColumn id="8858" xr3:uid="{4A3ADD27-31FE-41A1-8DF0-C5B52709161C}" name="Column8858"/>
    <tableColumn id="8859" xr3:uid="{54C5F6E0-1989-42B9-AAF7-146A4F0E43E8}" name="Column8859"/>
    <tableColumn id="8860" xr3:uid="{1D2B9C61-320B-4063-9806-11FB2AB1E3CD}" name="Column8860"/>
    <tableColumn id="8861" xr3:uid="{DEEEE2F7-DBCC-4E72-AF61-4447F2CA82F8}" name="Column8861"/>
    <tableColumn id="8862" xr3:uid="{4ADF838E-5B82-4C13-B051-2CA3BCBD2EA5}" name="Column8862"/>
    <tableColumn id="8863" xr3:uid="{6F0A2B5B-C90D-4CE4-8482-850A77891A77}" name="Column8863"/>
    <tableColumn id="8864" xr3:uid="{85E2E9C8-9AD8-435D-8D52-C511257F6D66}" name="Column8864"/>
    <tableColumn id="8865" xr3:uid="{DC1F0852-6110-483F-A4C8-59DDA508A317}" name="Column8865"/>
    <tableColumn id="8866" xr3:uid="{8EBC5A5B-8B81-417A-99ED-E90862E1C530}" name="Column8866"/>
    <tableColumn id="8867" xr3:uid="{FC17AD58-30DA-4AD2-AB43-DE85E2D0E59F}" name="Column8867"/>
    <tableColumn id="8868" xr3:uid="{6D824962-65B3-4F06-B92B-B8D248A8B6C1}" name="Column8868"/>
    <tableColumn id="8869" xr3:uid="{EF5D4FFD-B151-448B-8E69-3D8ABE421DC3}" name="Column8869"/>
    <tableColumn id="8870" xr3:uid="{AAEA6622-EFAD-4C53-8525-008255797D51}" name="Column8870"/>
    <tableColumn id="8871" xr3:uid="{8649BD86-70BA-49D8-BF13-7DC714BCEF4D}" name="Column8871"/>
    <tableColumn id="8872" xr3:uid="{0950B1D0-5272-466E-80BF-821726396EE0}" name="Column8872"/>
    <tableColumn id="8873" xr3:uid="{B1849EF2-31E2-4732-8E90-35748C439AB8}" name="Column8873"/>
    <tableColumn id="8874" xr3:uid="{B8608AEE-8788-4506-BB5F-88F315DE32D9}" name="Column8874"/>
    <tableColumn id="8875" xr3:uid="{9512B2AE-115A-4BA4-AF65-AEB916E5F418}" name="Column8875"/>
    <tableColumn id="8876" xr3:uid="{7B325063-9C18-4CE2-891D-577C477FF16C}" name="Column8876"/>
    <tableColumn id="8877" xr3:uid="{D6AEEF21-C2D5-4C71-9CFF-0ED8FEBCE38B}" name="Column8877"/>
    <tableColumn id="8878" xr3:uid="{B5EE495E-CA86-47B6-9FB5-421C2C81694E}" name="Column8878"/>
    <tableColumn id="8879" xr3:uid="{6E1B4529-F8BD-44F3-B158-C11E5E79B64D}" name="Column8879"/>
    <tableColumn id="8880" xr3:uid="{7443EE8F-97E6-4985-B5A6-AC2660643AD3}" name="Column8880"/>
    <tableColumn id="8881" xr3:uid="{42F9F459-3DBE-4703-98AF-8998EEC1C200}" name="Column8881"/>
    <tableColumn id="8882" xr3:uid="{81E63AE5-9DCE-4DF7-8DD9-01779C6E7143}" name="Column8882"/>
    <tableColumn id="8883" xr3:uid="{503D7655-0658-4A13-9B89-1186B1E8CB6F}" name="Column8883"/>
    <tableColumn id="8884" xr3:uid="{81DFB903-1E41-419F-BD41-320293743BF5}" name="Column8884"/>
    <tableColumn id="8885" xr3:uid="{E144E399-A297-4665-9810-9F83C1E42F35}" name="Column8885"/>
    <tableColumn id="8886" xr3:uid="{F5791159-819B-423A-9131-2AB8A40FF653}" name="Column8886"/>
    <tableColumn id="8887" xr3:uid="{382F937F-7AD7-4F5C-A892-61E5AB41CF49}" name="Column8887"/>
    <tableColumn id="8888" xr3:uid="{7909729B-A296-4EBD-B1F8-BCCFD7D52AFD}" name="Column8888"/>
    <tableColumn id="8889" xr3:uid="{F53367CB-D4C5-40BD-A5A2-B199E140E9E2}" name="Column8889"/>
    <tableColumn id="8890" xr3:uid="{E49246FA-4F47-4CF4-AFEE-1D09002958F0}" name="Column8890"/>
    <tableColumn id="8891" xr3:uid="{EC2BE760-9BA6-405C-AB2F-F2CD30ECBB84}" name="Column8891"/>
    <tableColumn id="8892" xr3:uid="{AB89F088-0030-4DBD-8571-29AEC0C85ACF}" name="Column8892"/>
    <tableColumn id="8893" xr3:uid="{13D610CA-BB52-48C7-8DA0-C37D72D406F4}" name="Column8893"/>
    <tableColumn id="8894" xr3:uid="{CE35BD5E-BC91-4CEF-B687-3E524855C8F3}" name="Column8894"/>
    <tableColumn id="8895" xr3:uid="{EED0A27F-88EB-403D-975C-E811010383A9}" name="Column8895"/>
    <tableColumn id="8896" xr3:uid="{EAF98019-B843-4B76-BC29-81342D5A06C9}" name="Column8896"/>
    <tableColumn id="8897" xr3:uid="{F7226CCE-7FD2-4C41-870E-072DEBDF437F}" name="Column8897"/>
    <tableColumn id="8898" xr3:uid="{41501B5A-C26B-436B-BA4C-18D19BDD219D}" name="Column8898"/>
    <tableColumn id="8899" xr3:uid="{1C734AB0-42D1-4033-A5A2-86609310DC39}" name="Column8899"/>
    <tableColumn id="8900" xr3:uid="{EA696D1A-AC0C-4469-B93B-B33EB3E41486}" name="Column8900"/>
    <tableColumn id="8901" xr3:uid="{210F2DDE-EE65-4C46-A55C-AE1D6AC310E6}" name="Column8901"/>
    <tableColumn id="8902" xr3:uid="{1E6A0CE7-709A-4C75-8749-3A6DAF96BB69}" name="Column8902"/>
    <tableColumn id="8903" xr3:uid="{9A818F05-D894-4472-96A5-8B0CDAA557BC}" name="Column8903"/>
    <tableColumn id="8904" xr3:uid="{DFDF1DC5-D0CE-4662-8DF5-B252E5868648}" name="Column8904"/>
    <tableColumn id="8905" xr3:uid="{28C9A207-4F2D-454E-90FD-439E55B48DE3}" name="Column8905"/>
    <tableColumn id="8906" xr3:uid="{FB2FF416-3DBB-47C5-8F52-02A820CDD6FD}" name="Column8906"/>
    <tableColumn id="8907" xr3:uid="{75036BD8-2826-4E37-B6B0-C4714E382AB7}" name="Column8907"/>
    <tableColumn id="8908" xr3:uid="{58AAD813-A184-4AF4-BAFC-E92906791C5F}" name="Column8908"/>
    <tableColumn id="8909" xr3:uid="{16105078-B6D1-4F95-BAD8-381FDFBADFD6}" name="Column8909"/>
    <tableColumn id="8910" xr3:uid="{2A695D62-09B0-4885-ACCE-874DD48E3D9F}" name="Column8910"/>
    <tableColumn id="8911" xr3:uid="{A0534AA3-2DDE-465C-9954-D5D39110223B}" name="Column8911"/>
    <tableColumn id="8912" xr3:uid="{EAC1B236-A5B0-4F9F-949E-5B9FD8FF28CE}" name="Column8912"/>
    <tableColumn id="8913" xr3:uid="{EAFBF816-6E1A-4BAE-90E5-754494E664C7}" name="Column8913"/>
    <tableColumn id="8914" xr3:uid="{49D686BF-DAA5-4599-94FA-F315DE06807F}" name="Column8914"/>
    <tableColumn id="8915" xr3:uid="{FDD3DC4D-F565-4E4E-BA32-2E6E6E22DCED}" name="Column8915"/>
    <tableColumn id="8916" xr3:uid="{426B7D4F-7DDF-417B-AF67-753C41226E1C}" name="Column8916"/>
    <tableColumn id="8917" xr3:uid="{DEAFDAA6-8119-4C38-902E-5890FED39AC9}" name="Column8917"/>
    <tableColumn id="8918" xr3:uid="{561B834F-ECCF-4C8F-93C3-7B4C3B20FB2B}" name="Column8918"/>
    <tableColumn id="8919" xr3:uid="{DA26088C-C2DE-4F26-B75D-463C6B8FB183}" name="Column8919"/>
    <tableColumn id="8920" xr3:uid="{1BDBCBC7-28EA-4CBD-B698-3BD778B3A8A9}" name="Column8920"/>
    <tableColumn id="8921" xr3:uid="{AAC25CDA-61E3-4825-88F2-459E1C69692B}" name="Column8921"/>
    <tableColumn id="8922" xr3:uid="{EC848705-65D5-4120-8841-9753420A57B8}" name="Column8922"/>
    <tableColumn id="8923" xr3:uid="{E0216AF1-3853-41D9-8359-AAFAD26ADCDD}" name="Column8923"/>
    <tableColumn id="8924" xr3:uid="{E81E02CD-CD7C-4328-AD97-0B2C2462529B}" name="Column8924"/>
    <tableColumn id="8925" xr3:uid="{41F1340C-6CCB-4AC1-B04A-8F83C9C074BD}" name="Column8925"/>
    <tableColumn id="8926" xr3:uid="{1767972E-B46E-4EAD-BC64-4F921B680D05}" name="Column8926"/>
    <tableColumn id="8927" xr3:uid="{103408BB-DCBF-4715-82E9-B3D587097715}" name="Column8927"/>
    <tableColumn id="8928" xr3:uid="{EE926752-325C-4B9F-B31B-1E4AEB43F325}" name="Column8928"/>
    <tableColumn id="8929" xr3:uid="{477AEBFC-1D0B-4332-85C5-47E13DE069CB}" name="Column8929"/>
    <tableColumn id="8930" xr3:uid="{46B4CD60-C299-4D53-90A3-A566272E8AB2}" name="Column8930"/>
    <tableColumn id="8931" xr3:uid="{0C6D6D73-4823-4E23-BD73-2690864C8F0F}" name="Column8931"/>
    <tableColumn id="8932" xr3:uid="{CC4B8638-763F-42A4-B704-2F6E5370E09D}" name="Column8932"/>
    <tableColumn id="8933" xr3:uid="{37D2F394-EF7D-44B4-915C-72998C82C91B}" name="Column8933"/>
    <tableColumn id="8934" xr3:uid="{884C3D64-D367-4778-BD3C-B047CB27D0F5}" name="Column8934"/>
    <tableColumn id="8935" xr3:uid="{B6810931-7AC4-4BEC-930F-314DB0825BA3}" name="Column8935"/>
    <tableColumn id="8936" xr3:uid="{C380B42B-5A4A-4C25-B287-C2D593FFC385}" name="Column8936"/>
    <tableColumn id="8937" xr3:uid="{B52B2CBE-FC4F-4CC6-8ABB-828CFBD70F99}" name="Column8937"/>
    <tableColumn id="8938" xr3:uid="{497000E5-65C4-4A83-9C62-7E557E34C5EF}" name="Column8938"/>
    <tableColumn id="8939" xr3:uid="{AAD7CA66-1095-4BAA-A7DE-490A03E99BDA}" name="Column8939"/>
    <tableColumn id="8940" xr3:uid="{BCE2F2F1-18AE-46DB-8310-0E1E12D0F839}" name="Column8940"/>
    <tableColumn id="8941" xr3:uid="{471F96BD-2FDA-4D7C-B061-36B45AE932F1}" name="Column8941"/>
    <tableColumn id="8942" xr3:uid="{5C5F200E-50BD-49BF-8605-5F9533AC36D9}" name="Column8942"/>
    <tableColumn id="8943" xr3:uid="{954E5A39-7462-4E34-9A43-9417B42F6C68}" name="Column8943"/>
    <tableColumn id="8944" xr3:uid="{6039AD98-920F-4B57-A9CB-A4B268773EB9}" name="Column8944"/>
    <tableColumn id="8945" xr3:uid="{342E7CA5-D001-4C1F-AD7D-656BD60D8D63}" name="Column8945"/>
    <tableColumn id="8946" xr3:uid="{7FEE6A0F-128B-4C57-90DD-5C8414A511E6}" name="Column8946"/>
    <tableColumn id="8947" xr3:uid="{34F4CAE7-79EC-4912-955F-7C4A4CCEFA13}" name="Column8947"/>
    <tableColumn id="8948" xr3:uid="{19C26B71-86A7-4EA4-95C4-C7009C23A3EF}" name="Column8948"/>
    <tableColumn id="8949" xr3:uid="{C856AB85-E533-4317-B316-D6E3154517AB}" name="Column8949"/>
    <tableColumn id="8950" xr3:uid="{C4D48FDB-E4B3-46E1-9093-CE6C5560AA02}" name="Column8950"/>
    <tableColumn id="8951" xr3:uid="{A155C0E2-8BA3-49E4-8398-42B0D65AE27A}" name="Column8951"/>
    <tableColumn id="8952" xr3:uid="{74CFDA6D-A90D-45D1-9B86-7B608183498E}" name="Column8952"/>
    <tableColumn id="8953" xr3:uid="{E3B637F7-10B9-48F3-9BAD-AE6B9FED85E0}" name="Column8953"/>
    <tableColumn id="8954" xr3:uid="{03D4CDF7-D3CE-44DB-8223-AC80D72A0E3B}" name="Column8954"/>
    <tableColumn id="8955" xr3:uid="{1F4E717E-7F8E-4C59-933C-78446F7BC566}" name="Column8955"/>
    <tableColumn id="8956" xr3:uid="{70A9BF1D-ED12-43A2-87CB-EF6B1CE1ECFB}" name="Column8956"/>
    <tableColumn id="8957" xr3:uid="{2E924CB2-BB0B-43FA-AD03-91B84F5B843F}" name="Column8957"/>
    <tableColumn id="8958" xr3:uid="{9187B019-5D1F-4BA4-8211-838EE48D3338}" name="Column8958"/>
    <tableColumn id="8959" xr3:uid="{5D25C120-5BC1-4125-A79D-0F7E272C1FD4}" name="Column8959"/>
    <tableColumn id="8960" xr3:uid="{3DE6AD7D-C208-428E-99EC-BBB3A91ABB78}" name="Column8960"/>
    <tableColumn id="8961" xr3:uid="{33D02113-5B9B-4246-A776-71635F147AE3}" name="Column8961"/>
    <tableColumn id="8962" xr3:uid="{DFA1EEBC-BA8F-4586-A853-1E5865D8F007}" name="Column8962"/>
    <tableColumn id="8963" xr3:uid="{6880798E-9564-44D3-A235-43C41E1D4269}" name="Column8963"/>
    <tableColumn id="8964" xr3:uid="{FE55CDA1-FAFE-4C14-BACF-5C4BD8C799FD}" name="Column8964"/>
    <tableColumn id="8965" xr3:uid="{3E4275D3-C7D0-4FC8-94DD-D68CAB923710}" name="Column8965"/>
    <tableColumn id="8966" xr3:uid="{05421FA2-A324-4FD8-A3EC-0B79F63C7D75}" name="Column8966"/>
    <tableColumn id="8967" xr3:uid="{51FDE688-E780-4A37-B4AC-D9C3DBB6B2DE}" name="Column8967"/>
    <tableColumn id="8968" xr3:uid="{CCC1C646-FB01-49D8-B8F9-31D31016F649}" name="Column8968"/>
    <tableColumn id="8969" xr3:uid="{8E074135-9896-4B12-961A-F02A52312871}" name="Column8969"/>
    <tableColumn id="8970" xr3:uid="{559AA9DD-F83C-4F1C-A373-F35740BB3382}" name="Column8970"/>
    <tableColumn id="8971" xr3:uid="{90FE9A48-10DD-45A8-AE21-61F19C0D61AA}" name="Column8971"/>
    <tableColumn id="8972" xr3:uid="{EEDEBBE1-FA70-4AA6-A461-AAEA52EAB62A}" name="Column8972"/>
    <tableColumn id="8973" xr3:uid="{AAF56C42-429D-4C0E-93DC-935B402EDE3E}" name="Column8973"/>
    <tableColumn id="8974" xr3:uid="{1FE0AD9C-50C5-457B-8906-F77A0B95C64F}" name="Column8974"/>
    <tableColumn id="8975" xr3:uid="{1E4DD9CF-DF99-4CA5-9958-AE516E15AC00}" name="Column8975"/>
    <tableColumn id="8976" xr3:uid="{D285B3D2-A6BC-434C-84EB-DA8D461F3CA6}" name="Column8976"/>
    <tableColumn id="8977" xr3:uid="{69905695-892D-467C-9D3A-A674F414ACFB}" name="Column8977"/>
    <tableColumn id="8978" xr3:uid="{C97BBC06-DC88-4510-99A2-8400F2368EA2}" name="Column8978"/>
    <tableColumn id="8979" xr3:uid="{6C688772-7023-4D1D-B338-812C6E05CCF7}" name="Column8979"/>
    <tableColumn id="8980" xr3:uid="{1347336C-C664-4BE7-ABBE-CDD6A9BDF364}" name="Column8980"/>
    <tableColumn id="8981" xr3:uid="{AF21063B-46D6-4968-9E2D-42F957F8C1B3}" name="Column8981"/>
    <tableColumn id="8982" xr3:uid="{920C079E-BA4D-45FF-A8B9-3DD987B5A038}" name="Column8982"/>
    <tableColumn id="8983" xr3:uid="{20A66128-3C3B-421A-B565-F2E380FE8729}" name="Column8983"/>
    <tableColumn id="8984" xr3:uid="{8F1EE31A-7BE4-4BA8-B835-426F5CFD0267}" name="Column8984"/>
    <tableColumn id="8985" xr3:uid="{71F4C0B4-39DE-4C22-9479-52E5B37CBBD3}" name="Column8985"/>
    <tableColumn id="8986" xr3:uid="{CC757CBE-D2AD-46F4-ABD4-08D8508A748B}" name="Column8986"/>
    <tableColumn id="8987" xr3:uid="{AAD52AAF-FAD2-4B93-A862-24F859D74C06}" name="Column8987"/>
    <tableColumn id="8988" xr3:uid="{0367FBAD-4F4C-4130-8F43-659AEC606832}" name="Column8988"/>
    <tableColumn id="8989" xr3:uid="{996C424F-AD84-47B1-81DA-0C506AA268A9}" name="Column8989"/>
    <tableColumn id="8990" xr3:uid="{8C8D3AB4-2EF0-4436-91A1-6F35C22F8F8E}" name="Column8990"/>
    <tableColumn id="8991" xr3:uid="{A1B274DB-2E51-45D1-B09A-952DD767E348}" name="Column8991"/>
    <tableColumn id="8992" xr3:uid="{606E9E31-6351-4FD2-AC5E-16E12EFB52FB}" name="Column8992"/>
    <tableColumn id="8993" xr3:uid="{6E244E6B-0918-4044-883D-B6AB755FC02F}" name="Column8993"/>
    <tableColumn id="8994" xr3:uid="{C49BFCC1-1B30-4B0C-90A7-1662CB4A7243}" name="Column8994"/>
    <tableColumn id="8995" xr3:uid="{303950CB-8BB8-4A34-9E91-ADF09A309D00}" name="Column8995"/>
    <tableColumn id="8996" xr3:uid="{12DB1D47-C445-42EB-82D9-EDE0A1D513E2}" name="Column8996"/>
    <tableColumn id="8997" xr3:uid="{6968222C-F28E-4A61-B965-E3E1E937E1CF}" name="Column8997"/>
    <tableColumn id="8998" xr3:uid="{8277C662-DF08-4E6A-BAA0-A6150C92AF8F}" name="Column8998"/>
    <tableColumn id="8999" xr3:uid="{5CA94490-6CC3-41F9-8454-0C747A48084C}" name="Column8999"/>
    <tableColumn id="9000" xr3:uid="{4A6371C1-8182-4942-BBF5-93CC7F6B1FE3}" name="Column9000"/>
    <tableColumn id="9001" xr3:uid="{E52D9ACB-3981-45C8-8DB0-F6E5EB25E2F2}" name="Column9001"/>
    <tableColumn id="9002" xr3:uid="{2C674B6E-0574-4BA5-88DC-5CD207152E38}" name="Column9002"/>
    <tableColumn id="9003" xr3:uid="{6EB0C604-9E50-4B63-8500-CF048AD89A27}" name="Column9003"/>
    <tableColumn id="9004" xr3:uid="{BEF06D18-00C3-49D7-98A3-27E2EB7CEDFC}" name="Column9004"/>
    <tableColumn id="9005" xr3:uid="{F9EBFCE3-3356-4C2A-858A-969EFB510DDC}" name="Column9005"/>
    <tableColumn id="9006" xr3:uid="{4384E4AA-CD20-4115-A6CD-3D5B155D9D08}" name="Column9006"/>
    <tableColumn id="9007" xr3:uid="{692CD1A1-D494-43A4-A560-F3A57FD274BE}" name="Column9007"/>
    <tableColumn id="9008" xr3:uid="{C3FB5A85-C1B0-49CF-AF7A-841DE77B4FB4}" name="Column9008"/>
    <tableColumn id="9009" xr3:uid="{24237478-8B41-4ACA-9423-5BE27F4B68B0}" name="Column9009"/>
    <tableColumn id="9010" xr3:uid="{8C6B4766-AADB-4A63-A9FA-1F399685BD99}" name="Column9010"/>
    <tableColumn id="9011" xr3:uid="{D77FBD17-FDE6-4817-8451-AD10A4E5BDF6}" name="Column9011"/>
    <tableColumn id="9012" xr3:uid="{2EBDC147-573F-44AF-A3B4-BD03C8AD6164}" name="Column9012"/>
    <tableColumn id="9013" xr3:uid="{3A4114E2-AFC9-43E3-AF50-D17498ABD783}" name="Column9013"/>
    <tableColumn id="9014" xr3:uid="{2462A277-5887-48A2-89D9-F490D8D27D3A}" name="Column9014"/>
    <tableColumn id="9015" xr3:uid="{9912561F-8BE4-4605-AFF0-A7C1FED9472A}" name="Column9015"/>
    <tableColumn id="9016" xr3:uid="{63A7C803-52D5-48F1-A776-0AC2A6796E63}" name="Column9016"/>
    <tableColumn id="9017" xr3:uid="{9A48C75C-59D5-43F1-ABB6-8922AF5BFB83}" name="Column9017"/>
    <tableColumn id="9018" xr3:uid="{C15C5579-C883-4ECC-949E-E11D23F66976}" name="Column9018"/>
    <tableColumn id="9019" xr3:uid="{2BCCE0D4-FDF2-48BB-A9F5-CAFF7392E165}" name="Column9019"/>
    <tableColumn id="9020" xr3:uid="{6E66DE14-98BB-4A36-854F-D2A4D335BA7C}" name="Column9020"/>
    <tableColumn id="9021" xr3:uid="{ABCF1A40-02B8-4F48-955C-F54ABFA27737}" name="Column9021"/>
    <tableColumn id="9022" xr3:uid="{8EFDB985-94CF-4254-B10E-2DD8BEDBC43C}" name="Column9022"/>
    <tableColumn id="9023" xr3:uid="{8CAC573C-80A5-4BC3-90E8-5812715FE8B2}" name="Column9023"/>
    <tableColumn id="9024" xr3:uid="{BF447575-F4FB-4D37-88CA-08FA05C92A1A}" name="Column9024"/>
    <tableColumn id="9025" xr3:uid="{E107DCD3-44D4-4691-8A05-8E7AABABBAF2}" name="Column9025"/>
    <tableColumn id="9026" xr3:uid="{979E44F8-3FE9-48B5-BDFE-B65071569089}" name="Column9026"/>
    <tableColumn id="9027" xr3:uid="{FE9DE635-C538-4767-851D-45D642ACF06E}" name="Column9027"/>
    <tableColumn id="9028" xr3:uid="{6F4D8225-A93B-452D-8B66-ED653474D25E}" name="Column9028"/>
    <tableColumn id="9029" xr3:uid="{21A8751A-908B-44FC-8EFF-090D80741C99}" name="Column9029"/>
    <tableColumn id="9030" xr3:uid="{5559B2B6-96DC-4B8A-AC59-5D656B93426C}" name="Column9030"/>
    <tableColumn id="9031" xr3:uid="{95FFDC84-62FD-457A-96D5-33E9F84807CA}" name="Column9031"/>
    <tableColumn id="9032" xr3:uid="{6504969F-2DE2-4D07-90D0-EFAEA93D17D0}" name="Column9032"/>
    <tableColumn id="9033" xr3:uid="{84290640-7A0E-4107-B320-CE92DCFDD724}" name="Column9033"/>
    <tableColumn id="9034" xr3:uid="{843A5253-EA6B-4DA1-9B13-E17F797FF3A3}" name="Column9034"/>
    <tableColumn id="9035" xr3:uid="{476D05B0-B693-4003-88F6-3D7E80530490}" name="Column9035"/>
    <tableColumn id="9036" xr3:uid="{A83E734B-184D-422D-A725-5655F6A07278}" name="Column9036"/>
    <tableColumn id="9037" xr3:uid="{4DCD9D08-283E-4007-8F39-5F5239669B16}" name="Column9037"/>
    <tableColumn id="9038" xr3:uid="{F621B5A8-CD00-44EF-9BC4-75EE89B43682}" name="Column9038"/>
    <tableColumn id="9039" xr3:uid="{59ED04ED-B351-45F0-B39D-1D921CFC2E08}" name="Column9039"/>
    <tableColumn id="9040" xr3:uid="{337F9BAB-B717-4D8D-919A-C13F32057837}" name="Column9040"/>
    <tableColumn id="9041" xr3:uid="{B6802D33-29FB-46CF-A8EE-745D7AB655B9}" name="Column9041"/>
    <tableColumn id="9042" xr3:uid="{8093031C-245E-48B0-AA69-8D6273816A71}" name="Column9042"/>
    <tableColumn id="9043" xr3:uid="{D638EE0D-A4C9-42F6-9D52-80AC2747FD5E}" name="Column9043"/>
    <tableColumn id="9044" xr3:uid="{13E1713F-FF70-4978-BB33-E34D25405EA7}" name="Column9044"/>
    <tableColumn id="9045" xr3:uid="{FD11C6B4-362F-486B-9938-58C6404C953F}" name="Column9045"/>
    <tableColumn id="9046" xr3:uid="{0B672816-C95B-4DF5-985A-0DB172D68DF7}" name="Column9046"/>
    <tableColumn id="9047" xr3:uid="{4E123E14-1E78-4F4D-9A16-8BD38795809E}" name="Column9047"/>
    <tableColumn id="9048" xr3:uid="{3A1589D5-6815-4136-869D-412F6FAAFACA}" name="Column9048"/>
    <tableColumn id="9049" xr3:uid="{9BDDDE15-0157-4CD3-A3B8-A16AB2AB1311}" name="Column9049"/>
    <tableColumn id="9050" xr3:uid="{8B603864-4020-458D-885A-6D4EDB6ED3A2}" name="Column9050"/>
    <tableColumn id="9051" xr3:uid="{639A2750-37D3-4BD9-9B61-6FBD5368F416}" name="Column9051"/>
    <tableColumn id="9052" xr3:uid="{9F89B78C-430E-4764-BB72-A2F612FACF39}" name="Column9052"/>
    <tableColumn id="9053" xr3:uid="{9BEF3B78-3C91-42F2-9ED0-A93F69C2924C}" name="Column9053"/>
    <tableColumn id="9054" xr3:uid="{A761A30F-BDC1-4F74-8E7A-BDB1F39E6699}" name="Column9054"/>
    <tableColumn id="9055" xr3:uid="{0D2D9C6B-3867-41B2-8FAF-3873EFAC5536}" name="Column9055"/>
    <tableColumn id="9056" xr3:uid="{A52D4358-D91D-427C-80D8-5CBEE62F87CE}" name="Column9056"/>
    <tableColumn id="9057" xr3:uid="{D03ECE63-E821-4230-A63F-B94ABE6E4B10}" name="Column9057"/>
    <tableColumn id="9058" xr3:uid="{8B02E1EC-8F4D-461F-A7AB-A8F813AFD6D2}" name="Column9058"/>
    <tableColumn id="9059" xr3:uid="{9FD73081-92E1-4912-9457-C5BACA7C6D51}" name="Column9059"/>
    <tableColumn id="9060" xr3:uid="{D72F7827-A042-4D80-855F-7CDF113DEC6E}" name="Column9060"/>
    <tableColumn id="9061" xr3:uid="{5414A9AB-1E08-4D9A-9B73-55FA34226C9F}" name="Column9061"/>
    <tableColumn id="9062" xr3:uid="{A8D81512-02AE-4498-BBDE-914748801935}" name="Column9062"/>
    <tableColumn id="9063" xr3:uid="{A5DDA2DB-934B-47CD-BE8B-A0FC91AEE1CF}" name="Column9063"/>
    <tableColumn id="9064" xr3:uid="{161ACB36-4131-40B3-BE4B-0047F8364473}" name="Column9064"/>
    <tableColumn id="9065" xr3:uid="{7B751FFB-CC75-4D30-B29E-51F9D6CDBC1B}" name="Column9065"/>
    <tableColumn id="9066" xr3:uid="{5E3AB784-DEA9-484A-B2DD-C455A0EBA6CF}" name="Column9066"/>
    <tableColumn id="9067" xr3:uid="{9F2E6282-3AAC-4AF1-AD6F-6380AB6F9E3E}" name="Column9067"/>
    <tableColumn id="9068" xr3:uid="{5559C382-5268-49E6-8E76-0CEF8A9878A1}" name="Column9068"/>
    <tableColumn id="9069" xr3:uid="{D394EE44-60A2-40FE-8720-7D9CC15F1B21}" name="Column9069"/>
    <tableColumn id="9070" xr3:uid="{2A3C3E93-CFE3-4BDD-B275-10A375E336B7}" name="Column9070"/>
    <tableColumn id="9071" xr3:uid="{CCA3343B-F412-497E-88DC-3636C39A3D31}" name="Column9071"/>
    <tableColumn id="9072" xr3:uid="{CECEA052-AACE-417E-8134-C2A3DFC702BC}" name="Column9072"/>
    <tableColumn id="9073" xr3:uid="{86616885-26B7-4133-8BBE-FE9773D04875}" name="Column9073"/>
    <tableColumn id="9074" xr3:uid="{63D8FBEC-B6B0-44AC-8F94-BE54D7EABDCC}" name="Column9074"/>
    <tableColumn id="9075" xr3:uid="{FBA56F73-BDCB-470C-AF77-A223484401CA}" name="Column9075"/>
    <tableColumn id="9076" xr3:uid="{FBA45F3C-A23B-473A-9A49-BBA4B48F94AE}" name="Column9076"/>
    <tableColumn id="9077" xr3:uid="{B647FC11-04EE-486C-AFA0-CE6A11CBD1F6}" name="Column9077"/>
    <tableColumn id="9078" xr3:uid="{5951D5BD-191F-44AC-B02A-DC5B1B6ADB8F}" name="Column9078"/>
    <tableColumn id="9079" xr3:uid="{BC25DF72-A010-4147-85F9-238DCCE5CA62}" name="Column9079"/>
    <tableColumn id="9080" xr3:uid="{70F6F07E-6092-42C9-99E0-C5D8CA0C5FE1}" name="Column9080"/>
    <tableColumn id="9081" xr3:uid="{6AE4F853-1619-4929-8580-5813FC0C1BFA}" name="Column9081"/>
    <tableColumn id="9082" xr3:uid="{E9153061-A68E-44D2-830F-A92F16EC3F90}" name="Column9082"/>
    <tableColumn id="9083" xr3:uid="{88987825-7B48-4313-A956-6FB87B5532B4}" name="Column9083"/>
    <tableColumn id="9084" xr3:uid="{D063C5C8-F94E-48A1-A396-47208A4A049E}" name="Column9084"/>
    <tableColumn id="9085" xr3:uid="{A232FBC6-290C-482E-98E3-9E5FF0ACDD24}" name="Column9085"/>
    <tableColumn id="9086" xr3:uid="{57D776A3-B62A-4B10-96AD-951B3032BA95}" name="Column9086"/>
    <tableColumn id="9087" xr3:uid="{EDA1C32A-1437-487C-BFC4-E7DF5DDAA9F5}" name="Column9087"/>
    <tableColumn id="9088" xr3:uid="{8146EAD3-7996-491D-BF38-54E291EC9EC9}" name="Column9088"/>
    <tableColumn id="9089" xr3:uid="{7A091251-8443-413B-B646-ACFDE93240C7}" name="Column9089"/>
    <tableColumn id="9090" xr3:uid="{348F6913-E8E2-4421-81FA-D22CA213B62E}" name="Column9090"/>
    <tableColumn id="9091" xr3:uid="{233E4D86-7492-455B-A940-38048F95BC60}" name="Column9091"/>
    <tableColumn id="9092" xr3:uid="{EA91F63B-0042-4A01-A282-F04F696F3F8E}" name="Column9092"/>
    <tableColumn id="9093" xr3:uid="{761D63B6-736E-4B68-86DB-F6AC56088FDF}" name="Column9093"/>
    <tableColumn id="9094" xr3:uid="{05EBD7C0-0081-4107-A5AB-E2A81DBB4BE7}" name="Column9094"/>
    <tableColumn id="9095" xr3:uid="{58DF0267-CAB1-4502-A973-8887438EEAD0}" name="Column9095"/>
    <tableColumn id="9096" xr3:uid="{D9694A58-E551-4268-A831-19706111438C}" name="Column9096"/>
    <tableColumn id="9097" xr3:uid="{87205AF1-3D2A-4961-8B82-CBAFF190AAAF}" name="Column9097"/>
    <tableColumn id="9098" xr3:uid="{A138F181-AF9F-4B7B-BDF3-63C447350274}" name="Column9098"/>
    <tableColumn id="9099" xr3:uid="{9A89E9B5-D896-489E-94AE-6963AAE8F67C}" name="Column9099"/>
    <tableColumn id="9100" xr3:uid="{C188FEF4-66EF-4B60-8438-48EA9B33E4EF}" name="Column9100"/>
    <tableColumn id="9101" xr3:uid="{6134CFAE-91CA-4556-B47A-22AFC413C082}" name="Column9101"/>
    <tableColumn id="9102" xr3:uid="{3E7D515B-6CC9-4266-BCEC-E3C0E44FFACF}" name="Column9102"/>
    <tableColumn id="9103" xr3:uid="{57597797-F2E0-4175-8018-812BF3D3E838}" name="Column9103"/>
    <tableColumn id="9104" xr3:uid="{F22787C2-CEE4-4F44-80AB-5D633B91644A}" name="Column9104"/>
    <tableColumn id="9105" xr3:uid="{25D6FEF0-7179-42D1-88EE-554D8E469EE0}" name="Column9105"/>
    <tableColumn id="9106" xr3:uid="{68BC2AFC-17C6-41B0-B313-4B55183DD7CC}" name="Column9106"/>
    <tableColumn id="9107" xr3:uid="{61C05547-B773-42BC-9344-ACBF9005B39A}" name="Column9107"/>
    <tableColumn id="9108" xr3:uid="{AD9D0A3E-E87F-4671-9BFD-93A504C8660D}" name="Column9108"/>
    <tableColumn id="9109" xr3:uid="{D6C2A5E4-7814-4CDD-9A17-23799A1ED96E}" name="Column9109"/>
    <tableColumn id="9110" xr3:uid="{2C4EA1FA-1F6A-4B0A-B95F-ADF37887440C}" name="Column9110"/>
    <tableColumn id="9111" xr3:uid="{05951404-1A6C-4A44-A405-6398887390F2}" name="Column9111"/>
    <tableColumn id="9112" xr3:uid="{61621FB1-A53F-4233-A94E-6137FA317A77}" name="Column9112"/>
    <tableColumn id="9113" xr3:uid="{9288F232-7BE5-4501-A514-D40EEF961912}" name="Column9113"/>
    <tableColumn id="9114" xr3:uid="{4DEFAFA4-7155-420B-9491-4C9C20C221FF}" name="Column9114"/>
    <tableColumn id="9115" xr3:uid="{863DC7FE-B7F3-4BE5-8110-6C032A3A8FA4}" name="Column9115"/>
    <tableColumn id="9116" xr3:uid="{B24D08EC-DD82-49D9-83F0-D5ECA297D8FC}" name="Column9116"/>
    <tableColumn id="9117" xr3:uid="{340FA12B-2C27-4A04-AB87-CE0D92823B05}" name="Column9117"/>
    <tableColumn id="9118" xr3:uid="{10A359D8-D7D1-4AD8-BB91-B03D99CEE258}" name="Column9118"/>
    <tableColumn id="9119" xr3:uid="{8EF89BAD-CBA6-4587-A258-A0A22E4C2670}" name="Column9119"/>
    <tableColumn id="9120" xr3:uid="{05642DFF-246F-4EAB-A672-7A30932137B9}" name="Column9120"/>
    <tableColumn id="9121" xr3:uid="{694FE2C3-F762-42CC-B85C-C7C772B98C9E}" name="Column9121"/>
    <tableColumn id="9122" xr3:uid="{DBEE23BA-495D-4452-90A2-8143C5FE9936}" name="Column9122"/>
    <tableColumn id="9123" xr3:uid="{0D4C2DAF-6692-4001-BB7D-B8F14684CB72}" name="Column9123"/>
    <tableColumn id="9124" xr3:uid="{E8543B24-18A2-4A57-A1FD-A46930426B14}" name="Column9124"/>
    <tableColumn id="9125" xr3:uid="{E7C0F85A-5590-44F5-9540-25424C20DA2F}" name="Column9125"/>
    <tableColumn id="9126" xr3:uid="{C07DDB3E-8FFB-468E-8EB2-9939AFD6379F}" name="Column9126"/>
    <tableColumn id="9127" xr3:uid="{898A5A9F-539D-46BC-BF7F-F4E020CED8A0}" name="Column9127"/>
    <tableColumn id="9128" xr3:uid="{DA9B0565-D57A-49A9-8067-CA9F415A0698}" name="Column9128"/>
    <tableColumn id="9129" xr3:uid="{B5C7DAD9-4D83-4D80-A84A-0773C13A1B0B}" name="Column9129"/>
    <tableColumn id="9130" xr3:uid="{78EE55EB-4F6B-4DA9-88CF-9ED96F59FB66}" name="Column9130"/>
    <tableColumn id="9131" xr3:uid="{97ECD962-D0ED-4AC7-B8C9-F09F897EB47C}" name="Column9131"/>
    <tableColumn id="9132" xr3:uid="{D3AD2BEC-28A3-497B-A520-90E9D304E686}" name="Column9132"/>
    <tableColumn id="9133" xr3:uid="{5E3E9011-0ACA-4023-9F29-71394AF84307}" name="Column9133"/>
    <tableColumn id="9134" xr3:uid="{EC307ABC-3C46-42A2-AE32-73E0ACD80F03}" name="Column9134"/>
    <tableColumn id="9135" xr3:uid="{047F872F-D787-4A25-90E2-BE92B26D7C26}" name="Column9135"/>
    <tableColumn id="9136" xr3:uid="{AF8814D6-F791-4F2E-A20A-A98B56928BEC}" name="Column9136"/>
    <tableColumn id="9137" xr3:uid="{392CACDB-DBF3-46DF-8098-71ED64E9C91D}" name="Column9137"/>
    <tableColumn id="9138" xr3:uid="{45B82B42-8E0C-4A06-B979-3C785D01DC2E}" name="Column9138"/>
    <tableColumn id="9139" xr3:uid="{787DF64A-276D-4BFD-816B-28CC9F929F7E}" name="Column9139"/>
    <tableColumn id="9140" xr3:uid="{C9812D78-46C3-4AFC-A629-0E6FF9F22FF5}" name="Column9140"/>
    <tableColumn id="9141" xr3:uid="{179EAF56-2E1D-40C8-9CE5-FC146786A861}" name="Column9141"/>
    <tableColumn id="9142" xr3:uid="{8AD0C023-CC3F-4A36-87EE-D89EEDA2242A}" name="Column9142"/>
    <tableColumn id="9143" xr3:uid="{4669170D-00E3-45B4-BB81-C31F2EE82686}" name="Column9143"/>
    <tableColumn id="9144" xr3:uid="{DF014C5D-4610-490A-A153-26A6AECFE8C4}" name="Column9144"/>
    <tableColumn id="9145" xr3:uid="{4544C085-8AF0-4604-8540-39C2706CC092}" name="Column9145"/>
    <tableColumn id="9146" xr3:uid="{D5CDA897-D452-4F11-9162-3C422A7AA648}" name="Column9146"/>
    <tableColumn id="9147" xr3:uid="{A7257493-2B3D-486C-B46B-4B086DEC5F5E}" name="Column9147"/>
    <tableColumn id="9148" xr3:uid="{48D5F77D-2399-420C-906C-403EBBEB5FA3}" name="Column9148"/>
    <tableColumn id="9149" xr3:uid="{6A451D03-18A1-4966-9B12-C98BE81E076D}" name="Column9149"/>
    <tableColumn id="9150" xr3:uid="{B59DB7FD-5EAA-43AA-AB71-19543DE4F8B1}" name="Column9150"/>
    <tableColumn id="9151" xr3:uid="{794F4E84-FF45-49AA-8B4B-D11793D9A348}" name="Column9151"/>
    <tableColumn id="9152" xr3:uid="{83071272-BCA3-4EFF-B1F0-508DC8F6041E}" name="Column9152"/>
    <tableColumn id="9153" xr3:uid="{01B1522E-FA05-4FCA-AD7E-56F84DF95789}" name="Column9153"/>
    <tableColumn id="9154" xr3:uid="{CA0453CF-18B1-4FE6-8153-FA99EE775E93}" name="Column9154"/>
    <tableColumn id="9155" xr3:uid="{82F44C7B-41AB-4776-B6A1-34A9C359FEA0}" name="Column9155"/>
    <tableColumn id="9156" xr3:uid="{B45B7EF0-2C2A-4581-B417-EF49EAEE8D0A}" name="Column9156"/>
    <tableColumn id="9157" xr3:uid="{44CCDF06-AC76-40D8-A046-8AFD9507C948}" name="Column9157"/>
    <tableColumn id="9158" xr3:uid="{DD1CA416-68AB-4C1E-97D3-6AA5F0E2A6B4}" name="Column9158"/>
    <tableColumn id="9159" xr3:uid="{F3D6DEAB-E294-41B4-8C07-300BA2C6796D}" name="Column9159"/>
    <tableColumn id="9160" xr3:uid="{C433C063-49D2-4387-9539-4C057CF358FF}" name="Column9160"/>
    <tableColumn id="9161" xr3:uid="{1212C9B1-D8B1-4B98-9979-FE62768E385E}" name="Column9161"/>
    <tableColumn id="9162" xr3:uid="{E3CADC67-862F-44AD-8602-03D7BB5A3303}" name="Column9162"/>
    <tableColumn id="9163" xr3:uid="{08877703-20F6-4976-B02D-8B5438003E2C}" name="Column9163"/>
    <tableColumn id="9164" xr3:uid="{643FEAAE-1755-4502-AC4D-AEEAF79A8045}" name="Column9164"/>
    <tableColumn id="9165" xr3:uid="{5EEC729F-BC04-491C-9506-0D99FF35B20F}" name="Column9165"/>
    <tableColumn id="9166" xr3:uid="{93C33833-6D1C-4F62-B868-23CA3D7F9671}" name="Column9166"/>
    <tableColumn id="9167" xr3:uid="{6012876D-58A2-463B-AA5D-3C98A3944A1C}" name="Column9167"/>
    <tableColumn id="9168" xr3:uid="{8A384684-63AC-40EF-AA57-715AF86972FD}" name="Column9168"/>
    <tableColumn id="9169" xr3:uid="{88745F6D-CB5D-479A-9915-82257323C542}" name="Column9169"/>
    <tableColumn id="9170" xr3:uid="{E4195FFD-6E66-4501-8AE4-850359C31EE6}" name="Column9170"/>
    <tableColumn id="9171" xr3:uid="{5A19F8E8-1161-4357-AE84-6FCFE95B4C01}" name="Column9171"/>
    <tableColumn id="9172" xr3:uid="{9F3329F1-D939-42F6-8E8E-E4331EBC028B}" name="Column9172"/>
    <tableColumn id="9173" xr3:uid="{3CF52756-EB33-413A-B0A1-C5E5179B2F9B}" name="Column9173"/>
    <tableColumn id="9174" xr3:uid="{28EC129B-0CFA-4DD7-8541-E94F07804C0B}" name="Column9174"/>
    <tableColumn id="9175" xr3:uid="{800BC6ED-1FB6-40E2-9C2E-C4FE02168E63}" name="Column9175"/>
    <tableColumn id="9176" xr3:uid="{5DC586B8-F601-49FB-8F1C-E5B00CA972E9}" name="Column9176"/>
    <tableColumn id="9177" xr3:uid="{1E9604B2-DF71-4C0A-AD33-F2C8EEA62DAE}" name="Column9177"/>
    <tableColumn id="9178" xr3:uid="{E1CDDF67-7B42-411A-A531-EDD2AC7F61DE}" name="Column9178"/>
    <tableColumn id="9179" xr3:uid="{59A45EE8-15ED-45F9-B41A-BAF09FEA9F31}" name="Column9179"/>
    <tableColumn id="9180" xr3:uid="{6F5484A2-6DB9-405F-8E93-7A46683CF1F6}" name="Column9180"/>
    <tableColumn id="9181" xr3:uid="{04A89993-E88C-49B8-81B3-C97D95C8650A}" name="Column9181"/>
    <tableColumn id="9182" xr3:uid="{F7DD748F-B7D6-4C34-AF94-A1A32621D97A}" name="Column9182"/>
    <tableColumn id="9183" xr3:uid="{2E73DDC8-B6C2-4698-8629-387A54F21C96}" name="Column9183"/>
    <tableColumn id="9184" xr3:uid="{CDCD46B1-147B-4C41-84F8-BFC655EBF5D8}" name="Column9184"/>
    <tableColumn id="9185" xr3:uid="{11E49D04-FA87-4712-B0FB-45D7F58D88FA}" name="Column9185"/>
    <tableColumn id="9186" xr3:uid="{0135F062-6326-4367-BDDD-1E635C69F41A}" name="Column9186"/>
    <tableColumn id="9187" xr3:uid="{3448DD85-0056-4A55-9436-1B19CADDFB1A}" name="Column9187"/>
    <tableColumn id="9188" xr3:uid="{56D5F5BF-9189-4A8C-8038-18C76FA57149}" name="Column9188"/>
    <tableColumn id="9189" xr3:uid="{F824E78C-AD51-4912-BC5E-FCDC4B3042E3}" name="Column9189"/>
    <tableColumn id="9190" xr3:uid="{58020B38-3131-46F7-B529-86F7129110AE}" name="Column9190"/>
    <tableColumn id="9191" xr3:uid="{72BCFECF-6B2B-4C2A-9467-279EF023FEA0}" name="Column9191"/>
    <tableColumn id="9192" xr3:uid="{95A8CB9C-5850-4240-A5CD-370B64B7417D}" name="Column9192"/>
    <tableColumn id="9193" xr3:uid="{C11A9905-166B-40CF-B6AA-E20C66E4BF16}" name="Column9193"/>
    <tableColumn id="9194" xr3:uid="{CEB0BE35-699B-43D0-9460-337891F923AB}" name="Column9194"/>
    <tableColumn id="9195" xr3:uid="{62901E77-EA04-4861-BED5-1809DCE0AB17}" name="Column9195"/>
    <tableColumn id="9196" xr3:uid="{2064EA5C-FC15-4092-98A6-0C6A2284D1DE}" name="Column9196"/>
    <tableColumn id="9197" xr3:uid="{D5315EA4-181A-4D65-9904-3AD350814073}" name="Column9197"/>
    <tableColumn id="9198" xr3:uid="{6B3BD46A-BB1D-4703-841D-998ADFD91695}" name="Column9198"/>
    <tableColumn id="9199" xr3:uid="{2F5A65A9-79A4-45C1-940C-D1F7D93016E5}" name="Column9199"/>
    <tableColumn id="9200" xr3:uid="{4C7D6000-E010-421F-A2DF-57BDB3CE8C95}" name="Column9200"/>
    <tableColumn id="9201" xr3:uid="{BD601B49-74AC-4F0F-9D1D-B773B8AF654C}" name="Column9201"/>
    <tableColumn id="9202" xr3:uid="{FD16DBE1-8E17-40DD-831A-4C87104CCE63}" name="Column9202"/>
    <tableColumn id="9203" xr3:uid="{3276FB12-CF2B-4572-A399-22BD789522E9}" name="Column9203"/>
    <tableColumn id="9204" xr3:uid="{C981AAC4-366E-4386-94D2-8F95B6C86C31}" name="Column9204"/>
    <tableColumn id="9205" xr3:uid="{511523BF-DBA9-4359-A4B4-7D45B13C1340}" name="Column9205"/>
    <tableColumn id="9206" xr3:uid="{E406E9DD-8954-41C6-A758-5C6454053BA6}" name="Column9206"/>
    <tableColumn id="9207" xr3:uid="{26D67B20-D35D-4F87-B967-2CAD5A22AFD3}" name="Column9207"/>
    <tableColumn id="9208" xr3:uid="{573F2F7C-5E21-4188-BBEB-C1B975871AC6}" name="Column9208"/>
    <tableColumn id="9209" xr3:uid="{1488C78F-F985-43D4-9769-DF60085C63BA}" name="Column9209"/>
    <tableColumn id="9210" xr3:uid="{492EA6D7-7AC6-419E-800B-A586A24F1F10}" name="Column9210"/>
    <tableColumn id="9211" xr3:uid="{EDABBCAC-10FC-4EE3-8E39-C379EBFDA48D}" name="Column9211"/>
    <tableColumn id="9212" xr3:uid="{23DDD10D-50C1-497E-8C39-97F15A792B9E}" name="Column9212"/>
    <tableColumn id="9213" xr3:uid="{7AEBC9F7-1DE4-481E-83BE-81AB0F65C1C7}" name="Column9213"/>
    <tableColumn id="9214" xr3:uid="{6E01AEC5-AA79-4A52-99BC-1CD61C7A9C9D}" name="Column9214"/>
    <tableColumn id="9215" xr3:uid="{9EE12256-F520-4E44-86EE-A7DF45645219}" name="Column9215"/>
    <tableColumn id="9216" xr3:uid="{6CEA70E6-0AD9-4D83-AB89-F46B85F9CC57}" name="Column9216"/>
    <tableColumn id="9217" xr3:uid="{9F48135C-666A-44A4-B5A1-852C28836036}" name="Column9217"/>
    <tableColumn id="9218" xr3:uid="{98C1BD98-1997-431F-B994-20535D25BB46}" name="Column9218"/>
    <tableColumn id="9219" xr3:uid="{EC1586FD-8FCF-43A2-879F-55B9A0015604}" name="Column9219"/>
    <tableColumn id="9220" xr3:uid="{53DAB1A1-8104-483F-A51A-1AEAA6B56598}" name="Column9220"/>
    <tableColumn id="9221" xr3:uid="{F74E92CD-91F3-4558-ABC7-C09982781556}" name="Column9221"/>
    <tableColumn id="9222" xr3:uid="{560EE054-6DB3-4DE5-946E-9674241EC8E9}" name="Column9222"/>
    <tableColumn id="9223" xr3:uid="{8921087A-02BF-4ECF-85EA-68FD749A2A60}" name="Column9223"/>
    <tableColumn id="9224" xr3:uid="{0EDF12F2-883B-4026-8C0F-8274FB2B885B}" name="Column9224"/>
    <tableColumn id="9225" xr3:uid="{F0035E56-13D9-4401-B2D1-520AE73EA23C}" name="Column9225"/>
    <tableColumn id="9226" xr3:uid="{DFDE7531-E7F6-4758-9A9B-889E750FF427}" name="Column9226"/>
    <tableColumn id="9227" xr3:uid="{43915482-1B95-4F4E-BBC5-AF1C945B5A14}" name="Column9227"/>
    <tableColumn id="9228" xr3:uid="{3B3442BC-E47D-4C9E-B94B-8C0B46969B98}" name="Column9228"/>
    <tableColumn id="9229" xr3:uid="{1AC54F85-4BA1-44A1-8D3D-88ADF56861DE}" name="Column9229"/>
    <tableColumn id="9230" xr3:uid="{DED077BD-85AA-4B06-8EFB-BB302571595C}" name="Column9230"/>
    <tableColumn id="9231" xr3:uid="{90268101-9AC4-46BA-9594-F9CB7A05E1C1}" name="Column9231"/>
    <tableColumn id="9232" xr3:uid="{847DAADA-54B2-4F20-9E51-270F5E56A5A7}" name="Column9232"/>
    <tableColumn id="9233" xr3:uid="{678BBDA2-F8A4-4375-9B9E-DEF775C253E1}" name="Column9233"/>
    <tableColumn id="9234" xr3:uid="{10FB9A9C-01FB-4143-9FFE-5D75A904CDC4}" name="Column9234"/>
    <tableColumn id="9235" xr3:uid="{F909EB83-827B-4F95-ADC1-05F39AE5207F}" name="Column9235"/>
    <tableColumn id="9236" xr3:uid="{4B30F3FE-62E1-4B35-984B-91AE9361BECB}" name="Column9236"/>
    <tableColumn id="9237" xr3:uid="{B967A8CD-D971-467A-A829-3920034ED0CC}" name="Column9237"/>
    <tableColumn id="9238" xr3:uid="{91E04911-4055-4BF3-9612-02DAE208AD3B}" name="Column9238"/>
    <tableColumn id="9239" xr3:uid="{5E280B79-7139-48FF-8FFE-5EECDF633F28}" name="Column9239"/>
    <tableColumn id="9240" xr3:uid="{7D2872AE-6176-46BB-A72A-95933F16F23A}" name="Column9240"/>
    <tableColumn id="9241" xr3:uid="{A7B4188D-E9AF-46C8-A1A9-7B8BBE63794B}" name="Column9241"/>
    <tableColumn id="9242" xr3:uid="{E74EBBBB-579E-46A7-89D7-72D2013B4F56}" name="Column9242"/>
    <tableColumn id="9243" xr3:uid="{40FF3428-FF3F-42FF-9A2F-20E17C74742E}" name="Column9243"/>
    <tableColumn id="9244" xr3:uid="{4DF27561-EC62-49C6-A351-21641CDA321F}" name="Column9244"/>
    <tableColumn id="9245" xr3:uid="{247E116E-989B-401B-951F-CE2557A61C1F}" name="Column9245"/>
    <tableColumn id="9246" xr3:uid="{2149BCC5-98B1-4313-A7D1-DB8E38E7F9EA}" name="Column9246"/>
    <tableColumn id="9247" xr3:uid="{AE7C245F-B085-4DDC-BA0A-DDE0EAEE9B26}" name="Column9247"/>
    <tableColumn id="9248" xr3:uid="{8F33D422-BD2D-4489-97DD-0023539DF318}" name="Column9248"/>
    <tableColumn id="9249" xr3:uid="{64181D83-B781-4957-91E4-BFCCB4D4C5EF}" name="Column9249"/>
    <tableColumn id="9250" xr3:uid="{D7933CAB-B3B7-4924-BE78-78F25EEC5FA8}" name="Column9250"/>
    <tableColumn id="9251" xr3:uid="{7092E480-42C1-4B74-9B40-74EAA5850A1F}" name="Column9251"/>
    <tableColumn id="9252" xr3:uid="{9D499F85-D218-41BB-A58E-70C9153940BF}" name="Column9252"/>
    <tableColumn id="9253" xr3:uid="{1CFEFD42-84E7-4A6D-875C-E6A09332BCD2}" name="Column9253"/>
    <tableColumn id="9254" xr3:uid="{B815BF5C-A509-4D9B-B207-2D121670BF42}" name="Column9254"/>
    <tableColumn id="9255" xr3:uid="{FF79B5FF-E8D7-41B9-96A9-AA1520830873}" name="Column9255"/>
    <tableColumn id="9256" xr3:uid="{F512A2B2-9ED5-43F3-AB54-8E0EB13BCD2E}" name="Column9256"/>
    <tableColumn id="9257" xr3:uid="{330D0013-F36D-4EC7-AAB4-71EFD7EE25E8}" name="Column9257"/>
    <tableColumn id="9258" xr3:uid="{91DD782B-85E4-4FCB-ACB1-AC252CD63952}" name="Column9258"/>
    <tableColumn id="9259" xr3:uid="{93B24496-6BA9-436F-A051-19DC21E8606E}" name="Column9259"/>
    <tableColumn id="9260" xr3:uid="{44229E8D-1401-40E7-B20D-42932837A058}" name="Column9260"/>
    <tableColumn id="9261" xr3:uid="{C6832A5A-5369-4FB7-9A74-04CACD606834}" name="Column9261"/>
    <tableColumn id="9262" xr3:uid="{31875E54-1BC8-4CF3-BCFD-DBA3BA68AE5A}" name="Column9262"/>
    <tableColumn id="9263" xr3:uid="{4628C5BD-87A5-4AC4-8E00-538AA1535B47}" name="Column9263"/>
    <tableColumn id="9264" xr3:uid="{689C7A5B-5C9E-4154-8E85-E32CC2868B98}" name="Column9264"/>
    <tableColumn id="9265" xr3:uid="{7FF6B253-32B7-4CAD-8C5A-DDCDD4600CCC}" name="Column9265"/>
    <tableColumn id="9266" xr3:uid="{BDACE4FD-18BF-4461-A507-B98BC263EF96}" name="Column9266"/>
    <tableColumn id="9267" xr3:uid="{51E6AAB5-780D-46DF-9D2D-6039A6304E96}" name="Column9267"/>
    <tableColumn id="9268" xr3:uid="{DC127E3F-2216-4C8D-8D51-EA7D51D57BF6}" name="Column9268"/>
    <tableColumn id="9269" xr3:uid="{0B78CB5F-95F2-4D93-86FD-94269B1E7A75}" name="Column9269"/>
    <tableColumn id="9270" xr3:uid="{C4867A45-62E0-49EB-931E-C8A3F5B09457}" name="Column9270"/>
    <tableColumn id="9271" xr3:uid="{6954840F-96E1-40D2-B9AF-E712259DF398}" name="Column9271"/>
    <tableColumn id="9272" xr3:uid="{995803A8-86BF-41D3-A3AC-DBAB138EDF8F}" name="Column9272"/>
    <tableColumn id="9273" xr3:uid="{0DF3340A-06E6-4866-8E8F-81BE0150B46C}" name="Column9273"/>
    <tableColumn id="9274" xr3:uid="{C0859609-DF31-4A86-899F-3D8F8C0E70F5}" name="Column9274"/>
    <tableColumn id="9275" xr3:uid="{059C202D-80CA-4E60-8AFA-75C5CDE5DCAF}" name="Column9275"/>
    <tableColumn id="9276" xr3:uid="{B3AA5995-92C7-4E82-BD2A-63C5820157AB}" name="Column9276"/>
    <tableColumn id="9277" xr3:uid="{E58E1AD6-2C74-42A6-AAE6-82994D83E970}" name="Column9277"/>
    <tableColumn id="9278" xr3:uid="{8C77F00F-2641-4325-92E8-664CF32ED294}" name="Column9278"/>
    <tableColumn id="9279" xr3:uid="{F158F314-556F-4C34-8BA3-A2666581C2C2}" name="Column9279"/>
    <tableColumn id="9280" xr3:uid="{623F55C4-7129-4110-B4A1-39C1ED14F72D}" name="Column9280"/>
    <tableColumn id="9281" xr3:uid="{92C81F10-02FA-493D-8ADB-64D4E00177CB}" name="Column9281"/>
    <tableColumn id="9282" xr3:uid="{546B1344-9BD8-47E1-B015-1EA8A438AF64}" name="Column9282"/>
    <tableColumn id="9283" xr3:uid="{B713380D-F719-4773-8571-C509FD877F10}" name="Column9283"/>
    <tableColumn id="9284" xr3:uid="{F031E364-8E25-41C0-B78B-1EAC5789482E}" name="Column9284"/>
    <tableColumn id="9285" xr3:uid="{EBBACD49-8347-483E-9652-60E82187C701}" name="Column9285"/>
    <tableColumn id="9286" xr3:uid="{412FB39F-CBC7-4EAE-BF97-8F9F793F3712}" name="Column9286"/>
    <tableColumn id="9287" xr3:uid="{9C92FE33-566F-46E1-B385-87B537E78182}" name="Column9287"/>
    <tableColumn id="9288" xr3:uid="{3930E8C9-8386-4429-ACD9-7D8087A6B844}" name="Column9288"/>
    <tableColumn id="9289" xr3:uid="{EC213986-F5E6-4567-94E1-99AF256BEA7B}" name="Column9289"/>
    <tableColumn id="9290" xr3:uid="{70B318E8-E8B4-47F7-AC1C-6834BEAD0304}" name="Column9290"/>
    <tableColumn id="9291" xr3:uid="{3BA96C0E-24B0-42F3-B5E4-FCE561F0E366}" name="Column9291"/>
    <tableColumn id="9292" xr3:uid="{036CD3E2-B411-4086-A725-77AC5F9B5401}" name="Column9292"/>
    <tableColumn id="9293" xr3:uid="{652EA2D4-6B9D-4A0F-BAD5-774473D3343F}" name="Column9293"/>
    <tableColumn id="9294" xr3:uid="{9BE89042-ABED-4DA5-A9F9-83A689F384D0}" name="Column9294"/>
    <tableColumn id="9295" xr3:uid="{2F005FF7-BE24-4E68-8BFF-06DC5F223386}" name="Column9295"/>
    <tableColumn id="9296" xr3:uid="{760745C3-1AEE-47E9-838F-0DE1D3CAFA19}" name="Column9296"/>
    <tableColumn id="9297" xr3:uid="{1C9E1F26-7284-4E02-95F9-5D41CB3E2192}" name="Column9297"/>
    <tableColumn id="9298" xr3:uid="{AA701DBE-73BD-482F-B585-956F9376C0A3}" name="Column9298"/>
    <tableColumn id="9299" xr3:uid="{BB01F652-F839-42E1-AFA1-EED086AFFEB9}" name="Column9299"/>
    <tableColumn id="9300" xr3:uid="{F29E3902-B74E-4EF1-8FE2-6EF598DBDB9D}" name="Column9300"/>
    <tableColumn id="9301" xr3:uid="{3AC27D2B-FA5C-4CC5-BA9D-9AB27CD26797}" name="Column9301"/>
    <tableColumn id="9302" xr3:uid="{6C58194E-106F-4294-A418-CA9F840240F4}" name="Column9302"/>
    <tableColumn id="9303" xr3:uid="{DAAC06DD-F217-4CBC-B8D0-3192962B8E2A}" name="Column9303"/>
    <tableColumn id="9304" xr3:uid="{2F0B2796-AACF-4BCF-B341-382637F1AD07}" name="Column9304"/>
    <tableColumn id="9305" xr3:uid="{3D93186A-D083-4632-A065-B2DAF8BA3319}" name="Column9305"/>
    <tableColumn id="9306" xr3:uid="{B39721AC-8661-4858-A6D4-D0919A62B838}" name="Column9306"/>
    <tableColumn id="9307" xr3:uid="{29DEBC0D-80C1-4DF6-9489-F36EBDECF89C}" name="Column9307"/>
    <tableColumn id="9308" xr3:uid="{2E0F2976-FF0D-4A99-BEDB-39440672AF57}" name="Column9308"/>
    <tableColumn id="9309" xr3:uid="{81A8DFEB-545A-4997-B16B-F198AC42683D}" name="Column9309"/>
    <tableColumn id="9310" xr3:uid="{B748493B-E9A0-4985-8569-D0B613FC6DB9}" name="Column9310"/>
    <tableColumn id="9311" xr3:uid="{43D565CE-CF03-42C8-9613-E877BE3CAB41}" name="Column9311"/>
    <tableColumn id="9312" xr3:uid="{01A25D6F-42CF-4CED-B6F9-F6BF40D9FF3C}" name="Column9312"/>
    <tableColumn id="9313" xr3:uid="{B4BE1EFD-3805-4957-BF3F-628ED314F887}" name="Column9313"/>
    <tableColumn id="9314" xr3:uid="{E18BEB61-F80B-4B7E-A484-EA8E8EAB64FF}" name="Column9314"/>
    <tableColumn id="9315" xr3:uid="{CBDDA748-F2DB-4E52-BFE7-9D7545AD427C}" name="Column9315"/>
    <tableColumn id="9316" xr3:uid="{E3CE5F93-221C-49C9-A827-A42FA3931D82}" name="Column9316"/>
    <tableColumn id="9317" xr3:uid="{9BDC8019-70FF-41D0-8912-54D08479C599}" name="Column9317"/>
    <tableColumn id="9318" xr3:uid="{C9A352B8-40CE-4D57-92F3-AEFC0FB11C0C}" name="Column9318"/>
    <tableColumn id="9319" xr3:uid="{7968A3AC-2FB6-4E3A-8C56-D1B3A78F8639}" name="Column9319"/>
    <tableColumn id="9320" xr3:uid="{24B78977-9024-4500-A760-DB86BD78A5E0}" name="Column9320"/>
    <tableColumn id="9321" xr3:uid="{CD626B16-E05E-44C2-B4E6-8D8D856ADC3D}" name="Column9321"/>
    <tableColumn id="9322" xr3:uid="{C3CA95F8-F4FC-46D8-8E27-C389FB16883A}" name="Column9322"/>
    <tableColumn id="9323" xr3:uid="{F1187BF8-433D-4800-BE36-7BA2E67789E4}" name="Column9323"/>
    <tableColumn id="9324" xr3:uid="{6BA30C0C-11BA-4855-8178-2B6332352523}" name="Column9324"/>
    <tableColumn id="9325" xr3:uid="{ADDFCE7F-D71B-4394-A344-35EFA5055E3A}" name="Column9325"/>
    <tableColumn id="9326" xr3:uid="{921E0E2A-294E-4876-97A0-B8FA68CBE3D8}" name="Column9326"/>
    <tableColumn id="9327" xr3:uid="{4D9E6C68-C5DC-4A64-9ABD-77DCEFC2F872}" name="Column9327"/>
    <tableColumn id="9328" xr3:uid="{B5DBA9D2-0056-44BE-9503-976BE155E413}" name="Column9328"/>
    <tableColumn id="9329" xr3:uid="{EB66A8D1-FDB2-403D-9F87-7259281A24D3}" name="Column9329"/>
    <tableColumn id="9330" xr3:uid="{DE10CB46-D0B0-4C89-8827-A1478EB03475}" name="Column9330"/>
    <tableColumn id="9331" xr3:uid="{F79D25D4-1C81-43EA-BEDD-AE30EB82B239}" name="Column9331"/>
    <tableColumn id="9332" xr3:uid="{76821AC9-3D03-47F9-B6EF-7334B41F6468}" name="Column9332"/>
    <tableColumn id="9333" xr3:uid="{2F82312C-CF5C-4D53-AFC1-63EC30EFE902}" name="Column9333"/>
    <tableColumn id="9334" xr3:uid="{F18CCD37-95FC-446C-8E39-DDD9E0832B93}" name="Column9334"/>
    <tableColumn id="9335" xr3:uid="{0820743B-D124-4DBC-9440-5DB28B8D469A}" name="Column9335"/>
    <tableColumn id="9336" xr3:uid="{AEE05FA5-D18A-447D-BB3B-8CB498BB8ED8}" name="Column9336"/>
    <tableColumn id="9337" xr3:uid="{4FBEEC79-028F-4421-A8F3-835FC4266F09}" name="Column9337"/>
    <tableColumn id="9338" xr3:uid="{39977EF3-2AC8-43F3-84BD-0DE80BB08084}" name="Column9338"/>
    <tableColumn id="9339" xr3:uid="{1E3A5B62-7CDB-4B2C-B442-29AD91737DCF}" name="Column9339"/>
    <tableColumn id="9340" xr3:uid="{1CEF23BB-C585-4F6D-97B2-F927309057D6}" name="Column9340"/>
    <tableColumn id="9341" xr3:uid="{8AEB3D47-5553-4AA4-B93C-74EE41A214CC}" name="Column9341"/>
    <tableColumn id="9342" xr3:uid="{8DB93746-9A19-4C94-992C-ED5A23C38EED}" name="Column9342"/>
    <tableColumn id="9343" xr3:uid="{04455E58-9639-495A-91C7-7E46B7624021}" name="Column9343"/>
    <tableColumn id="9344" xr3:uid="{6E4E0830-B370-4D9E-A59B-6567C116FEE2}" name="Column9344"/>
    <tableColumn id="9345" xr3:uid="{957A38A9-0689-4FC4-B797-1B2CCBBBF59D}" name="Column9345"/>
    <tableColumn id="9346" xr3:uid="{77783E06-6D78-4C53-8613-D17C2F48C142}" name="Column9346"/>
    <tableColumn id="9347" xr3:uid="{78DEAC1B-42AE-4118-BE9D-DC4C106F6493}" name="Column9347"/>
    <tableColumn id="9348" xr3:uid="{B8193EEC-7C18-4D80-BB28-ECDFD44F6665}" name="Column9348"/>
    <tableColumn id="9349" xr3:uid="{55766AC6-435D-4A55-A5E9-4F2547993BDD}" name="Column9349"/>
    <tableColumn id="9350" xr3:uid="{B065BD5C-4877-48C9-BCD0-EDD4114F0000}" name="Column9350"/>
    <tableColumn id="9351" xr3:uid="{C2267C1D-D3F2-4E6C-8582-9B8BE80F67A6}" name="Column9351"/>
    <tableColumn id="9352" xr3:uid="{7D0800A4-1E98-4385-A9B5-5A4F3CF362EA}" name="Column9352"/>
    <tableColumn id="9353" xr3:uid="{CDA97381-F6F2-4A52-9EEC-90195FB9A3EB}" name="Column9353"/>
    <tableColumn id="9354" xr3:uid="{7593ECD3-5B55-4421-A7A9-70848C4C9EE4}" name="Column9354"/>
    <tableColumn id="9355" xr3:uid="{58881AE7-97AD-44AC-B4AF-4C0BA240BFF7}" name="Column9355"/>
    <tableColumn id="9356" xr3:uid="{AE9B8150-F122-4C10-8FE2-5FA865795624}" name="Column9356"/>
    <tableColumn id="9357" xr3:uid="{ABE623A5-1C7B-4D34-8A5B-DB640466C2A3}" name="Column9357"/>
    <tableColumn id="9358" xr3:uid="{CBFB2F52-85E0-4F8E-8BAA-74AA736BDDA8}" name="Column9358"/>
    <tableColumn id="9359" xr3:uid="{8D774106-CD1D-48BD-9070-DE8B520BB6CA}" name="Column9359"/>
    <tableColumn id="9360" xr3:uid="{5BBEBBBF-D3A0-410F-ACDC-325E7B65A1E2}" name="Column9360"/>
    <tableColumn id="9361" xr3:uid="{7C28A46E-9EC8-4F59-9C2F-55600513CD09}" name="Column9361"/>
    <tableColumn id="9362" xr3:uid="{0CDAD547-5A5C-4E5A-9CE1-08DCD3520210}" name="Column9362"/>
    <tableColumn id="9363" xr3:uid="{A1314B44-02B1-40AB-A509-439FFB6D280C}" name="Column9363"/>
    <tableColumn id="9364" xr3:uid="{EC7B24A4-E860-4C0B-A324-FDEF7DFC48A5}" name="Column9364"/>
    <tableColumn id="9365" xr3:uid="{2727E34E-74AA-4DE8-BA54-AD2EECB8D39A}" name="Column9365"/>
    <tableColumn id="9366" xr3:uid="{E74292F9-7DAA-47AD-B278-67E61E25762C}" name="Column9366"/>
    <tableColumn id="9367" xr3:uid="{B1885D01-15A5-44E9-A8C6-96D83F3882BD}" name="Column9367"/>
    <tableColumn id="9368" xr3:uid="{A00A6623-9645-476F-8159-DB1AE25A9A66}" name="Column9368"/>
    <tableColumn id="9369" xr3:uid="{3B1A22D6-EAC2-4F14-BC22-A39147AA1C67}" name="Column9369"/>
    <tableColumn id="9370" xr3:uid="{1EF06F34-9B50-4B25-BD1B-5CE4D69BADAE}" name="Column9370"/>
    <tableColumn id="9371" xr3:uid="{CF714F7D-686D-4487-A0C7-4FEF1D912B8B}" name="Column9371"/>
    <tableColumn id="9372" xr3:uid="{A9A7C80F-4491-4323-B5C3-4ADC80C9FF8C}" name="Column9372"/>
    <tableColumn id="9373" xr3:uid="{6F69D85F-6BDA-4F61-8CB6-A47EE76A6DD8}" name="Column9373"/>
    <tableColumn id="9374" xr3:uid="{F151834F-9F33-44AE-8497-893C05A9AFF4}" name="Column9374"/>
    <tableColumn id="9375" xr3:uid="{07A826FC-3D41-4F0F-9D9B-0AC89DAB6143}" name="Column9375"/>
    <tableColumn id="9376" xr3:uid="{EC54DC17-7C2E-42CC-BB49-358EAA6F215C}" name="Column9376"/>
    <tableColumn id="9377" xr3:uid="{6624E201-A0F0-42BF-993D-09C68F202154}" name="Column9377"/>
    <tableColumn id="9378" xr3:uid="{AA6C1B57-08E5-4275-ACA7-FA9ABA5EB00E}" name="Column9378"/>
    <tableColumn id="9379" xr3:uid="{C04E13C4-85BA-4DED-976A-D3FCC48269C2}" name="Column9379"/>
    <tableColumn id="9380" xr3:uid="{27E25959-2CC2-44C2-BF19-74E947AC09C1}" name="Column9380"/>
    <tableColumn id="9381" xr3:uid="{A9CB5F04-E5A3-490E-AC54-32722DAADA65}" name="Column9381"/>
    <tableColumn id="9382" xr3:uid="{C19129CC-C3DF-4570-B5F3-C28A9820C7F6}" name="Column9382"/>
    <tableColumn id="9383" xr3:uid="{568792BF-3A69-4E55-A6F2-95638120837A}" name="Column9383"/>
    <tableColumn id="9384" xr3:uid="{26047591-1212-4DD5-8492-EB8F32A584E4}" name="Column9384"/>
    <tableColumn id="9385" xr3:uid="{D07C1253-58E8-4AC9-87A6-02CFEAC16741}" name="Column9385"/>
    <tableColumn id="9386" xr3:uid="{4F7B8C49-6712-44D7-84C2-020FBB7FEF30}" name="Column9386"/>
    <tableColumn id="9387" xr3:uid="{B1702B1A-D986-4BAD-BA4B-CB83A329032F}" name="Column9387"/>
    <tableColumn id="9388" xr3:uid="{325C0DEC-DCD7-4F69-979C-33F550216296}" name="Column9388"/>
    <tableColumn id="9389" xr3:uid="{B1F33A84-4FE6-4E6D-8DED-F47C50993962}" name="Column9389"/>
    <tableColumn id="9390" xr3:uid="{C4B18D3B-41B2-42B2-B86F-78D3FE14884F}" name="Column9390"/>
    <tableColumn id="9391" xr3:uid="{00A07A93-1A7F-42B4-AF71-E72CF77504C6}" name="Column9391"/>
    <tableColumn id="9392" xr3:uid="{1F97A12D-17E8-4575-A5F1-CBEE57D99CA8}" name="Column9392"/>
    <tableColumn id="9393" xr3:uid="{46022043-FC2F-43F5-BF28-C79E3D25D4B0}" name="Column9393"/>
    <tableColumn id="9394" xr3:uid="{425454BF-2F28-4824-ACC1-AF0DD345E6A8}" name="Column9394"/>
    <tableColumn id="9395" xr3:uid="{C1A3DDFD-46B5-49B5-B4C3-F93EDE117C23}" name="Column9395"/>
    <tableColumn id="9396" xr3:uid="{DC313E99-8E98-45AB-9878-2BCE9351B24C}" name="Column9396"/>
    <tableColumn id="9397" xr3:uid="{4042CE72-9FAE-4EEF-9CC8-8E8754971798}" name="Column9397"/>
    <tableColumn id="9398" xr3:uid="{28A86936-6BB2-464C-ADBA-294A48126809}" name="Column9398"/>
    <tableColumn id="9399" xr3:uid="{5AB15E06-B47F-4D29-957D-A805F3B387B5}" name="Column9399"/>
    <tableColumn id="9400" xr3:uid="{31D16FF5-6969-4D26-BF0E-1575383D3DFC}" name="Column9400"/>
    <tableColumn id="9401" xr3:uid="{EB9DF59E-5F62-4F05-AB92-3FA324E95151}" name="Column9401"/>
    <tableColumn id="9402" xr3:uid="{E6F887C0-73EF-4609-B2FF-61CB6AD4A1C0}" name="Column9402"/>
    <tableColumn id="9403" xr3:uid="{619FFA7C-C9D9-4BCE-9B4E-B6A6D4411EE6}" name="Column9403"/>
    <tableColumn id="9404" xr3:uid="{4B90DB7B-AFAD-41E7-AF68-D5EFDD284512}" name="Column9404"/>
    <tableColumn id="9405" xr3:uid="{7D4203DC-A2BE-4C21-8382-058AE051FC36}" name="Column9405"/>
    <tableColumn id="9406" xr3:uid="{70F76CF5-1CCC-4F10-91C7-C20B8B26A8C0}" name="Column9406"/>
    <tableColumn id="9407" xr3:uid="{0E199BA3-62CE-4874-A7BF-F913566B245E}" name="Column9407"/>
    <tableColumn id="9408" xr3:uid="{E5F29DF3-FF4A-49FF-94B2-A8A65ED97202}" name="Column9408"/>
    <tableColumn id="9409" xr3:uid="{1EA52487-79F4-4A9E-B248-B73E21D68493}" name="Column9409"/>
    <tableColumn id="9410" xr3:uid="{20CE79AF-180A-4275-9E29-7963072BB097}" name="Column9410"/>
    <tableColumn id="9411" xr3:uid="{6F178180-8C36-4739-9A4D-0B731CB1AAA9}" name="Column9411"/>
    <tableColumn id="9412" xr3:uid="{898A633B-C8C2-44B9-87FE-3C36707DFA54}" name="Column9412"/>
    <tableColumn id="9413" xr3:uid="{6BDBF618-BC44-4B32-A7A0-9D7680CB5C81}" name="Column9413"/>
    <tableColumn id="9414" xr3:uid="{2784AD54-DF8D-495B-BABF-4B4E949186E4}" name="Column9414"/>
    <tableColumn id="9415" xr3:uid="{BEDB94B9-E781-411D-BD65-C32796E78826}" name="Column9415"/>
    <tableColumn id="9416" xr3:uid="{07DF0F53-A19F-4FD4-8E7B-365939DC06C1}" name="Column9416"/>
    <tableColumn id="9417" xr3:uid="{984FC103-A679-4CC7-839B-4EE035E1F193}" name="Column9417"/>
    <tableColumn id="9418" xr3:uid="{67C4CE1F-DFB4-4460-B644-042071634D81}" name="Column9418"/>
    <tableColumn id="9419" xr3:uid="{11C0C343-657E-45EA-807D-A7978A986B4B}" name="Column9419"/>
    <tableColumn id="9420" xr3:uid="{BDD7DDA8-8E1B-40BB-AE99-71AEF83E3D24}" name="Column9420"/>
    <tableColumn id="9421" xr3:uid="{20BD586A-E16C-481F-85E8-813756B44643}" name="Column9421"/>
    <tableColumn id="9422" xr3:uid="{0EE10276-0290-4BC4-A371-E3D99B1B4B0C}" name="Column9422"/>
    <tableColumn id="9423" xr3:uid="{526BBB5F-54F6-48F6-A4E6-FA767350DE61}" name="Column9423"/>
    <tableColumn id="9424" xr3:uid="{A6868351-D5A1-4C86-A6CE-C7A3258E5EE2}" name="Column9424"/>
    <tableColumn id="9425" xr3:uid="{820BBE43-A31C-492D-8223-28691AC6DB25}" name="Column9425"/>
    <tableColumn id="9426" xr3:uid="{A1DC9487-E9B8-44B5-90C0-51C90141B6C0}" name="Column9426"/>
    <tableColumn id="9427" xr3:uid="{5FCDF3B5-5DD8-4D17-B6F4-081BE05450BB}" name="Column9427"/>
    <tableColumn id="9428" xr3:uid="{C5F77FF4-F971-462B-A0D7-CCD6ED538F64}" name="Column9428"/>
    <tableColumn id="9429" xr3:uid="{9857099F-F6ED-4EB5-A860-DE90A6E5E303}" name="Column9429"/>
    <tableColumn id="9430" xr3:uid="{65B889F2-083C-4557-B279-CCA68CD6E02B}" name="Column9430"/>
    <tableColumn id="9431" xr3:uid="{595FBD0C-4E23-4BAD-8646-F84C2CAE5592}" name="Column9431"/>
    <tableColumn id="9432" xr3:uid="{C481F1F9-D8DD-4959-9DF6-39CBD1FD4A84}" name="Column9432"/>
    <tableColumn id="9433" xr3:uid="{2F153B34-96F2-488B-A32E-904E5EAE7A03}" name="Column9433"/>
    <tableColumn id="9434" xr3:uid="{94D917DE-4649-4766-AA50-146D69620EB2}" name="Column9434"/>
    <tableColumn id="9435" xr3:uid="{0AA5BD0D-6E8B-4D1E-A8EC-D21C538AAE22}" name="Column9435"/>
    <tableColumn id="9436" xr3:uid="{CF95AF12-E2B7-4435-9628-CCBEC5F3252A}" name="Column9436"/>
    <tableColumn id="9437" xr3:uid="{2DF8F608-D692-4E52-AC42-AAED76C60B1F}" name="Column9437"/>
    <tableColumn id="9438" xr3:uid="{B517ACF3-D322-4658-95BF-09494E5EA92B}" name="Column9438"/>
    <tableColumn id="9439" xr3:uid="{B83B3A6A-6D39-4036-86CA-F6FF9D87366A}" name="Column9439"/>
    <tableColumn id="9440" xr3:uid="{EA322FF9-03C6-4C05-84CA-45C5383050EB}" name="Column9440"/>
    <tableColumn id="9441" xr3:uid="{4D025B72-6FB3-4273-92C3-0F9B7C82AC15}" name="Column9441"/>
    <tableColumn id="9442" xr3:uid="{4F6D6FD0-2E3F-4F8D-B3AD-A07098F35D55}" name="Column9442"/>
    <tableColumn id="9443" xr3:uid="{8D59A196-E924-4B0C-8D06-EC29EC4F6FC7}" name="Column9443"/>
    <tableColumn id="9444" xr3:uid="{D6111867-7CCB-4238-8283-076B07AE54A5}" name="Column9444"/>
    <tableColumn id="9445" xr3:uid="{A8526464-28D1-439A-BCA9-516F5BA83426}" name="Column9445"/>
    <tableColumn id="9446" xr3:uid="{C49A6E69-AC41-43CF-9EEF-3C73D212DDAF}" name="Column9446"/>
    <tableColumn id="9447" xr3:uid="{8E4E288E-F83C-49D2-A56B-1798EA0A2F27}" name="Column9447"/>
    <tableColumn id="9448" xr3:uid="{654DF173-DD4A-4653-983E-F632AD474EAC}" name="Column9448"/>
    <tableColumn id="9449" xr3:uid="{E6453403-22B4-4F43-BC55-FB77C4062C56}" name="Column9449"/>
    <tableColumn id="9450" xr3:uid="{156C3D99-256D-4683-991C-6A6E499BCB23}" name="Column9450"/>
    <tableColumn id="9451" xr3:uid="{27ABAB47-10F8-4936-A6FF-D6D7397BC183}" name="Column9451"/>
    <tableColumn id="9452" xr3:uid="{DCF708F1-9CEB-4276-9C3E-E04964645F2A}" name="Column9452"/>
    <tableColumn id="9453" xr3:uid="{06503050-4AE4-4025-BE1A-AB8C9E06886F}" name="Column9453"/>
    <tableColumn id="9454" xr3:uid="{1E9256DA-1AE1-4EFE-BA57-9B2387935BF4}" name="Column9454"/>
    <tableColumn id="9455" xr3:uid="{E12CA9CF-2EB1-4116-BD51-0865579B12E0}" name="Column9455"/>
    <tableColumn id="9456" xr3:uid="{F20A62E8-DF34-4911-9B13-C83F773D3E6E}" name="Column9456"/>
    <tableColumn id="9457" xr3:uid="{8F01939D-14B5-426D-A506-F5C0DCDAB215}" name="Column9457"/>
    <tableColumn id="9458" xr3:uid="{4159A73F-35FF-4EED-9D84-D70F361B9F78}" name="Column9458"/>
    <tableColumn id="9459" xr3:uid="{B92EF735-B68C-426A-8D4C-5E7BF62F258D}" name="Column9459"/>
    <tableColumn id="9460" xr3:uid="{4A27A6C9-2B0A-4B2F-A849-F6988C5A8E12}" name="Column9460"/>
    <tableColumn id="9461" xr3:uid="{4849FECB-A207-455D-BF31-425FA3A10345}" name="Column9461"/>
    <tableColumn id="9462" xr3:uid="{8A2FFDEA-0A3F-4F12-BFBB-28631A80EFF4}" name="Column9462"/>
    <tableColumn id="9463" xr3:uid="{90A58263-4828-412C-B9F4-CBFB913DD757}" name="Column9463"/>
    <tableColumn id="9464" xr3:uid="{CD1C55E5-6F50-4F4F-ABC7-85F7FEC6C6B6}" name="Column9464"/>
    <tableColumn id="9465" xr3:uid="{595320C7-85B3-4DEC-8688-DAF048672CCE}" name="Column9465"/>
    <tableColumn id="9466" xr3:uid="{7AA8860D-B6AB-46B7-B2AB-767890D4DA6A}" name="Column9466"/>
    <tableColumn id="9467" xr3:uid="{057DCF07-C309-4252-AFA5-3AC36DF0C8E3}" name="Column9467"/>
    <tableColumn id="9468" xr3:uid="{B18FA110-97F5-4CC1-AC5E-4E2F584A4538}" name="Column9468"/>
    <tableColumn id="9469" xr3:uid="{24C03C59-CCDE-4060-9701-2700E5988A8D}" name="Column9469"/>
    <tableColumn id="9470" xr3:uid="{4BAE9462-B3E8-4EA4-8D28-6392B792AF29}" name="Column9470"/>
    <tableColumn id="9471" xr3:uid="{6FBF8C38-71F7-4BEC-B1E4-8D89588DD57F}" name="Column9471"/>
    <tableColumn id="9472" xr3:uid="{182EA5E2-D889-4E16-8748-422F5EA1A3A6}" name="Column9472"/>
    <tableColumn id="9473" xr3:uid="{F52557A6-4E6F-4295-934F-9A057D0A0567}" name="Column9473"/>
    <tableColumn id="9474" xr3:uid="{307AF9DA-B86A-43D9-9AC2-F5080D76044A}" name="Column9474"/>
    <tableColumn id="9475" xr3:uid="{F50429F9-396C-44D8-9BD7-781FC4ECC292}" name="Column9475"/>
    <tableColumn id="9476" xr3:uid="{17A75E13-FF12-4AD2-899B-54926538CC99}" name="Column9476"/>
    <tableColumn id="9477" xr3:uid="{EACC594A-7903-4FC3-ABFD-2587A6C5B7D6}" name="Column9477"/>
    <tableColumn id="9478" xr3:uid="{22791DB8-1D79-4FA7-81D9-70E0DA97D8BB}" name="Column9478"/>
    <tableColumn id="9479" xr3:uid="{317A268E-9265-421A-A1D8-39056265C614}" name="Column9479"/>
    <tableColumn id="9480" xr3:uid="{FD5DED32-E654-4841-8A52-FB91E2CFF4EB}" name="Column9480"/>
    <tableColumn id="9481" xr3:uid="{F0FC15C8-D5E0-4E16-9A65-99CF99BE4491}" name="Column9481"/>
    <tableColumn id="9482" xr3:uid="{C88507F6-805B-4FDF-9FD1-E1CAF5786752}" name="Column9482"/>
    <tableColumn id="9483" xr3:uid="{B173A855-D9A4-4E63-B36A-BCA4F4FFC73C}" name="Column9483"/>
    <tableColumn id="9484" xr3:uid="{EC332AC8-06CC-46E0-86C9-DF00F91FD018}" name="Column9484"/>
    <tableColumn id="9485" xr3:uid="{91EDB4F4-0756-4A87-BB82-EA4E75E7573B}" name="Column9485"/>
    <tableColumn id="9486" xr3:uid="{D24CA08A-F4B5-4E2C-B5FD-D324ED407118}" name="Column9486"/>
    <tableColumn id="9487" xr3:uid="{78158B5A-E7BA-4C98-B442-47F9ECA9086F}" name="Column9487"/>
    <tableColumn id="9488" xr3:uid="{B2C09E0B-9242-4A07-A9D6-82956B0EE7E6}" name="Column9488"/>
    <tableColumn id="9489" xr3:uid="{2137D586-2668-4D42-9B39-A488278EA34F}" name="Column9489"/>
    <tableColumn id="9490" xr3:uid="{C2FFD266-7F29-434C-86B2-DE06529CA425}" name="Column9490"/>
    <tableColumn id="9491" xr3:uid="{F3FE8EAA-7408-4A54-B86A-4233D19E1FFF}" name="Column9491"/>
    <tableColumn id="9492" xr3:uid="{7C67D7B7-1773-41D6-9B0E-DA0833068728}" name="Column9492"/>
    <tableColumn id="9493" xr3:uid="{F6FC3264-01FF-4039-A501-3B26FB9602BF}" name="Column9493"/>
    <tableColumn id="9494" xr3:uid="{B74224A3-B21D-4F1A-9086-3B4887CC6B01}" name="Column9494"/>
    <tableColumn id="9495" xr3:uid="{0158D257-7831-4932-B7FF-279AC59CE86B}" name="Column9495"/>
    <tableColumn id="9496" xr3:uid="{2EC633CB-A53E-4545-977B-7423B5CF3304}" name="Column9496"/>
    <tableColumn id="9497" xr3:uid="{18DAFEB5-7E09-4935-B859-750F29CE315F}" name="Column9497"/>
    <tableColumn id="9498" xr3:uid="{6DA83A0F-B2C7-467A-AD24-A5510AE3C4AC}" name="Column9498"/>
    <tableColumn id="9499" xr3:uid="{29A9930D-DBBA-4C49-BC9E-60DB1E5E82B9}" name="Column9499"/>
    <tableColumn id="9500" xr3:uid="{ECA16A21-C2C9-4AAA-BC1D-54CEAF42E113}" name="Column9500"/>
    <tableColumn id="9501" xr3:uid="{FDE08E58-13CD-461F-AC98-E64823075253}" name="Column9501"/>
    <tableColumn id="9502" xr3:uid="{4971B3FC-49F8-421F-AB81-CD038A1DEDF3}" name="Column9502"/>
    <tableColumn id="9503" xr3:uid="{B7C387BF-BC62-4D77-9D2C-DBFE9D0CACAE}" name="Column9503"/>
    <tableColumn id="9504" xr3:uid="{EFA1E232-3458-4138-8090-C42711B9B28C}" name="Column9504"/>
    <tableColumn id="9505" xr3:uid="{A21503C9-948E-42CA-8488-A5BFE5BA8A43}" name="Column9505"/>
    <tableColumn id="9506" xr3:uid="{6C8C9CCE-3568-49FB-86BA-2462C560BDD0}" name="Column9506"/>
    <tableColumn id="9507" xr3:uid="{E4CD1BDD-E0B5-48EC-B95B-36B76EE2D91E}" name="Column9507"/>
    <tableColumn id="9508" xr3:uid="{1B41010C-EE19-4034-97BB-9AB3C449D83D}" name="Column9508"/>
    <tableColumn id="9509" xr3:uid="{8AF0A7F5-18AE-4432-A402-70AF37C5CAE6}" name="Column9509"/>
    <tableColumn id="9510" xr3:uid="{1A44D528-54EE-417A-BC84-C339E58E9A3C}" name="Column9510"/>
    <tableColumn id="9511" xr3:uid="{54AD22F4-2F50-47C4-B650-2F00EDF5AB35}" name="Column9511"/>
    <tableColumn id="9512" xr3:uid="{563517BA-3F8C-44A1-A7B5-660E5BA635B7}" name="Column9512"/>
    <tableColumn id="9513" xr3:uid="{53450374-3B8F-4853-B052-94A8FFA21F29}" name="Column9513"/>
    <tableColumn id="9514" xr3:uid="{0D714B44-E7A3-41E5-85D1-45109C13E0F2}" name="Column9514"/>
    <tableColumn id="9515" xr3:uid="{6E6ECB44-229A-4F1F-93DE-E3987D5B87D7}" name="Column9515"/>
    <tableColumn id="9516" xr3:uid="{B0BE616E-E3CB-4DF0-A25B-2AFE96E83213}" name="Column9516"/>
    <tableColumn id="9517" xr3:uid="{84B5932B-B569-4184-8399-193AC8DD68D2}" name="Column9517"/>
    <tableColumn id="9518" xr3:uid="{CA200AC5-1DC6-4308-A59E-694B4BF472DC}" name="Column9518"/>
    <tableColumn id="9519" xr3:uid="{61FB1C0E-89C0-4163-B682-931C32F630F7}" name="Column9519"/>
    <tableColumn id="9520" xr3:uid="{42253D02-CE53-453C-BA9A-2A013B9C4E27}" name="Column9520"/>
    <tableColumn id="9521" xr3:uid="{6AC25F8A-4D50-48DC-A57A-983EC2DEBCB8}" name="Column9521"/>
    <tableColumn id="9522" xr3:uid="{C61E1369-43E4-4431-911E-61B18D50C463}" name="Column9522"/>
    <tableColumn id="9523" xr3:uid="{3236E4F6-C495-4458-9CC5-CD334BC7E071}" name="Column9523"/>
    <tableColumn id="9524" xr3:uid="{07F67901-0AEF-4287-8F5E-29CBBEFB4787}" name="Column9524"/>
    <tableColumn id="9525" xr3:uid="{1728478F-560F-49EB-88B3-938A0C045C1B}" name="Column9525"/>
    <tableColumn id="9526" xr3:uid="{2209314E-9003-4911-8EED-A1466E97046C}" name="Column9526"/>
    <tableColumn id="9527" xr3:uid="{57B44542-211B-4DB7-90CE-D0795124BC95}" name="Column9527"/>
    <tableColumn id="9528" xr3:uid="{F0E1EDEF-17C0-4D1C-AC8E-03F709B33DA5}" name="Column9528"/>
    <tableColumn id="9529" xr3:uid="{6CEE5449-01DA-4F07-A6B7-1D22877B81C0}" name="Column9529"/>
    <tableColumn id="9530" xr3:uid="{C33EB09E-67A1-483C-AD05-B5F8120142E7}" name="Column9530"/>
    <tableColumn id="9531" xr3:uid="{BD8EF961-4BBA-42C0-9D78-5583ABC6F597}" name="Column9531"/>
    <tableColumn id="9532" xr3:uid="{C0F0579B-EC76-433D-98D5-D27BEFA55CAC}" name="Column9532"/>
    <tableColumn id="9533" xr3:uid="{1BBADA81-1052-4E03-952D-83D495E6BE0E}" name="Column9533"/>
    <tableColumn id="9534" xr3:uid="{AE5D18C0-C7F7-4A37-9CB3-08D62798DC52}" name="Column9534"/>
    <tableColumn id="9535" xr3:uid="{0BB295C5-3051-4F50-A4F0-C2BE44812378}" name="Column9535"/>
    <tableColumn id="9536" xr3:uid="{2BCFC72A-0706-4D8B-9C5A-1BEC97088533}" name="Column9536"/>
    <tableColumn id="9537" xr3:uid="{07DD9D54-A699-4C83-8340-219D998399A8}" name="Column9537"/>
    <tableColumn id="9538" xr3:uid="{D3BBFBFD-3404-4B35-A2F6-1D9AD7DF6A5D}" name="Column9538"/>
    <tableColumn id="9539" xr3:uid="{6168D88B-EC07-4177-85E5-04A5FC30A94C}" name="Column9539"/>
    <tableColumn id="9540" xr3:uid="{4239961F-2055-4E60-B9BE-C33BDC298013}" name="Column9540"/>
    <tableColumn id="9541" xr3:uid="{AF6B61E2-B977-4679-8CE5-D365C3FE4F64}" name="Column9541"/>
    <tableColumn id="9542" xr3:uid="{33305538-A8FB-43BB-91D5-7BE1BC48004A}" name="Column9542"/>
    <tableColumn id="9543" xr3:uid="{74C998ED-E4E7-4568-876A-08B0C16EDF9C}" name="Column9543"/>
    <tableColumn id="9544" xr3:uid="{3BCA3E3D-4795-45E3-ADA5-16FA8859EE61}" name="Column9544"/>
    <tableColumn id="9545" xr3:uid="{B0D4324A-3E3A-4609-A370-BE4DCC0B6B08}" name="Column9545"/>
    <tableColumn id="9546" xr3:uid="{8C20121E-B9C2-4919-A4BD-AC76B58CA315}" name="Column9546"/>
    <tableColumn id="9547" xr3:uid="{CF0F856F-C0AE-44BD-8B7C-D587395A345B}" name="Column9547"/>
    <tableColumn id="9548" xr3:uid="{0C56F098-E530-474B-A9FF-183465A4F1E6}" name="Column9548"/>
    <tableColumn id="9549" xr3:uid="{A655E683-8E3E-4B04-88F0-3AB8D62CB8BF}" name="Column9549"/>
    <tableColumn id="9550" xr3:uid="{EFC3B973-6A6D-4FE1-8C9E-421805886EEA}" name="Column9550"/>
    <tableColumn id="9551" xr3:uid="{3C428B0C-74A8-47F1-ABEA-2CA8262BFB17}" name="Column9551"/>
    <tableColumn id="9552" xr3:uid="{C93B44E6-DB56-4AF1-AC0A-4F5846F1E73E}" name="Column9552"/>
    <tableColumn id="9553" xr3:uid="{6DD06C59-E3C5-40CA-8E00-DD3230DF68C5}" name="Column9553"/>
    <tableColumn id="9554" xr3:uid="{E372D258-BB8B-4F83-8D30-4577E9092505}" name="Column9554"/>
    <tableColumn id="9555" xr3:uid="{1377AC43-4B75-4399-90AE-828316271334}" name="Column9555"/>
    <tableColumn id="9556" xr3:uid="{9CDAE85F-885D-416C-BD2F-C8104266D3D0}" name="Column9556"/>
    <tableColumn id="9557" xr3:uid="{A2DFF5DD-2C97-4F1A-86E1-5000DD0ADDF7}" name="Column9557"/>
    <tableColumn id="9558" xr3:uid="{1572207C-A6C3-4D41-BBD0-D4FD1D05A610}" name="Column9558"/>
    <tableColumn id="9559" xr3:uid="{E60FC6DA-FD4B-40A4-BBB7-0062C44E8AB0}" name="Column9559"/>
    <tableColumn id="9560" xr3:uid="{E51E36FA-ECE5-45E1-96DE-86FEDE548A6E}" name="Column9560"/>
    <tableColumn id="9561" xr3:uid="{88B2AACB-5C4D-4D31-9E34-0A9A5D3A9A6D}" name="Column9561"/>
    <tableColumn id="9562" xr3:uid="{D827CD40-5F9C-4390-816A-00E69DBC5A4C}" name="Column9562"/>
    <tableColumn id="9563" xr3:uid="{EAB868B1-1D5C-412D-B018-9AB00F3DF585}" name="Column9563"/>
    <tableColumn id="9564" xr3:uid="{FDDF93C2-814A-4B43-9F71-4EA137F3811A}" name="Column9564"/>
    <tableColumn id="9565" xr3:uid="{6DE27594-F957-41FA-A4E8-2189FE874A87}" name="Column9565"/>
    <tableColumn id="9566" xr3:uid="{BEEAD475-DC0C-4A86-88C7-DC7F0EE942B9}" name="Column9566"/>
    <tableColumn id="9567" xr3:uid="{E5950431-7908-4E54-93D7-06BC5F3B8565}" name="Column9567"/>
    <tableColumn id="9568" xr3:uid="{C81453CC-6BC5-49F4-B882-EBE11DABAD09}" name="Column9568"/>
    <tableColumn id="9569" xr3:uid="{3AA661DB-1830-4D52-8781-17975A124DFF}" name="Column9569"/>
    <tableColumn id="9570" xr3:uid="{8727C94E-6A61-42F7-9073-EA1625C5CF42}" name="Column9570"/>
    <tableColumn id="9571" xr3:uid="{E64D08F2-2209-48DC-8276-935AEE2A141F}" name="Column9571"/>
    <tableColumn id="9572" xr3:uid="{632D97C7-B18F-4A6C-9290-A02E62143B8E}" name="Column9572"/>
    <tableColumn id="9573" xr3:uid="{C805D54D-BCE4-4728-AFAD-C2BFA9BBA5F8}" name="Column9573"/>
    <tableColumn id="9574" xr3:uid="{7B7A9389-A99A-4C5D-88B5-09E669DE5FE3}" name="Column9574"/>
    <tableColumn id="9575" xr3:uid="{29F5DBD5-4E0F-4AD7-B840-085C27BBF0C4}" name="Column9575"/>
    <tableColumn id="9576" xr3:uid="{43D7BA14-7B17-4AC6-A138-9540E20DDEE4}" name="Column9576"/>
    <tableColumn id="9577" xr3:uid="{65DFE970-1C13-444C-985A-7CC71C92F772}" name="Column9577"/>
    <tableColumn id="9578" xr3:uid="{15B68AF4-967E-4D77-9D3D-D1236815AE4A}" name="Column9578"/>
    <tableColumn id="9579" xr3:uid="{40BBC39D-442B-458E-AC54-22C9186FEA5E}" name="Column9579"/>
    <tableColumn id="9580" xr3:uid="{CCCF8C22-8B7E-4B5A-A6A4-2F3FE6EA4DF7}" name="Column9580"/>
    <tableColumn id="9581" xr3:uid="{DAAD8A1F-93C3-48C5-A695-DBD7281BFC0C}" name="Column9581"/>
    <tableColumn id="9582" xr3:uid="{269A3BDA-ACF9-4AB5-948A-B44CB6280A63}" name="Column9582"/>
    <tableColumn id="9583" xr3:uid="{BE560AE1-4E4F-47D5-94C5-FF4A93A61FE9}" name="Column9583"/>
    <tableColumn id="9584" xr3:uid="{6B2663E9-8D9F-44F2-89E3-EF486C28CDF2}" name="Column9584"/>
    <tableColumn id="9585" xr3:uid="{F4A08C76-30CC-4FF7-A4ED-396CE9F2D785}" name="Column9585"/>
    <tableColumn id="9586" xr3:uid="{116CAF8E-B646-4AC7-A213-5A362BCFC8BC}" name="Column9586"/>
    <tableColumn id="9587" xr3:uid="{9D1E9559-5672-4537-9D2E-068095F6020B}" name="Column9587"/>
    <tableColumn id="9588" xr3:uid="{F48E6EFB-6764-4FC3-A77D-47039EF8075E}" name="Column9588"/>
    <tableColumn id="9589" xr3:uid="{41A123CB-5FFA-4602-80F3-C675C5091031}" name="Column9589"/>
    <tableColumn id="9590" xr3:uid="{494D9466-6B13-4978-97F2-9A4B5C3FE79D}" name="Column9590"/>
    <tableColumn id="9591" xr3:uid="{70FBA617-6EEC-430E-AACE-3603F1379611}" name="Column9591"/>
    <tableColumn id="9592" xr3:uid="{CC0A7856-7508-4532-AD9E-BE6F64A1B2AD}" name="Column9592"/>
    <tableColumn id="9593" xr3:uid="{B6562D19-60B5-4418-BC64-0F9F93AF41ED}" name="Column9593"/>
    <tableColumn id="9594" xr3:uid="{62734EB0-1EA7-4E96-B91D-EA20D1DCDE31}" name="Column9594"/>
    <tableColumn id="9595" xr3:uid="{2A57549D-0B8D-4A12-BEE4-8C90009013BB}" name="Column9595"/>
    <tableColumn id="9596" xr3:uid="{D957AC1D-4688-4915-947A-9BCAE82D3B15}" name="Column9596"/>
    <tableColumn id="9597" xr3:uid="{AE7B7E57-A6AA-40B3-A460-0BCB43244DA2}" name="Column9597"/>
    <tableColumn id="9598" xr3:uid="{D3F23D4A-69B0-4FAB-BEE2-4CFC37A8794D}" name="Column9598"/>
    <tableColumn id="9599" xr3:uid="{06BE2142-0782-4CAC-8A4A-F38E71C0A8A5}" name="Column9599"/>
    <tableColumn id="9600" xr3:uid="{05F82F65-4F3D-4102-9CE8-9AABFBA07B7F}" name="Column9600"/>
    <tableColumn id="9601" xr3:uid="{AB20CA58-303E-47FA-9EBA-E8ED2177B5F1}" name="Column9601"/>
    <tableColumn id="9602" xr3:uid="{5B3A67C5-51E8-4033-AE29-7FE2DFFBCBF7}" name="Column9602"/>
    <tableColumn id="9603" xr3:uid="{CECFA95E-645B-4537-B382-724E6FAD2033}" name="Column9603"/>
    <tableColumn id="9604" xr3:uid="{CF85B880-6CEA-4C59-BE4C-F22DD666BAB9}" name="Column9604"/>
    <tableColumn id="9605" xr3:uid="{42007A05-3202-4224-B1C2-FC2BF142A9DB}" name="Column9605"/>
    <tableColumn id="9606" xr3:uid="{1F964D8E-313E-4B1F-9CD9-057F78142620}" name="Column9606"/>
    <tableColumn id="9607" xr3:uid="{550EBD57-0E26-4E86-98F2-FE1A92ED84DC}" name="Column9607"/>
    <tableColumn id="9608" xr3:uid="{DB395E5D-F1BE-48AB-A026-A68E2AE94DAC}" name="Column9608"/>
    <tableColumn id="9609" xr3:uid="{30E24410-92AD-4C1D-8587-DD6954EB6970}" name="Column9609"/>
    <tableColumn id="9610" xr3:uid="{BDC34016-ED6B-4C55-854A-B5FF9E759436}" name="Column9610"/>
    <tableColumn id="9611" xr3:uid="{84967BA2-415D-414E-9A6B-72A0BD6DA67F}" name="Column9611"/>
    <tableColumn id="9612" xr3:uid="{A4E3C54F-F617-45E4-A41A-DC7049AB35E8}" name="Column9612"/>
    <tableColumn id="9613" xr3:uid="{6FFE2604-BBB3-4270-B306-A69E47D2796E}" name="Column9613"/>
    <tableColumn id="9614" xr3:uid="{D9BDFED2-8577-4679-84F6-508925E9A7FD}" name="Column9614"/>
    <tableColumn id="9615" xr3:uid="{E0AA218C-2F5A-4B07-AC60-F2E2D089042F}" name="Column9615"/>
    <tableColumn id="9616" xr3:uid="{4CBF01C5-69B3-46E1-8394-189DCDF58710}" name="Column9616"/>
    <tableColumn id="9617" xr3:uid="{F3D26CE5-4A5E-4355-831C-259B7E58DE05}" name="Column9617"/>
    <tableColumn id="9618" xr3:uid="{02557288-4EEF-4F53-983A-0D84F67A33DF}" name="Column9618"/>
    <tableColumn id="9619" xr3:uid="{2F572169-513F-4AA6-A2D0-7482023805EE}" name="Column9619"/>
    <tableColumn id="9620" xr3:uid="{F7BA3D5D-CBC0-4BBF-A549-7D59D0B62FC4}" name="Column9620"/>
    <tableColumn id="9621" xr3:uid="{991359C7-A372-43DE-A128-E1DA0E966CF1}" name="Column9621"/>
    <tableColumn id="9622" xr3:uid="{45D054AC-362E-4245-B657-13A0922E8D25}" name="Column9622"/>
    <tableColumn id="9623" xr3:uid="{B7B8CC3F-6774-4512-A632-47DB255FE327}" name="Column9623"/>
    <tableColumn id="9624" xr3:uid="{58827CF8-C9D7-461F-BD3D-0FED4B1CC3AB}" name="Column9624"/>
    <tableColumn id="9625" xr3:uid="{BFE9D11A-77A8-4B31-94EC-A7637D6156E7}" name="Column9625"/>
    <tableColumn id="9626" xr3:uid="{AE1182D7-5355-4AF2-AACE-8692C98907F8}" name="Column9626"/>
    <tableColumn id="9627" xr3:uid="{C4BB4EB8-8863-4533-AD47-A0839E0ED8C6}" name="Column9627"/>
    <tableColumn id="9628" xr3:uid="{ECB90AB0-7DCD-4C2D-AA45-611EDD77B7A2}" name="Column9628"/>
    <tableColumn id="9629" xr3:uid="{656AC83C-E3C2-48B1-8759-2F7D564EF590}" name="Column9629"/>
    <tableColumn id="9630" xr3:uid="{E7760704-29CC-49E3-ABC8-50FDD43399B0}" name="Column9630"/>
    <tableColumn id="9631" xr3:uid="{B6D34E78-6C4F-4764-BD57-7ACF3296E6D9}" name="Column9631"/>
    <tableColumn id="9632" xr3:uid="{CCE83E40-8A65-4AB3-B5FB-9578A1F99487}" name="Column9632"/>
    <tableColumn id="9633" xr3:uid="{6BED4113-4EF6-42D8-AEFC-B21428158E36}" name="Column9633"/>
    <tableColumn id="9634" xr3:uid="{DED33FEF-CC1F-49AC-9BED-29484E7E24A8}" name="Column9634"/>
    <tableColumn id="9635" xr3:uid="{2C6FA6F9-F5CC-4EA8-B638-D01559C51BDC}" name="Column9635"/>
    <tableColumn id="9636" xr3:uid="{3C213F34-B4A4-4B04-B4AD-AF0690EC2C64}" name="Column9636"/>
    <tableColumn id="9637" xr3:uid="{D2172902-9701-4B6A-8308-93BD2675EC81}" name="Column9637"/>
    <tableColumn id="9638" xr3:uid="{4D2195E5-501A-416B-8484-11CA50B20A33}" name="Column9638"/>
    <tableColumn id="9639" xr3:uid="{5E97FA6D-D862-40CE-9D84-3B9F22450A33}" name="Column9639"/>
    <tableColumn id="9640" xr3:uid="{A440C641-58C9-4ECB-9806-5689254684B7}" name="Column9640"/>
    <tableColumn id="9641" xr3:uid="{27782636-D051-419B-A409-22F6B7A2D69A}" name="Column9641"/>
    <tableColumn id="9642" xr3:uid="{D9579FF3-B914-46F8-AF86-1388253D3A2A}" name="Column9642"/>
    <tableColumn id="9643" xr3:uid="{1DD6BDA2-EEB3-4F29-8BFB-D049530009B8}" name="Column9643"/>
    <tableColumn id="9644" xr3:uid="{D2DE4AD5-2A67-4F70-8CA7-EA3988DF5880}" name="Column9644"/>
    <tableColumn id="9645" xr3:uid="{E27A0722-6446-4A7B-A2EE-C0E4F6FCFF93}" name="Column9645"/>
    <tableColumn id="9646" xr3:uid="{912579EB-5B94-4A7F-94B2-C16036521205}" name="Column9646"/>
    <tableColumn id="9647" xr3:uid="{ADAF3CB8-2DC0-4A19-BE71-087BEE24A6CA}" name="Column9647"/>
    <tableColumn id="9648" xr3:uid="{E7D1AC90-8E79-4CE2-BEBF-C2D1A4F86A3F}" name="Column9648"/>
    <tableColumn id="9649" xr3:uid="{8EAB2563-A2AD-4C19-97B1-722ED869610C}" name="Column9649"/>
    <tableColumn id="9650" xr3:uid="{C400BF18-916C-4A32-8800-53080E855FA7}" name="Column9650"/>
    <tableColumn id="9651" xr3:uid="{DCA91743-7BEE-46B9-AB99-8AE2441C167F}" name="Column9651"/>
    <tableColumn id="9652" xr3:uid="{911C300E-F8F1-47F4-80CC-0A5F937D180C}" name="Column9652"/>
    <tableColumn id="9653" xr3:uid="{1D5088AB-A20A-4841-9FD9-16BC1DDBDD09}" name="Column9653"/>
    <tableColumn id="9654" xr3:uid="{7296597F-A1F8-4073-B000-613DE526202F}" name="Column9654"/>
    <tableColumn id="9655" xr3:uid="{D028C018-0487-4A29-9047-9A5510FD98AA}" name="Column9655"/>
    <tableColumn id="9656" xr3:uid="{7DAD516B-779E-436C-B90A-C303505A9A15}" name="Column9656"/>
    <tableColumn id="9657" xr3:uid="{091265C6-3E87-4E58-A831-09D5D28132DB}" name="Column9657"/>
    <tableColumn id="9658" xr3:uid="{971B1A89-DE3D-4954-ACCB-A30BD5AE84B9}" name="Column9658"/>
    <tableColumn id="9659" xr3:uid="{ADDD427C-C2F0-4615-BE5A-486449F4189A}" name="Column9659"/>
    <tableColumn id="9660" xr3:uid="{5405F638-3AAE-4FC9-A331-EADF87ADF9DC}" name="Column9660"/>
    <tableColumn id="9661" xr3:uid="{B86D8610-2C73-40D2-BA2C-BD780C4540CA}" name="Column9661"/>
    <tableColumn id="9662" xr3:uid="{15DA1194-5296-461D-B5B8-8F72EC657773}" name="Column9662"/>
    <tableColumn id="9663" xr3:uid="{0F6F3A1B-7757-4607-8843-F4538FE9DBB1}" name="Column9663"/>
    <tableColumn id="9664" xr3:uid="{48803D8F-E9EB-492F-A2DA-A55346D2BFE0}" name="Column9664"/>
    <tableColumn id="9665" xr3:uid="{79C641B2-14A5-430F-8474-E38648B08944}" name="Column9665"/>
    <tableColumn id="9666" xr3:uid="{08343E2A-B791-490C-8921-7A2F36D46890}" name="Column9666"/>
    <tableColumn id="9667" xr3:uid="{7D802D3D-E682-4BBA-9E46-BF83121B8C49}" name="Column9667"/>
    <tableColumn id="9668" xr3:uid="{F2CF0FDA-ED7D-453E-B974-FEB1A7C60588}" name="Column9668"/>
    <tableColumn id="9669" xr3:uid="{E0C68A23-DF8C-44A5-B1E7-2EF65D747093}" name="Column9669"/>
    <tableColumn id="9670" xr3:uid="{C955375B-654B-4A72-978C-A58C05DC407E}" name="Column9670"/>
    <tableColumn id="9671" xr3:uid="{C1109A4D-C0DA-4842-AE6A-41C801F4E4D1}" name="Column9671"/>
    <tableColumn id="9672" xr3:uid="{8BB622FA-43C7-41F4-802E-242B80ADCE14}" name="Column9672"/>
    <tableColumn id="9673" xr3:uid="{F0387053-68CF-494F-80F2-E073118AFB1F}" name="Column9673"/>
    <tableColumn id="9674" xr3:uid="{8EC889A2-2937-41EA-A7A5-82A4084243A1}" name="Column9674"/>
    <tableColumn id="9675" xr3:uid="{18369B38-DE3A-495F-8BDC-FA68866303AF}" name="Column9675"/>
    <tableColumn id="9676" xr3:uid="{1AC25D9E-8F7F-4807-8F48-C9DBEED57F9B}" name="Column9676"/>
    <tableColumn id="9677" xr3:uid="{C96827EE-2237-4F88-BC40-B42FBBCA5DFB}" name="Column9677"/>
    <tableColumn id="9678" xr3:uid="{A7368425-FBB1-4347-BC83-B6816617378A}" name="Column9678"/>
    <tableColumn id="9679" xr3:uid="{933AD19C-2EB9-40D3-91C0-A81DBCC0F491}" name="Column9679"/>
    <tableColumn id="9680" xr3:uid="{EDA1EC88-A4AC-4DA9-90D1-927977CFBB47}" name="Column9680"/>
    <tableColumn id="9681" xr3:uid="{23A0E4AE-367C-4345-8C09-AA10B83900B4}" name="Column9681"/>
    <tableColumn id="9682" xr3:uid="{98DB7484-3BB8-4A96-8DAF-22019A1E3A4E}" name="Column9682"/>
    <tableColumn id="9683" xr3:uid="{75F0C310-6A16-49B1-8661-EC35D7F9ABCD}" name="Column9683"/>
    <tableColumn id="9684" xr3:uid="{5EB51343-399A-4032-A506-D1C8156C29D0}" name="Column9684"/>
    <tableColumn id="9685" xr3:uid="{D2BDF4E5-352E-48CB-87BF-5F04EA164AC9}" name="Column9685"/>
    <tableColumn id="9686" xr3:uid="{4986A647-998F-42B7-B1C1-29EF13CD98EB}" name="Column9686"/>
    <tableColumn id="9687" xr3:uid="{68F1ABAC-F084-4812-8946-665590DE63F0}" name="Column9687"/>
    <tableColumn id="9688" xr3:uid="{EBB46B2F-0478-4F7C-AE6C-2A88E1FEF9DF}" name="Column9688"/>
    <tableColumn id="9689" xr3:uid="{0F1B3DBC-B278-45DC-914C-4DDD759622B8}" name="Column9689"/>
    <tableColumn id="9690" xr3:uid="{41A721DC-363F-4D1D-AF6C-DF9ED8D55F7D}" name="Column9690"/>
    <tableColumn id="9691" xr3:uid="{00B62029-A022-43A5-A90A-5C529A732300}" name="Column9691"/>
    <tableColumn id="9692" xr3:uid="{D30839B1-F9E1-408F-9598-995B09416731}" name="Column9692"/>
    <tableColumn id="9693" xr3:uid="{635E19A8-8A94-4CB3-A307-B3DBFD6741B3}" name="Column9693"/>
    <tableColumn id="9694" xr3:uid="{36B52732-8580-4383-88B9-EA446131134F}" name="Column9694"/>
    <tableColumn id="9695" xr3:uid="{AADB4A0E-5865-4C59-A88D-8BAAEB69F61B}" name="Column9695"/>
    <tableColumn id="9696" xr3:uid="{7CA6AB23-02FF-48E2-9166-4BBCE82C5C7A}" name="Column9696"/>
    <tableColumn id="9697" xr3:uid="{1EB761A9-590D-4FEE-AC7A-AEC20AD9AB65}" name="Column9697"/>
    <tableColumn id="9698" xr3:uid="{A77A31C8-341F-4186-B263-420472675D08}" name="Column9698"/>
    <tableColumn id="9699" xr3:uid="{5A77AA25-CEA2-4C64-B969-35FFFC606A1D}" name="Column9699"/>
    <tableColumn id="9700" xr3:uid="{138D03B0-F9D8-461C-BC7E-F56AF4AF36A4}" name="Column9700"/>
    <tableColumn id="9701" xr3:uid="{7E9B1B4C-0150-452B-9915-35F6AA1E4D00}" name="Column9701"/>
    <tableColumn id="9702" xr3:uid="{F68EAD33-00CB-4EC5-98DC-FF8825D5DD1B}" name="Column9702"/>
    <tableColumn id="9703" xr3:uid="{DF7077E8-7BD9-448D-A990-3279941266C7}" name="Column9703"/>
    <tableColumn id="9704" xr3:uid="{754EC71B-3DB2-46EA-A1F2-C8A2892675D3}" name="Column9704"/>
    <tableColumn id="9705" xr3:uid="{8FD34EE1-D033-476B-8C76-87D97DAFC431}" name="Column9705"/>
    <tableColumn id="9706" xr3:uid="{96495435-5DB4-4DD9-BF71-31509D4E1675}" name="Column9706"/>
    <tableColumn id="9707" xr3:uid="{4FAE1DC3-ABAC-4AAC-B806-EE686F383148}" name="Column9707"/>
    <tableColumn id="9708" xr3:uid="{BBE6B3D6-E274-47D3-BC82-6220A45B6D46}" name="Column9708"/>
    <tableColumn id="9709" xr3:uid="{AE3B317C-C31C-4F09-A321-7DAF6C38C67C}" name="Column9709"/>
    <tableColumn id="9710" xr3:uid="{3D92A114-DE19-4516-84D1-B8C6E310DB8E}" name="Column9710"/>
    <tableColumn id="9711" xr3:uid="{111D86C4-1CD6-4C06-B01E-542B2BF25708}" name="Column9711"/>
    <tableColumn id="9712" xr3:uid="{DB3930A0-14F8-432D-8452-AD34F8C13C34}" name="Column9712"/>
    <tableColumn id="9713" xr3:uid="{27B4FD38-802F-42AD-A08D-92E76C922B53}" name="Column9713"/>
    <tableColumn id="9714" xr3:uid="{E328779A-490C-4628-ACB1-0C6F51C6E09A}" name="Column9714"/>
    <tableColumn id="9715" xr3:uid="{E9863E57-68F9-4981-BBE2-E14E5C9D7C2B}" name="Column9715"/>
    <tableColumn id="9716" xr3:uid="{8C60606A-8D56-410A-8132-C594A36A4A13}" name="Column9716"/>
    <tableColumn id="9717" xr3:uid="{01A0DFEC-18DC-4DBC-9001-901A5BCF1D1C}" name="Column9717"/>
    <tableColumn id="9718" xr3:uid="{EAF9E70F-E3E2-46C0-95F6-C73925262CBA}" name="Column9718"/>
    <tableColumn id="9719" xr3:uid="{AABD118A-3AB6-48C5-A7FB-FAA1EB7326F8}" name="Column9719"/>
    <tableColumn id="9720" xr3:uid="{5EDAA21B-C213-436D-BD63-1CF88C84FB92}" name="Column9720"/>
    <tableColumn id="9721" xr3:uid="{BFE4DA4D-352E-4676-8275-B1B30061DD8B}" name="Column9721"/>
    <tableColumn id="9722" xr3:uid="{789139DF-5A89-40F8-982E-7F4CE16E1116}" name="Column9722"/>
    <tableColumn id="9723" xr3:uid="{799179EA-6418-4A3A-A7B9-5BDC1F0B27CA}" name="Column9723"/>
    <tableColumn id="9724" xr3:uid="{EC7D9835-6333-4D20-ACD4-904B9A370C3D}" name="Column9724"/>
    <tableColumn id="9725" xr3:uid="{1924995D-FDF1-48DE-AEB4-13F67CBC6BE8}" name="Column9725"/>
    <tableColumn id="9726" xr3:uid="{8A2F2AF6-573D-4E53-9F6A-8E3E16B800E6}" name="Column9726"/>
    <tableColumn id="9727" xr3:uid="{86E0A590-6D98-44C4-B2C1-62A3E1EDE0A9}" name="Column9727"/>
    <tableColumn id="9728" xr3:uid="{604AE53E-88A7-4175-A97F-E3AAFC2D369B}" name="Column9728"/>
    <tableColumn id="9729" xr3:uid="{EDCA1A83-D402-4026-8F0E-43CAB31BEAEF}" name="Column9729"/>
    <tableColumn id="9730" xr3:uid="{33565E25-7C66-4873-AEBF-A205A9061A4E}" name="Column9730"/>
    <tableColumn id="9731" xr3:uid="{889E8A5B-8A87-4B5B-86D7-9D68CF275816}" name="Column9731"/>
    <tableColumn id="9732" xr3:uid="{1316DA69-4CED-4A55-9ACF-ED082B55BB9B}" name="Column9732"/>
    <tableColumn id="9733" xr3:uid="{67698613-CF7D-44D0-833C-C92DA7AE014B}" name="Column9733"/>
    <tableColumn id="9734" xr3:uid="{2545D7F0-1F2D-4982-A8F9-A5DE8D6DD1C7}" name="Column9734"/>
    <tableColumn id="9735" xr3:uid="{2AB8881F-40FF-40DF-B28A-AAB96C68D7E2}" name="Column9735"/>
    <tableColumn id="9736" xr3:uid="{A8B03C60-B0DE-405F-872E-0475903DCFA0}" name="Column9736"/>
    <tableColumn id="9737" xr3:uid="{0EEC6001-540E-497F-8238-2EBB67D1B1D9}" name="Column9737"/>
    <tableColumn id="9738" xr3:uid="{7FF4E7B6-865C-454B-9FED-338A31FE035C}" name="Column9738"/>
    <tableColumn id="9739" xr3:uid="{B9540CCC-4583-4D79-8F49-9C59B8A224ED}" name="Column9739"/>
    <tableColumn id="9740" xr3:uid="{BAACEE09-7F18-463E-BC12-11499E399256}" name="Column9740"/>
    <tableColumn id="9741" xr3:uid="{5086BEF1-673D-464D-942D-D4BAA6EDF744}" name="Column9741"/>
    <tableColumn id="9742" xr3:uid="{F82B7232-AF5C-418F-A7BF-E815839BE847}" name="Column9742"/>
    <tableColumn id="9743" xr3:uid="{93D00503-036F-4D43-B84B-5901EEA54DC6}" name="Column9743"/>
    <tableColumn id="9744" xr3:uid="{3FABC88B-22EA-46C6-B556-4F4999812D0B}" name="Column9744"/>
    <tableColumn id="9745" xr3:uid="{C287B863-2AEC-4CA8-814C-F70FD6F3D57D}" name="Column9745"/>
    <tableColumn id="9746" xr3:uid="{B55A6B07-24B5-4E70-8EE1-00AAAFD74CA1}" name="Column9746"/>
    <tableColumn id="9747" xr3:uid="{F7AFEA61-5A56-4CC7-93C7-D5A5A83B469B}" name="Column9747"/>
    <tableColumn id="9748" xr3:uid="{2AD908F2-9E53-4908-86F4-A378D82623DA}" name="Column9748"/>
    <tableColumn id="9749" xr3:uid="{BA94301F-76F3-4D15-AED6-1F136DE3F75C}" name="Column9749"/>
    <tableColumn id="9750" xr3:uid="{92ABDD8A-2060-4B83-AA3E-1B0E47C8FC64}" name="Column9750"/>
    <tableColumn id="9751" xr3:uid="{6111F910-AAC1-421A-B4BB-D814E39BACD8}" name="Column9751"/>
    <tableColumn id="9752" xr3:uid="{043E21C8-42BA-41D8-ABAC-1DF5BAAEF3B1}" name="Column9752"/>
    <tableColumn id="9753" xr3:uid="{D245D8C4-836C-444E-979B-BDF910A6ABFA}" name="Column9753"/>
    <tableColumn id="9754" xr3:uid="{76C2EAE5-E6A9-4BDE-84A5-7D9475D3A900}" name="Column9754"/>
    <tableColumn id="9755" xr3:uid="{A5EE8F9F-065F-4647-B854-34D048734CEF}" name="Column9755"/>
    <tableColumn id="9756" xr3:uid="{610CA57E-B264-413F-90F4-07D7F224DA4E}" name="Column9756"/>
    <tableColumn id="9757" xr3:uid="{340005EF-37BD-40B2-91E3-A09B59BA1C00}" name="Column9757"/>
    <tableColumn id="9758" xr3:uid="{7938ABBB-8A65-471A-BF1A-78708AD01120}" name="Column9758"/>
    <tableColumn id="9759" xr3:uid="{773F258C-AE7F-45D8-873A-02201B77B295}" name="Column9759"/>
    <tableColumn id="9760" xr3:uid="{6C3CD47C-88B1-4429-A962-7F470B7D3D82}" name="Column9760"/>
    <tableColumn id="9761" xr3:uid="{3828FC73-9606-4BD4-B473-07F9105E89E6}" name="Column9761"/>
    <tableColumn id="9762" xr3:uid="{185D5C84-332F-4FB9-8E77-0D1E8368DF07}" name="Column9762"/>
    <tableColumn id="9763" xr3:uid="{A79FDC95-D5BE-462C-BBD4-44BE1F2B8B68}" name="Column9763"/>
    <tableColumn id="9764" xr3:uid="{6AB3C7E4-ECCB-435B-9C10-AE66A6DC0514}" name="Column9764"/>
    <tableColumn id="9765" xr3:uid="{E664353A-FC77-4032-9256-81E2471D739C}" name="Column9765"/>
    <tableColumn id="9766" xr3:uid="{46C34A3A-AE6A-4CA7-ACAB-9833F4822EF8}" name="Column9766"/>
    <tableColumn id="9767" xr3:uid="{A8916678-7288-434C-8262-9A2A708195E4}" name="Column9767"/>
    <tableColumn id="9768" xr3:uid="{8F02A2BA-7458-488B-949B-AA8EA5B9D8CE}" name="Column9768"/>
    <tableColumn id="9769" xr3:uid="{62DEFA9A-B7B2-498F-9C1C-D7F2B7AEF781}" name="Column9769"/>
    <tableColumn id="9770" xr3:uid="{6F579861-8834-4780-976F-7776DC9E288D}" name="Column9770"/>
    <tableColumn id="9771" xr3:uid="{7068B866-2694-4DA8-9474-9D6A6CDBEBD0}" name="Column9771"/>
    <tableColumn id="9772" xr3:uid="{879DE8FF-5483-4627-AF6C-3A775DD1D1DD}" name="Column9772"/>
    <tableColumn id="9773" xr3:uid="{1E66A762-6C33-4F15-A0A8-41BE878CC302}" name="Column9773"/>
    <tableColumn id="9774" xr3:uid="{02D7A94D-FD3F-4D17-AC87-E52005E8CEA2}" name="Column9774"/>
    <tableColumn id="9775" xr3:uid="{D26714A3-DDFE-4FB3-9C29-A87332D2AA6F}" name="Column9775"/>
    <tableColumn id="9776" xr3:uid="{0D5AE77B-C0D7-447B-A757-FC27E2CA1E7B}" name="Column9776"/>
    <tableColumn id="9777" xr3:uid="{C70FC0C1-724A-4C0D-8B40-47D842AFED49}" name="Column9777"/>
    <tableColumn id="9778" xr3:uid="{48C73CB8-E3E5-4969-820C-13D8495D4BCC}" name="Column9778"/>
    <tableColumn id="9779" xr3:uid="{065B6C46-ABCC-41BF-AE41-3FA913BE00F0}" name="Column9779"/>
    <tableColumn id="9780" xr3:uid="{54F53548-4785-429D-B0C5-BDA44A1FB376}" name="Column9780"/>
    <tableColumn id="9781" xr3:uid="{BE7CAE06-1252-4FD8-82AE-5840A82AD6D5}" name="Column9781"/>
    <tableColumn id="9782" xr3:uid="{06B92433-4AAE-4663-8DBF-3C017B28916E}" name="Column9782"/>
    <tableColumn id="9783" xr3:uid="{B8F5F1AC-56AF-476E-A089-7ED4F3FF4D04}" name="Column9783"/>
    <tableColumn id="9784" xr3:uid="{CAC37D0F-D6D4-4AFC-ABE9-16007B329193}" name="Column9784"/>
    <tableColumn id="9785" xr3:uid="{9305469B-24F1-49B0-8A63-96B261F76710}" name="Column9785"/>
    <tableColumn id="9786" xr3:uid="{2CBA7915-73AC-4B07-8344-A8522E850901}" name="Column9786"/>
    <tableColumn id="9787" xr3:uid="{57F632AF-A177-4A1D-A01F-7F991D9215D7}" name="Column9787"/>
    <tableColumn id="9788" xr3:uid="{50E8FD42-3564-4227-B694-78DBA5E219FF}" name="Column9788"/>
    <tableColumn id="9789" xr3:uid="{5F036921-A4F9-480E-A247-5EDE4E507915}" name="Column9789"/>
    <tableColumn id="9790" xr3:uid="{F0484BBB-9323-48FC-87B5-F7E237B887F8}" name="Column9790"/>
    <tableColumn id="9791" xr3:uid="{1FBA8603-42FD-4AC2-9672-D3171BC66AF8}" name="Column9791"/>
    <tableColumn id="9792" xr3:uid="{78FC8D79-30BB-4B02-AC05-073F785AC2E9}" name="Column9792"/>
    <tableColumn id="9793" xr3:uid="{D019174A-5485-4F49-A43A-4CE57B51F369}" name="Column9793"/>
    <tableColumn id="9794" xr3:uid="{2A0BA804-4FC3-4965-9189-B40A07298462}" name="Column9794"/>
    <tableColumn id="9795" xr3:uid="{412A6CB4-424B-42CC-8AE4-10B466400CB7}" name="Column9795"/>
    <tableColumn id="9796" xr3:uid="{B9BE80C6-54A4-4B90-8091-8C1EE546E333}" name="Column9796"/>
    <tableColumn id="9797" xr3:uid="{3FE39345-B4D0-4067-BBDA-10826219B872}" name="Column9797"/>
    <tableColumn id="9798" xr3:uid="{4CD66283-047D-44BF-B16E-1D1F3FEE4969}" name="Column9798"/>
    <tableColumn id="9799" xr3:uid="{B38D40A1-901C-4CD4-953C-39C6D1B881A1}" name="Column9799"/>
    <tableColumn id="9800" xr3:uid="{304E9205-3C75-4B4A-A764-DA8A47044FBB}" name="Column9800"/>
    <tableColumn id="9801" xr3:uid="{38600A28-1470-493D-B99F-B486281ACC1F}" name="Column9801"/>
    <tableColumn id="9802" xr3:uid="{7FC0D02C-C9AB-4B8A-BD64-AE9E13A6310E}" name="Column9802"/>
    <tableColumn id="9803" xr3:uid="{8D7AAE4A-D443-41A3-9D6A-80F25ABC0C08}" name="Column9803"/>
    <tableColumn id="9804" xr3:uid="{FA296BFE-DA57-4562-AE1F-397CA58EC24A}" name="Column9804"/>
    <tableColumn id="9805" xr3:uid="{F76B30B7-9E81-423B-9007-7AEEA0D2C885}" name="Column9805"/>
    <tableColumn id="9806" xr3:uid="{189D37BF-ACCB-4877-B257-95E1297FE113}" name="Column9806"/>
    <tableColumn id="9807" xr3:uid="{1294B33F-D473-445F-AE9A-5996EDB32EAC}" name="Column9807"/>
    <tableColumn id="9808" xr3:uid="{876B3372-4E42-4FA7-801E-F0CB63226147}" name="Column9808"/>
    <tableColumn id="9809" xr3:uid="{035E4D43-D741-4858-A267-D62AE14461A8}" name="Column9809"/>
    <tableColumn id="9810" xr3:uid="{55F52227-A2C1-4FC1-8B88-78F2DC233CBE}" name="Column9810"/>
    <tableColumn id="9811" xr3:uid="{445A1ED6-6194-4F29-8325-3BAFE570F854}" name="Column9811"/>
    <tableColumn id="9812" xr3:uid="{D656B152-C34F-4F0A-8479-673E82472EBB}" name="Column9812"/>
    <tableColumn id="9813" xr3:uid="{2D8221CC-DAB7-4053-B584-AFC71A13A90C}" name="Column9813"/>
    <tableColumn id="9814" xr3:uid="{1BB7F163-31A9-4049-91FA-445CB6350E18}" name="Column9814"/>
    <tableColumn id="9815" xr3:uid="{0D823AA2-B2F1-4CFD-A5EA-C10EF134DD82}" name="Column9815"/>
    <tableColumn id="9816" xr3:uid="{67829B91-6B48-4F68-AA85-AD238A852354}" name="Column9816"/>
    <tableColumn id="9817" xr3:uid="{6D891AD9-DD6C-4F76-B6F0-A8F06E50E58D}" name="Column9817"/>
    <tableColumn id="9818" xr3:uid="{29820510-5736-4F04-B743-6A78BE3C9F7B}" name="Column9818"/>
    <tableColumn id="9819" xr3:uid="{B2A5B46B-78D5-4BF7-BFFA-F70288918A83}" name="Column9819"/>
    <tableColumn id="9820" xr3:uid="{677D6D23-4C32-466E-912A-72136745579E}" name="Column9820"/>
    <tableColumn id="9821" xr3:uid="{62F607EB-2DED-47F2-92EF-E66D8506BC6E}" name="Column9821"/>
    <tableColumn id="9822" xr3:uid="{7452F25F-7DB2-4E56-AE41-108EC8EDA956}" name="Column9822"/>
    <tableColumn id="9823" xr3:uid="{36BBCC4B-93D1-4C00-9FE8-6BACB7937599}" name="Column9823"/>
    <tableColumn id="9824" xr3:uid="{70489D31-068F-4118-903E-BDA94A65235B}" name="Column9824"/>
    <tableColumn id="9825" xr3:uid="{8E3F509D-B808-45C8-864F-C335D85B0F02}" name="Column9825"/>
    <tableColumn id="9826" xr3:uid="{5BC601BB-A70C-4212-B055-E739D54F5158}" name="Column9826"/>
    <tableColumn id="9827" xr3:uid="{140DF256-927B-47DF-90EF-89E6D6E781F6}" name="Column9827"/>
    <tableColumn id="9828" xr3:uid="{020F4B35-6D9D-4D9F-849D-6D0EBB916EEF}" name="Column9828"/>
    <tableColumn id="9829" xr3:uid="{EC7F4DA8-3515-4CE2-8D21-8F1685CF5A41}" name="Column9829"/>
    <tableColumn id="9830" xr3:uid="{657BB647-3FA8-4EDC-B929-03A94588AC45}" name="Column9830"/>
    <tableColumn id="9831" xr3:uid="{7E22F23C-E4AC-4BB4-B43C-20A96F522E49}" name="Column9831"/>
    <tableColumn id="9832" xr3:uid="{27ABEDF4-6115-4BE4-8B2D-7A7D4F2869F2}" name="Column9832"/>
    <tableColumn id="9833" xr3:uid="{52C8B73A-E8ED-4895-824C-27829EFAE30D}" name="Column9833"/>
    <tableColumn id="9834" xr3:uid="{1DD1C4C8-E7F4-45AD-B603-33AFD30A572D}" name="Column9834"/>
    <tableColumn id="9835" xr3:uid="{410040A4-6290-4AC2-BDC9-EAF5F7BCC8A6}" name="Column9835"/>
    <tableColumn id="9836" xr3:uid="{105C4C82-E78E-440F-9BC8-4F44A590E1C5}" name="Column9836"/>
    <tableColumn id="9837" xr3:uid="{AF8174E9-A97A-47A0-8C66-FED7B7DCA49C}" name="Column9837"/>
    <tableColumn id="9838" xr3:uid="{4833445E-78A1-4749-8655-5BF7C222E168}" name="Column9838"/>
    <tableColumn id="9839" xr3:uid="{5D5F1909-F755-4061-AD63-6D5881943BD4}" name="Column9839"/>
    <tableColumn id="9840" xr3:uid="{828A9EA6-9A95-4AA1-800B-DCBB200A84A1}" name="Column9840"/>
    <tableColumn id="9841" xr3:uid="{18095E16-9AC8-4975-B850-178FC3440137}" name="Column9841"/>
    <tableColumn id="9842" xr3:uid="{085FF80B-EA06-4335-9812-CD0FFE35C167}" name="Column9842"/>
    <tableColumn id="9843" xr3:uid="{720D3793-1A42-4A49-84B0-DC1875CED0AF}" name="Column9843"/>
    <tableColumn id="9844" xr3:uid="{4C80B8D7-4712-4111-9AA5-971F8E7D6F51}" name="Column9844"/>
    <tableColumn id="9845" xr3:uid="{0206D413-7A10-46A8-AC3D-1F90BA9A3570}" name="Column9845"/>
    <tableColumn id="9846" xr3:uid="{FBD5E484-8644-428A-BECB-B0A3A1A7A87C}" name="Column9846"/>
    <tableColumn id="9847" xr3:uid="{8D9BC98D-AAD6-4C5B-8AD9-1283C052EC99}" name="Column9847"/>
    <tableColumn id="9848" xr3:uid="{995FC936-4920-4B72-8003-D3C8B004AE2C}" name="Column9848"/>
    <tableColumn id="9849" xr3:uid="{6C95A2FF-3656-4D1B-828C-3A2B5C4A637C}" name="Column9849"/>
    <tableColumn id="9850" xr3:uid="{3F6B87EC-7615-4522-AD7C-2BABD99FC0D6}" name="Column9850"/>
    <tableColumn id="9851" xr3:uid="{ACAD25EB-ED46-419C-91B5-1643090B11A9}" name="Column9851"/>
    <tableColumn id="9852" xr3:uid="{A96A1432-7486-4B6D-8EF6-98F6A1BA5DBF}" name="Column9852"/>
    <tableColumn id="9853" xr3:uid="{636739C9-166A-49AB-8C38-7911A46DFE5D}" name="Column9853"/>
    <tableColumn id="9854" xr3:uid="{A794A762-95E6-4BC9-BA9C-B606224B4A91}" name="Column9854"/>
    <tableColumn id="9855" xr3:uid="{C00AEBAB-86EB-4FFC-A322-1996836D647E}" name="Column9855"/>
    <tableColumn id="9856" xr3:uid="{C3271966-EE31-4573-BC3B-5B02904C2CB1}" name="Column9856"/>
    <tableColumn id="9857" xr3:uid="{D1EE9934-E8EB-4C4D-9197-382D4E666BE2}" name="Column9857"/>
    <tableColumn id="9858" xr3:uid="{A4DB6116-9ABF-4341-8594-8DE09732C6E1}" name="Column9858"/>
    <tableColumn id="9859" xr3:uid="{EA926E2B-2949-4502-A99D-C993D1ED55E2}" name="Column9859"/>
    <tableColumn id="9860" xr3:uid="{9E52DBCC-E156-41A8-A140-B52C9B2571B5}" name="Column9860"/>
    <tableColumn id="9861" xr3:uid="{40C4877E-DDB3-4609-B785-48F834FD7CDD}" name="Column9861"/>
    <tableColumn id="9862" xr3:uid="{9D99F89F-AAAE-454E-9562-7F126EAD0506}" name="Column9862"/>
    <tableColumn id="9863" xr3:uid="{A5550754-CF7C-45D8-8113-8EAD6BA11773}" name="Column9863"/>
    <tableColumn id="9864" xr3:uid="{04AE3FC5-DB1A-4648-92EE-C06E956C1547}" name="Column9864"/>
    <tableColumn id="9865" xr3:uid="{12084A3D-9B7C-46C7-83CF-68E74DB4F1C5}" name="Column9865"/>
    <tableColumn id="9866" xr3:uid="{B76BC99E-112C-4600-9597-9F79728E79FE}" name="Column9866"/>
    <tableColumn id="9867" xr3:uid="{9A03AF12-18AA-4506-AA92-A6602822B86F}" name="Column9867"/>
    <tableColumn id="9868" xr3:uid="{6690BE2F-67AF-4861-9934-4BE64C356B69}" name="Column9868"/>
    <tableColumn id="9869" xr3:uid="{ED8AA642-C4E3-44EC-B342-61B22A75E344}" name="Column9869"/>
    <tableColumn id="9870" xr3:uid="{9D87A9FF-4758-463C-8E14-1B472E672DB4}" name="Column9870"/>
    <tableColumn id="9871" xr3:uid="{64F7A0DB-EB60-4850-AE6D-4511335BE9E0}" name="Column9871"/>
    <tableColumn id="9872" xr3:uid="{FD6F032F-F427-4DF3-94CB-1A24012AAD79}" name="Column9872"/>
    <tableColumn id="9873" xr3:uid="{0C686D46-B817-407A-97C7-48BF1033AB76}" name="Column9873"/>
    <tableColumn id="9874" xr3:uid="{34C77355-AEE9-4E0D-9398-01835015F3AE}" name="Column9874"/>
    <tableColumn id="9875" xr3:uid="{E6E92784-03C9-44A1-B327-3967AF3C1323}" name="Column9875"/>
    <tableColumn id="9876" xr3:uid="{2631DB0E-C74B-4D2F-AE94-8EC258687450}" name="Column9876"/>
    <tableColumn id="9877" xr3:uid="{DD19D641-85ED-46D5-80D8-48693046F69C}" name="Column9877"/>
    <tableColumn id="9878" xr3:uid="{858586E4-FA0F-4650-8725-6507CD08001E}" name="Column9878"/>
    <tableColumn id="9879" xr3:uid="{1E3A5788-8905-4501-A0C0-C274B758AC55}" name="Column9879"/>
    <tableColumn id="9880" xr3:uid="{FEA4712B-1D5B-4843-A116-2130762EFBF8}" name="Column9880"/>
    <tableColumn id="9881" xr3:uid="{75E027ED-512A-47DE-BF2E-6BABCCA80864}" name="Column9881"/>
    <tableColumn id="9882" xr3:uid="{85DDAB80-DF86-4DE4-A4C7-0AAEBADB3371}" name="Column9882"/>
    <tableColumn id="9883" xr3:uid="{ACD56CCD-CE5B-4BF0-A5ED-4CABFEEB7390}" name="Column9883"/>
    <tableColumn id="9884" xr3:uid="{E5E67635-254D-42DA-8C65-10A3D77DA9B8}" name="Column9884"/>
    <tableColumn id="9885" xr3:uid="{1D9B8E00-B08E-4F42-9A4C-1193CDDB0FB8}" name="Column9885"/>
    <tableColumn id="9886" xr3:uid="{D572EE62-70C9-4C6B-9C75-7D09CD5DA705}" name="Column9886"/>
    <tableColumn id="9887" xr3:uid="{2E41BC50-7EEF-4E20-934A-1254283E25BB}" name="Column9887"/>
    <tableColumn id="9888" xr3:uid="{6CF8892A-5D0D-4050-BE2D-50871083C794}" name="Column9888"/>
    <tableColumn id="9889" xr3:uid="{5F13093A-41C9-4A91-86E9-A6628D714A84}" name="Column9889"/>
    <tableColumn id="9890" xr3:uid="{9EE2AEAC-E2B5-4CEF-9D1D-75B5E6067C63}" name="Column9890"/>
    <tableColumn id="9891" xr3:uid="{1482261F-902A-4B56-AD17-FABE8A46B111}" name="Column9891"/>
    <tableColumn id="9892" xr3:uid="{11556912-43C7-4E00-BD73-2237713EEED9}" name="Column9892"/>
    <tableColumn id="9893" xr3:uid="{3CB751FA-9CE6-4C83-8C35-6A106ADD2156}" name="Column9893"/>
    <tableColumn id="9894" xr3:uid="{B7CC37C6-9E17-41C3-90E7-765DB2935723}" name="Column9894"/>
    <tableColumn id="9895" xr3:uid="{1D9D2F09-DB76-4917-9A81-21998DFE012F}" name="Column9895"/>
    <tableColumn id="9896" xr3:uid="{9E1B4448-8A2B-40E7-855B-9F9731F6A909}" name="Column9896"/>
    <tableColumn id="9897" xr3:uid="{65449A25-CBBA-4B59-812A-B627F30FE27A}" name="Column9897"/>
    <tableColumn id="9898" xr3:uid="{33391131-FB53-45EA-A3EC-906CB8747FAD}" name="Column9898"/>
    <tableColumn id="9899" xr3:uid="{3E47780A-FCE9-495B-89B5-DFD27C05E999}" name="Column9899"/>
    <tableColumn id="9900" xr3:uid="{45664D13-7206-47F5-A772-AFD172C3052F}" name="Column9900"/>
    <tableColumn id="9901" xr3:uid="{E39B3D08-CA1F-4B0B-8F77-E65322A051FA}" name="Column9901"/>
    <tableColumn id="9902" xr3:uid="{31145A3D-4517-4BA0-8EE4-C282FEB6889B}" name="Column9902"/>
    <tableColumn id="9903" xr3:uid="{76799A15-77D5-4FBA-9865-BEE9E3B76D5D}" name="Column9903"/>
    <tableColumn id="9904" xr3:uid="{894C476F-1EE3-4041-8179-589CD62CDCA4}" name="Column9904"/>
    <tableColumn id="9905" xr3:uid="{D888DA5A-B6CB-48E1-8CC1-49A8358CD978}" name="Column9905"/>
    <tableColumn id="9906" xr3:uid="{00FE5435-04C5-432E-85C0-9F75098E020A}" name="Column9906"/>
    <tableColumn id="9907" xr3:uid="{C521A2B7-9E73-4C60-B66B-403882FC9ED5}" name="Column9907"/>
    <tableColumn id="9908" xr3:uid="{2B830AA2-8773-4AD6-94D5-412AB23DA622}" name="Column9908"/>
    <tableColumn id="9909" xr3:uid="{39CBC9A2-309A-4713-87C7-D7E7EACF7D00}" name="Column9909"/>
    <tableColumn id="9910" xr3:uid="{7EEA45EF-E4AC-43F7-B3E5-377B56FF794E}" name="Column9910"/>
    <tableColumn id="9911" xr3:uid="{9AECAD0F-8F99-44D8-94D0-F2E9CF4CDAD9}" name="Column9911"/>
    <tableColumn id="9912" xr3:uid="{53AC43F4-A4D3-41E5-869F-351368D62235}" name="Column9912"/>
    <tableColumn id="9913" xr3:uid="{4266F777-32CB-4A9E-9371-1F856BFBCA1F}" name="Column9913"/>
    <tableColumn id="9914" xr3:uid="{623D30B2-C8D6-489D-8D3E-046BC228DF0A}" name="Column9914"/>
    <tableColumn id="9915" xr3:uid="{5F697392-F158-46DB-843E-1FB52B740A98}" name="Column9915"/>
    <tableColumn id="9916" xr3:uid="{1DCD378B-53C0-4AF0-8D32-BB284746AFC9}" name="Column9916"/>
    <tableColumn id="9917" xr3:uid="{6E5FF103-74BD-4DE5-8416-D88B08032022}" name="Column9917"/>
    <tableColumn id="9918" xr3:uid="{4553C772-B47A-4CF3-8D80-34053D32A845}" name="Column9918"/>
    <tableColumn id="9919" xr3:uid="{5238C46D-DAD5-42E6-A6F5-005EE4F69580}" name="Column9919"/>
    <tableColumn id="9920" xr3:uid="{95E88A9F-231B-43C6-B589-15B33040CBE8}" name="Column9920"/>
    <tableColumn id="9921" xr3:uid="{DF0926A1-0EB9-4DB8-BA37-6A2E460E680A}" name="Column9921"/>
    <tableColumn id="9922" xr3:uid="{503A2B72-FAFC-4018-A2CC-1685FC8145CC}" name="Column9922"/>
    <tableColumn id="9923" xr3:uid="{C850E67E-FA30-4976-B082-120879DC1AFC}" name="Column9923"/>
    <tableColumn id="9924" xr3:uid="{892FB1B7-38BC-4525-B595-18C4F1695B69}" name="Column9924"/>
    <tableColumn id="9925" xr3:uid="{EC7E67BD-D102-4799-9D49-6357D9DB83A9}" name="Column9925"/>
    <tableColumn id="9926" xr3:uid="{8E8F7916-5F17-4FA2-9173-F43FD7E7A4CC}" name="Column9926"/>
    <tableColumn id="9927" xr3:uid="{E4FAB625-A81C-4EB3-A330-32D1937E2D7B}" name="Column9927"/>
    <tableColumn id="9928" xr3:uid="{19D7BBDB-164C-495F-B19A-F693E36161A1}" name="Column9928"/>
    <tableColumn id="9929" xr3:uid="{7D0E7A07-54A6-45E2-81F5-AADE009F0885}" name="Column9929"/>
    <tableColumn id="9930" xr3:uid="{E181BFDB-0A21-4CBB-B1E6-E1C673BB1777}" name="Column9930"/>
    <tableColumn id="9931" xr3:uid="{9954D93E-B288-4A6E-8DAB-C1423E7D35ED}" name="Column9931"/>
    <tableColumn id="9932" xr3:uid="{EF68CD3D-D290-44EC-B9D2-77D8E6C3A96D}" name="Column9932"/>
    <tableColumn id="9933" xr3:uid="{544564DA-DA4C-4671-BCAD-B2D8CE17FAF9}" name="Column9933"/>
    <tableColumn id="9934" xr3:uid="{032AA4DF-C699-4C11-AF79-AE607C12234A}" name="Column9934"/>
    <tableColumn id="9935" xr3:uid="{C6BD217B-6D6E-47ED-BEEF-91D032ABA427}" name="Column9935"/>
    <tableColumn id="9936" xr3:uid="{4AF70DB5-87BE-41E6-A406-930016A1EBD1}" name="Column9936"/>
    <tableColumn id="9937" xr3:uid="{EC0DD5E1-096A-4399-97A8-B1E7C10C1020}" name="Column9937"/>
    <tableColumn id="9938" xr3:uid="{18EA7830-01E7-4DB0-8F53-D76DE13D230B}" name="Column9938"/>
    <tableColumn id="9939" xr3:uid="{0B35F278-2DBC-4BA7-821F-89C938D8A9BA}" name="Column9939"/>
    <tableColumn id="9940" xr3:uid="{68B5F84A-2CC9-4997-A739-345BA8861B00}" name="Column9940"/>
    <tableColumn id="9941" xr3:uid="{B62DD96D-CD62-4615-9256-CF9F04BCBA5C}" name="Column9941"/>
    <tableColumn id="9942" xr3:uid="{83DAD3D1-2726-4D60-9573-0D7750ABE4EB}" name="Column9942"/>
    <tableColumn id="9943" xr3:uid="{3C8DEA18-1B1D-46CB-A37A-3921DA09BC3B}" name="Column9943"/>
    <tableColumn id="9944" xr3:uid="{0267CB03-AD5A-4445-B1DF-7B8BE12DEEEA}" name="Column9944"/>
    <tableColumn id="9945" xr3:uid="{48EBCD15-6339-45E7-BC49-4B877AC8F3F7}" name="Column9945"/>
    <tableColumn id="9946" xr3:uid="{FB3DD020-A6E7-4D7B-BD1E-228E1AF2E92B}" name="Column9946"/>
    <tableColumn id="9947" xr3:uid="{10CF09D9-1AE7-4ABC-8F2C-492F0A4D1202}" name="Column9947"/>
    <tableColumn id="9948" xr3:uid="{30D7685C-F999-4C68-A5DE-383BEF040B06}" name="Column9948"/>
    <tableColumn id="9949" xr3:uid="{13F81D59-067C-4397-82F7-DB7876DB049F}" name="Column9949"/>
    <tableColumn id="9950" xr3:uid="{7CAE4758-3006-4B30-A0E8-CE0B26EE6CE0}" name="Column9950"/>
    <tableColumn id="9951" xr3:uid="{123CF488-FEDF-43F8-B6A6-108135CD16A5}" name="Column9951"/>
    <tableColumn id="9952" xr3:uid="{0E7CAD97-3123-44E9-8BB6-FEAD65B3D404}" name="Column9952"/>
    <tableColumn id="9953" xr3:uid="{B8EB551A-C91A-4C8E-B0EF-1CFA95B6F558}" name="Column9953"/>
    <tableColumn id="9954" xr3:uid="{BCD858DB-12D9-47DE-8694-A18054AC00D8}" name="Column9954"/>
    <tableColumn id="9955" xr3:uid="{6BC60895-5847-42AF-BFC5-E80AF730ECB6}" name="Column9955"/>
    <tableColumn id="9956" xr3:uid="{9C229EE4-B475-4C9F-AFD8-15EDAA1478AC}" name="Column9956"/>
    <tableColumn id="9957" xr3:uid="{F32B1556-F44E-4DBC-830A-6899DFCE436A}" name="Column9957"/>
    <tableColumn id="9958" xr3:uid="{3584B749-3521-4401-B270-C9B0727CF565}" name="Column9958"/>
    <tableColumn id="9959" xr3:uid="{D50885A4-CBE0-4984-8495-120525FC944A}" name="Column9959"/>
    <tableColumn id="9960" xr3:uid="{CEFA4338-C6A9-48E4-A6AA-5B0C678841C6}" name="Column9960"/>
    <tableColumn id="9961" xr3:uid="{6911A5D4-C20C-4649-89D6-57B8353DF2FB}" name="Column9961"/>
    <tableColumn id="9962" xr3:uid="{DABE2547-0723-4E36-99D5-E6ABF5C9E618}" name="Column9962"/>
    <tableColumn id="9963" xr3:uid="{0430E966-854B-4FB7-AB66-C0FD8EF2717A}" name="Column9963"/>
    <tableColumn id="9964" xr3:uid="{73136A45-4722-4BCF-98F0-F9B87E2E82EC}" name="Column9964"/>
    <tableColumn id="9965" xr3:uid="{C6B89133-D148-4F8B-AD97-7151ECA1A169}" name="Column9965"/>
    <tableColumn id="9966" xr3:uid="{8B040A48-60EA-4071-AECB-A1F37B6BF34B}" name="Column9966"/>
    <tableColumn id="9967" xr3:uid="{2D56AAEC-1874-45EC-A326-CFBEA1B3FA56}" name="Column9967"/>
    <tableColumn id="9968" xr3:uid="{FBEBA473-0E08-4DAF-A209-C2D8135276CF}" name="Column9968"/>
    <tableColumn id="9969" xr3:uid="{0F9EBDE1-970F-49FE-97E2-3B3B0C2A0C63}" name="Column9969"/>
    <tableColumn id="9970" xr3:uid="{668EBEC5-DD94-47FE-BDB3-BBFBA288759A}" name="Column9970"/>
    <tableColumn id="9971" xr3:uid="{7FE4C4FE-AD27-4E8F-8D49-236B4D612FB2}" name="Column9971"/>
    <tableColumn id="9972" xr3:uid="{AF25A2B4-5574-4568-9239-6701D25633A1}" name="Column9972"/>
    <tableColumn id="9973" xr3:uid="{20F50C83-5255-4F2E-B457-9EB189FD10DF}" name="Column9973"/>
    <tableColumn id="9974" xr3:uid="{32E461F2-C433-4CBB-BAD9-8BF7D573539F}" name="Column9974"/>
    <tableColumn id="9975" xr3:uid="{A4AF6919-1BAF-4168-995C-42EE6AD3FBE6}" name="Column9975"/>
    <tableColumn id="9976" xr3:uid="{6169B597-481C-4DB4-AD62-6D751C5D6AE4}" name="Column9976"/>
    <tableColumn id="9977" xr3:uid="{3873609C-67CB-49F2-B60B-C522A01E4EBB}" name="Column9977"/>
    <tableColumn id="9978" xr3:uid="{49A00030-1C7E-4181-829F-93BB03DA833D}" name="Column9978"/>
    <tableColumn id="9979" xr3:uid="{DA26CABC-0680-411B-A1A3-20E0B911701D}" name="Column9979"/>
    <tableColumn id="9980" xr3:uid="{C1F7B466-65CB-4A4B-8DED-D5CE0EC95A59}" name="Column9980"/>
    <tableColumn id="9981" xr3:uid="{AF659A6A-91AF-4ED6-A117-CBFDC5D37BAC}" name="Column9981"/>
    <tableColumn id="9982" xr3:uid="{63F8F76F-A0A0-4E69-8513-240225FF67A6}" name="Column9982"/>
    <tableColumn id="9983" xr3:uid="{4A1B8331-9314-472E-B220-588B6E28A5E9}" name="Column9983"/>
    <tableColumn id="9984" xr3:uid="{06CFF983-8B81-4354-9C64-67C5E2E4A9F5}" name="Column9984"/>
    <tableColumn id="9985" xr3:uid="{A1875C54-6E25-497F-A87E-4D0594FDF093}" name="Column9985"/>
    <tableColumn id="9986" xr3:uid="{640EF5F7-84A7-44D6-BD2B-D602EE138F80}" name="Column9986"/>
    <tableColumn id="9987" xr3:uid="{E1F0B015-D9D7-4EE9-B313-122F9A90B6C2}" name="Column9987"/>
    <tableColumn id="9988" xr3:uid="{B93FCC73-5E18-4A12-8A97-7FB5CE7A2512}" name="Column9988"/>
    <tableColumn id="9989" xr3:uid="{D8840274-AAB9-4123-B0D9-15EFDDE350FD}" name="Column9989"/>
    <tableColumn id="9990" xr3:uid="{6B16F994-27D1-4F49-946F-45307DB561CB}" name="Column9990"/>
    <tableColumn id="9991" xr3:uid="{C9B7AFC0-5F7F-4A3F-84EC-0C9B7F58FD51}" name="Column9991"/>
    <tableColumn id="9992" xr3:uid="{C610B9DD-6DA9-4777-8E2A-ACA31CC2F72B}" name="Column9992"/>
    <tableColumn id="9993" xr3:uid="{EDB4A912-44C0-4CED-8222-41173EACCE21}" name="Column9993"/>
    <tableColumn id="9994" xr3:uid="{88135E8D-1F85-408B-9914-F9FA428E6D28}" name="Column9994"/>
    <tableColumn id="9995" xr3:uid="{B6B4BBC4-51E5-4195-83B2-9B6D4A3E0EB1}" name="Column9995"/>
    <tableColumn id="9996" xr3:uid="{F9AB121D-72B1-4665-977C-C7DECA8DF791}" name="Column9996"/>
    <tableColumn id="9997" xr3:uid="{2FAB1579-34F3-4A0B-B2E4-8EF4AA8798B7}" name="Column9997"/>
    <tableColumn id="9998" xr3:uid="{4E791AF6-62C0-4EE8-AF3C-68817FACBD0C}" name="Column9998"/>
    <tableColumn id="9999" xr3:uid="{687A19D8-2D5C-4BB0-9D07-7FB91788A3C3}" name="Column9999"/>
    <tableColumn id="10000" xr3:uid="{68FFD683-8F4F-4644-A9CA-63AAF3C38CB3}" name="Column10000"/>
    <tableColumn id="10001" xr3:uid="{2934596F-2E95-4EAE-AB4B-3FB75C001D3A}" name="Column10001"/>
    <tableColumn id="10002" xr3:uid="{060F139E-CDBD-494D-A374-5D509E4B7062}" name="Column10002"/>
    <tableColumn id="10003" xr3:uid="{01500DFF-A674-44D4-84FB-3727477E30C0}" name="Column10003"/>
    <tableColumn id="10004" xr3:uid="{E0D868E6-B5F8-42A3-917E-8943FF09BFD4}" name="Column10004"/>
    <tableColumn id="10005" xr3:uid="{C5C531D2-801E-41C7-B2C4-93462913D5F9}" name="Column10005"/>
    <tableColumn id="10006" xr3:uid="{6F5E767D-893B-4AA1-919A-489C9E324550}" name="Column10006"/>
    <tableColumn id="10007" xr3:uid="{3B84D147-37EB-4F15-818E-8AA8953A6745}" name="Column10007"/>
    <tableColumn id="10008" xr3:uid="{054113D9-2549-4BDA-B150-587EB3DC8866}" name="Column10008"/>
    <tableColumn id="10009" xr3:uid="{E892E7F6-B572-4563-83A4-B283976335B5}" name="Column10009"/>
    <tableColumn id="10010" xr3:uid="{CF26F5F7-C49B-421A-9896-824A1C1425FE}" name="Column10010"/>
    <tableColumn id="10011" xr3:uid="{7151149F-40AE-444B-BDE4-997358527A85}" name="Column10011"/>
    <tableColumn id="10012" xr3:uid="{9A48670D-8B0E-48E7-9CC6-0D81553304CA}" name="Column10012"/>
    <tableColumn id="10013" xr3:uid="{32EA2F76-84E6-4FF6-988B-07D1FE7CFA8A}" name="Column10013"/>
    <tableColumn id="10014" xr3:uid="{101A3DB7-3396-4AAE-AA53-B9A2BD5A18A4}" name="Column10014"/>
    <tableColumn id="10015" xr3:uid="{A4246283-B4C1-4A7D-9B0E-95BF4CAA89C0}" name="Column10015"/>
    <tableColumn id="10016" xr3:uid="{C8558743-CC5B-47C0-8851-2D16A0AB2991}" name="Column10016"/>
    <tableColumn id="10017" xr3:uid="{712ACF72-FB9B-43ED-8C91-0479954897D5}" name="Column10017"/>
    <tableColumn id="10018" xr3:uid="{2E6631A6-C6B3-4D1F-8F4F-2D04F88842FE}" name="Column10018"/>
    <tableColumn id="10019" xr3:uid="{9D369A6D-509F-4B37-BEA3-563BEFDE7B31}" name="Column10019"/>
    <tableColumn id="10020" xr3:uid="{C9D351AB-F6E4-4608-A1E6-5D81BAD262F7}" name="Column10020"/>
    <tableColumn id="10021" xr3:uid="{152A4614-2B19-4F4B-AA8B-0CCC145D8A8D}" name="Column10021"/>
    <tableColumn id="10022" xr3:uid="{06A25B70-C692-417C-8338-98D062B43610}" name="Column10022"/>
    <tableColumn id="10023" xr3:uid="{C026EFE7-8957-4FED-A24E-D150B5648277}" name="Column10023"/>
    <tableColumn id="10024" xr3:uid="{BFC2E7E0-54EF-4666-B6D1-B8C332FACBEF}" name="Column10024"/>
    <tableColumn id="10025" xr3:uid="{D5735925-563E-4BEC-9A5A-ABBDB43DD674}" name="Column10025"/>
    <tableColumn id="10026" xr3:uid="{2A04BE1E-2BCA-4D02-9C80-E05AA39227AE}" name="Column10026"/>
    <tableColumn id="10027" xr3:uid="{39A48DCA-75BB-4E5B-80F2-5EF7DD86CD9C}" name="Column10027"/>
    <tableColumn id="10028" xr3:uid="{6AAB9B31-34E8-4DBB-8B62-7242CA545A98}" name="Column10028"/>
    <tableColumn id="10029" xr3:uid="{0920BDA0-E776-43E5-82DD-54008140B7B5}" name="Column10029"/>
    <tableColumn id="10030" xr3:uid="{B3937884-B336-4481-9321-36E31CCF2E6A}" name="Column10030"/>
    <tableColumn id="10031" xr3:uid="{2E3FFDB7-2AC5-409D-8E91-89D1CA27D438}" name="Column10031"/>
    <tableColumn id="10032" xr3:uid="{09D3FCC4-BA8C-40A6-98B9-902FE75910EC}" name="Column10032"/>
    <tableColumn id="10033" xr3:uid="{0144F7A5-67EF-4CA0-B4A7-C6EC7440C5C1}" name="Column10033"/>
    <tableColumn id="10034" xr3:uid="{AF2DAD77-F678-4861-B711-9223FF7838E5}" name="Column10034"/>
    <tableColumn id="10035" xr3:uid="{2AC0042A-6B5E-45E2-82AA-E131496F60A6}" name="Column10035"/>
    <tableColumn id="10036" xr3:uid="{ABDD497C-F3E9-44F0-95F4-12ED96FCA4E8}" name="Column10036"/>
    <tableColumn id="10037" xr3:uid="{5BC0577A-A164-486F-BEAD-8B084E0070F7}" name="Column10037"/>
    <tableColumn id="10038" xr3:uid="{736F1C49-DD99-49D2-BCAB-1E16A5E96801}" name="Column10038"/>
    <tableColumn id="10039" xr3:uid="{23D25BB4-E03D-42CF-81C2-63A803CBCEAC}" name="Column10039"/>
    <tableColumn id="10040" xr3:uid="{03B42E9E-84A9-4F43-9771-983DDDE7E619}" name="Column10040"/>
    <tableColumn id="10041" xr3:uid="{78ED402C-A0CE-4CEC-8B4A-A1B9740FC3A4}" name="Column10041"/>
    <tableColumn id="10042" xr3:uid="{C024D612-3D1C-4D4F-8DC6-B59C7F452F01}" name="Column10042"/>
    <tableColumn id="10043" xr3:uid="{732BEE3A-C7A8-474F-A36F-ED1B9E12E8EF}" name="Column10043"/>
    <tableColumn id="10044" xr3:uid="{D085CEA5-E21A-4D03-A311-8A217CC67C1C}" name="Column10044"/>
    <tableColumn id="10045" xr3:uid="{528D1E76-030A-46CA-AFCA-3A3B6E0E48E7}" name="Column10045"/>
    <tableColumn id="10046" xr3:uid="{A3D5E11C-85FA-4C0D-913B-154A3DC8DFFC}" name="Column10046"/>
    <tableColumn id="10047" xr3:uid="{411AECE5-BB8A-4BEA-A234-FC1D964C187C}" name="Column10047"/>
    <tableColumn id="10048" xr3:uid="{F7F05174-8229-4908-BEA4-4C57298F9DF1}" name="Column10048"/>
    <tableColumn id="10049" xr3:uid="{5233BB03-2FB8-4153-A444-2CE6333AB1D1}" name="Column10049"/>
    <tableColumn id="10050" xr3:uid="{4D7A48C1-515C-4C7C-80A3-DD2A06C4BFC7}" name="Column10050"/>
    <tableColumn id="10051" xr3:uid="{D4C2E159-E00E-4E32-AA81-E15D2253375C}" name="Column10051"/>
    <tableColumn id="10052" xr3:uid="{35868F25-E002-41F6-A70B-CF99281FFD07}" name="Column10052"/>
    <tableColumn id="10053" xr3:uid="{C46D242E-BF82-4F33-B4EC-208678E243B5}" name="Column10053"/>
    <tableColumn id="10054" xr3:uid="{0AC4AF10-DDF8-46FE-8AD0-9AF2AEA82EBC}" name="Column10054"/>
    <tableColumn id="10055" xr3:uid="{1B0EC129-1237-4224-855D-953D4F5BE1DF}" name="Column10055"/>
    <tableColumn id="10056" xr3:uid="{6AE388DD-8BDC-45F2-9813-E14C58FF3C6C}" name="Column10056"/>
    <tableColumn id="10057" xr3:uid="{32E897E0-8B81-41B4-A61D-A5A7337BE2C7}" name="Column10057"/>
    <tableColumn id="10058" xr3:uid="{C49D5330-27B8-484F-8A0F-AD204A453316}" name="Column10058"/>
    <tableColumn id="10059" xr3:uid="{55B29B01-2869-4871-9587-43A62E3676BA}" name="Column10059"/>
    <tableColumn id="10060" xr3:uid="{D87D335F-F028-457A-9F1E-23AAE4FE42E8}" name="Column10060"/>
    <tableColumn id="10061" xr3:uid="{DFBA6964-E8DA-4D79-801C-62ABCE2E7EED}" name="Column10061"/>
    <tableColumn id="10062" xr3:uid="{366BDA43-A569-4F7A-AC17-572145BFC423}" name="Column10062"/>
    <tableColumn id="10063" xr3:uid="{E8FBFF30-78E5-465B-B482-002B7795E633}" name="Column10063"/>
    <tableColumn id="10064" xr3:uid="{C1576BFB-41B2-458A-ACCA-7D3BF27303F0}" name="Column10064"/>
    <tableColumn id="10065" xr3:uid="{8A760AD0-3690-4D6D-8903-21B9F3EAD750}" name="Column10065"/>
    <tableColumn id="10066" xr3:uid="{D26DDC58-BEB9-46C4-A368-F87C548B1C5C}" name="Column10066"/>
    <tableColumn id="10067" xr3:uid="{D022C9EA-1E6A-4936-81C6-359239666D42}" name="Column10067"/>
    <tableColumn id="10068" xr3:uid="{F25D0FF1-0534-4ADB-8DE8-E7B6E3C37648}" name="Column10068"/>
    <tableColumn id="10069" xr3:uid="{A5BE3DCC-B9D1-415A-ACE3-F0BE2D87FA0D}" name="Column10069"/>
    <tableColumn id="10070" xr3:uid="{994F04FE-29B5-44B7-A0C8-E2FAC11A2DE3}" name="Column10070"/>
    <tableColumn id="10071" xr3:uid="{DB888B6E-67EC-4A80-8FE1-D62CB5367749}" name="Column10071"/>
    <tableColumn id="10072" xr3:uid="{402F373A-DF29-474E-A6EB-9494001A86ED}" name="Column10072"/>
    <tableColumn id="10073" xr3:uid="{2A2D2B4F-5ED4-451A-9828-49B370ACF408}" name="Column10073"/>
    <tableColumn id="10074" xr3:uid="{9379C9E2-01B0-4889-91E5-9DD2F2EEB2D1}" name="Column10074"/>
    <tableColumn id="10075" xr3:uid="{F2B08AB7-BE71-42D1-ABE9-C68638C66273}" name="Column10075"/>
    <tableColumn id="10076" xr3:uid="{B2A77792-515F-4C65-9F5F-348947F116B4}" name="Column10076"/>
    <tableColumn id="10077" xr3:uid="{C5ADD3D4-AD91-435D-A578-BAD8CDCCA13C}" name="Column10077"/>
    <tableColumn id="10078" xr3:uid="{E3F3A9D0-A35D-48E0-845B-6C27A12A67B7}" name="Column10078"/>
    <tableColumn id="10079" xr3:uid="{285A4382-61C1-4AEC-9C64-7201B170B6A4}" name="Column10079"/>
    <tableColumn id="10080" xr3:uid="{A22BDE34-0AA6-4C96-8E49-3EC999A4737C}" name="Column10080"/>
    <tableColumn id="10081" xr3:uid="{7A53FE4B-1BD7-4CC6-B62B-5B86AB1DA4B8}" name="Column10081"/>
    <tableColumn id="10082" xr3:uid="{F1358402-5790-4FEA-9FA4-58C996BB27CF}" name="Column10082"/>
    <tableColumn id="10083" xr3:uid="{C4DD1655-8D15-4F7A-8998-6FAB53D34F9C}" name="Column10083"/>
    <tableColumn id="10084" xr3:uid="{2CBA116C-E99C-4F8F-8971-E4F34716BA04}" name="Column10084"/>
    <tableColumn id="10085" xr3:uid="{48345D0F-4943-4900-878D-B1E5B304C467}" name="Column10085"/>
    <tableColumn id="10086" xr3:uid="{CAE53506-F5EB-4977-A152-EA1C1851D7D7}" name="Column10086"/>
    <tableColumn id="10087" xr3:uid="{28FD29F7-791E-40E6-B9BB-C3E469AD1B1B}" name="Column10087"/>
    <tableColumn id="10088" xr3:uid="{28EB5A6F-8F50-42E2-90F8-A50C2A81C42A}" name="Column10088"/>
    <tableColumn id="10089" xr3:uid="{72701434-2EF6-42D7-A825-41DC528B4D39}" name="Column10089"/>
    <tableColumn id="10090" xr3:uid="{97AFB6ED-93CF-42EB-A68A-AD5652ED3092}" name="Column10090"/>
    <tableColumn id="10091" xr3:uid="{C6A7559A-0DB3-4AD3-8F9C-F558D43ADFB7}" name="Column10091"/>
    <tableColumn id="10092" xr3:uid="{19C38426-898B-4C83-8597-9FD9D55DC42E}" name="Column10092"/>
    <tableColumn id="10093" xr3:uid="{FF4C94C1-220E-4FE4-ADB4-76E5A6EEBF23}" name="Column10093"/>
    <tableColumn id="10094" xr3:uid="{01DCF3BF-CA49-4534-9003-B3DE2545926E}" name="Column10094"/>
    <tableColumn id="10095" xr3:uid="{503087D4-38F9-4742-8844-53F5FFD1F064}" name="Column10095"/>
    <tableColumn id="10096" xr3:uid="{4A3A0667-30E2-43DF-91D2-CFCCAFFB3CF0}" name="Column10096"/>
    <tableColumn id="10097" xr3:uid="{F4818B28-1922-46CC-9647-1A6E782BB8A5}" name="Column10097"/>
    <tableColumn id="10098" xr3:uid="{E81CD3C6-ECD4-4073-87CC-CD92E11FE5CE}" name="Column10098"/>
    <tableColumn id="10099" xr3:uid="{726BC2D7-5CC7-4C01-A223-46E79CD72093}" name="Column10099"/>
    <tableColumn id="10100" xr3:uid="{22C32F9B-0DCF-41BA-9A8B-220A9C4BF476}" name="Column10100"/>
    <tableColumn id="10101" xr3:uid="{473D94A1-596E-4EDF-8CC8-0CD6122589BB}" name="Column10101"/>
    <tableColumn id="10102" xr3:uid="{BED98D2B-A98E-4B71-9977-D082B13E432F}" name="Column10102"/>
    <tableColumn id="10103" xr3:uid="{7B3EDFF0-AF2F-4D5D-ADA1-D2F29B0FEB77}" name="Column10103"/>
    <tableColumn id="10104" xr3:uid="{44DB0701-2195-4D2B-8927-E8E977FB9D5A}" name="Column10104"/>
    <tableColumn id="10105" xr3:uid="{C2600D0A-690B-49AB-AAF5-846EBECC625D}" name="Column10105"/>
    <tableColumn id="10106" xr3:uid="{3A6422F7-21D4-45FC-946F-8A74336CC28E}" name="Column10106"/>
    <tableColumn id="10107" xr3:uid="{1EB0310F-F527-4AA7-BF7C-F3C01CE97601}" name="Column10107"/>
    <tableColumn id="10108" xr3:uid="{D7C41EF0-7F9D-4211-8B08-D60EF67CCD07}" name="Column10108"/>
    <tableColumn id="10109" xr3:uid="{0E8B7243-B213-41CA-9D7B-CFA789683344}" name="Column10109"/>
    <tableColumn id="10110" xr3:uid="{FB9F72A8-7711-4A80-A042-1FE2729D3B9E}" name="Column10110"/>
    <tableColumn id="10111" xr3:uid="{323A90C4-8ED9-4595-8BDB-E011CFF08576}" name="Column10111"/>
    <tableColumn id="10112" xr3:uid="{B9382E3C-67F1-478B-9F45-E87230BF6025}" name="Column10112"/>
    <tableColumn id="10113" xr3:uid="{379E915D-F5EA-4FCF-AAB8-386044627A1C}" name="Column10113"/>
    <tableColumn id="10114" xr3:uid="{61C8BB19-CB64-4C72-BD70-F5CCB4F3D1DF}" name="Column10114"/>
    <tableColumn id="10115" xr3:uid="{2D6ADC09-2727-4FBE-940B-4D7E8D88A99F}" name="Column10115"/>
    <tableColumn id="10116" xr3:uid="{DE5BEA66-7B39-49EC-AF49-3DED95D294DD}" name="Column10116"/>
    <tableColumn id="10117" xr3:uid="{6C5FA00A-1FAF-40AC-8E6B-6BFC53986958}" name="Column10117"/>
    <tableColumn id="10118" xr3:uid="{DDC9FEF2-E3B3-46E1-9B41-E88840E5355F}" name="Column10118"/>
    <tableColumn id="10119" xr3:uid="{BB0AC391-7367-4807-A54E-8FD64BA90C41}" name="Column10119"/>
    <tableColumn id="10120" xr3:uid="{3F99EF39-24FA-4612-A869-FB9923540A5E}" name="Column10120"/>
    <tableColumn id="10121" xr3:uid="{E3327B70-C56C-4B41-8F41-5E28E9753196}" name="Column10121"/>
    <tableColumn id="10122" xr3:uid="{1D30D764-9E04-4CFF-A7F5-3ADC171F8767}" name="Column10122"/>
    <tableColumn id="10123" xr3:uid="{FE1ECB36-250B-445C-8EE3-8715907733B8}" name="Column10123"/>
    <tableColumn id="10124" xr3:uid="{C78F4F5F-508E-4B08-A4C4-38BD23703E0A}" name="Column10124"/>
    <tableColumn id="10125" xr3:uid="{F0C183F6-8CDE-4831-AAFE-9521FB224F81}" name="Column10125"/>
    <tableColumn id="10126" xr3:uid="{B28C899C-C8AA-4FB7-B784-7074BDFAAE42}" name="Column10126"/>
    <tableColumn id="10127" xr3:uid="{CC691D0E-3553-4B88-ABE5-11873E8F8EDB}" name="Column10127"/>
    <tableColumn id="10128" xr3:uid="{AD0DA8E6-84BC-462A-AA53-B790AF75AA67}" name="Column10128"/>
    <tableColumn id="10129" xr3:uid="{043AE498-6835-4094-BF12-F3AA91DB2964}" name="Column10129"/>
    <tableColumn id="10130" xr3:uid="{A8FC4BD3-3B75-4D1F-A434-55613482C5EA}" name="Column10130"/>
    <tableColumn id="10131" xr3:uid="{9DD3435F-75D8-444E-814C-531A458B4A98}" name="Column10131"/>
    <tableColumn id="10132" xr3:uid="{956778F3-5C4A-4FDF-8691-51E35E2E6320}" name="Column10132"/>
    <tableColumn id="10133" xr3:uid="{9BB15511-BEC7-4E4F-8809-4B0F0848136C}" name="Column10133"/>
    <tableColumn id="10134" xr3:uid="{BAD0A085-595B-43F1-AE5A-F0AE5A797FAE}" name="Column10134"/>
    <tableColumn id="10135" xr3:uid="{3C4C9850-7DCC-496B-AF2C-57CA698A730A}" name="Column10135"/>
    <tableColumn id="10136" xr3:uid="{DE003769-BB64-4E6E-97EE-8A1E11A5B7C2}" name="Column10136"/>
    <tableColumn id="10137" xr3:uid="{684EA88A-33F0-435A-8DE9-3A38C762ADAB}" name="Column10137"/>
    <tableColumn id="10138" xr3:uid="{7480A088-472B-4874-B29F-BEE92FDDDFD6}" name="Column10138"/>
    <tableColumn id="10139" xr3:uid="{219E63DB-0D22-4952-9417-5458067EF8D5}" name="Column10139"/>
    <tableColumn id="10140" xr3:uid="{B5BCD913-648C-4D19-AF20-A4F9F93BCDBA}" name="Column10140"/>
    <tableColumn id="10141" xr3:uid="{F1C3EDC1-3BB1-4739-99D4-FEDCDBA4470F}" name="Column10141"/>
    <tableColumn id="10142" xr3:uid="{A0AB8A38-F29F-4A3A-83A0-C49AAC688071}" name="Column10142"/>
    <tableColumn id="10143" xr3:uid="{2534FCBB-FE18-4BB9-8801-875284E7D3E4}" name="Column10143"/>
    <tableColumn id="10144" xr3:uid="{31B2FE0E-6713-4382-B9B9-FABBC5CA9A94}" name="Column10144"/>
    <tableColumn id="10145" xr3:uid="{1AFF72DF-2431-4A37-9D1F-ABC7FBDE5084}" name="Column10145"/>
    <tableColumn id="10146" xr3:uid="{25C504F8-33EE-4363-8B2E-41C9EF649B48}" name="Column10146"/>
    <tableColumn id="10147" xr3:uid="{F9756842-6515-4221-972E-C6008F7F358C}" name="Column10147"/>
    <tableColumn id="10148" xr3:uid="{63AAB818-CC11-44D8-9BF9-73F6F1379586}" name="Column10148"/>
    <tableColumn id="10149" xr3:uid="{FEA513C8-D949-4C55-88FA-9FAE28EBDE1C}" name="Column10149"/>
    <tableColumn id="10150" xr3:uid="{B88A785B-4734-4121-8615-9010268FFAEB}" name="Column10150"/>
    <tableColumn id="10151" xr3:uid="{98FFD965-3AF7-455D-B957-102892F2680C}" name="Column10151"/>
    <tableColumn id="10152" xr3:uid="{D316E614-C629-4415-9E4F-A0578D944133}" name="Column10152"/>
    <tableColumn id="10153" xr3:uid="{060867A6-4A71-4C31-83BD-8146CB914BC2}" name="Column10153"/>
    <tableColumn id="10154" xr3:uid="{A7949B7A-6C88-4568-AAF6-299B3E218318}" name="Column10154"/>
    <tableColumn id="10155" xr3:uid="{9C87D21A-9CBC-4A01-B07B-F4193BF85CD7}" name="Column10155"/>
    <tableColumn id="10156" xr3:uid="{4C2736AB-4012-433F-BBEA-6A40AC005AE5}" name="Column10156"/>
    <tableColumn id="10157" xr3:uid="{B03ACD60-2FDB-4B82-9CAE-917707761A45}" name="Column10157"/>
    <tableColumn id="10158" xr3:uid="{6728E856-5077-4D4C-A13C-AA4C46F496D9}" name="Column10158"/>
    <tableColumn id="10159" xr3:uid="{D683068E-0960-467B-9403-66CDF3FFA330}" name="Column10159"/>
    <tableColumn id="10160" xr3:uid="{4C6ECB00-A622-400D-913A-7C92D214778B}" name="Column10160"/>
    <tableColumn id="10161" xr3:uid="{03B559FA-8D55-4D18-BA59-C8D489D47A1B}" name="Column10161"/>
    <tableColumn id="10162" xr3:uid="{D7739116-7C94-41D5-9803-EEF5216009A0}" name="Column10162"/>
    <tableColumn id="10163" xr3:uid="{2121CF4C-41B2-406F-8A54-3DC3AE392870}" name="Column10163"/>
    <tableColumn id="10164" xr3:uid="{57E2A4EF-F3DC-4CA3-A02F-5E0047D5984B}" name="Column10164"/>
    <tableColumn id="10165" xr3:uid="{6C3239EE-BC00-4C05-8E2A-8D8AEBB9ADCA}" name="Column10165"/>
    <tableColumn id="10166" xr3:uid="{EB9E1356-D946-4CB5-9EC1-A63D13AC0841}" name="Column10166"/>
    <tableColumn id="10167" xr3:uid="{BE7AB970-A1BD-4E60-82E6-1CB9D27C4F4A}" name="Column10167"/>
    <tableColumn id="10168" xr3:uid="{7D36E5EE-9002-4174-B142-20AD26512127}" name="Column10168"/>
    <tableColumn id="10169" xr3:uid="{88C9A9F4-56D0-4209-BCA4-6CBC760BF5FC}" name="Column10169"/>
    <tableColumn id="10170" xr3:uid="{11641A3A-E98B-40CF-B837-45B8EBD474F0}" name="Column10170"/>
    <tableColumn id="10171" xr3:uid="{CDCB3750-68EF-4D53-80A2-4BFF431938E8}" name="Column10171"/>
    <tableColumn id="10172" xr3:uid="{0320C596-6661-4C5E-BF8F-7CD392C63D47}" name="Column10172"/>
    <tableColumn id="10173" xr3:uid="{D3CDD038-4828-4B02-AE5A-17761C66617C}" name="Column10173"/>
    <tableColumn id="10174" xr3:uid="{42B86830-CE0B-4154-A91B-893A82EF1F36}" name="Column10174"/>
    <tableColumn id="10175" xr3:uid="{BB0337AF-5987-4192-A713-CAECCB05E30A}" name="Column10175"/>
    <tableColumn id="10176" xr3:uid="{549C7824-8A1E-4933-B87C-AEEC24CDDF77}" name="Column10176"/>
    <tableColumn id="10177" xr3:uid="{524C3B49-BD1E-4534-AC90-68C8BA8EAF57}" name="Column10177"/>
    <tableColumn id="10178" xr3:uid="{56142377-A277-4A53-80CC-BFBD69CF650A}" name="Column10178"/>
    <tableColumn id="10179" xr3:uid="{9E09D01F-29F9-4059-9FF1-BE3363023D7B}" name="Column10179"/>
    <tableColumn id="10180" xr3:uid="{12DE1DF5-8425-4663-A520-AAEEC287DEF0}" name="Column10180"/>
    <tableColumn id="10181" xr3:uid="{35CD48CE-9FFA-4C69-9F33-8A3147E7C5AC}" name="Column10181"/>
    <tableColumn id="10182" xr3:uid="{951456AA-AF29-4D2E-9DC8-A4A0A8FF9F2C}" name="Column10182"/>
    <tableColumn id="10183" xr3:uid="{CF17D1ED-CA20-4D63-82B9-8F83284B46A3}" name="Column10183"/>
    <tableColumn id="10184" xr3:uid="{59A38E08-D9FC-4787-89F0-00916620E8E7}" name="Column10184"/>
    <tableColumn id="10185" xr3:uid="{DA4AD334-1114-42D0-969A-B6045CF4D6B8}" name="Column10185"/>
    <tableColumn id="10186" xr3:uid="{1F5B686D-6C68-4FD3-8D1F-FC06DAD1DF03}" name="Column10186"/>
    <tableColumn id="10187" xr3:uid="{9DCF8752-8A1F-4B3A-A2EC-5C533FC84BF9}" name="Column10187"/>
    <tableColumn id="10188" xr3:uid="{D8523708-060B-4DA7-8CF2-7304FE380495}" name="Column10188"/>
    <tableColumn id="10189" xr3:uid="{BB5AA2FB-E020-4222-B8BE-C1183375F1DD}" name="Column10189"/>
    <tableColumn id="10190" xr3:uid="{98610E3F-7B01-4D11-A20C-8675D2FB19E4}" name="Column10190"/>
    <tableColumn id="10191" xr3:uid="{C1699747-7389-4069-9461-6EECB78E95A8}" name="Column10191"/>
    <tableColumn id="10192" xr3:uid="{297B90FA-E05C-4936-A65F-9EBF5C446F23}" name="Column10192"/>
    <tableColumn id="10193" xr3:uid="{589D4434-94A1-45F9-A3A3-2EFDF540B1D0}" name="Column10193"/>
    <tableColumn id="10194" xr3:uid="{F172370C-4403-4B3D-AF4E-21A79EC9CF9D}" name="Column10194"/>
    <tableColumn id="10195" xr3:uid="{A6C946DD-6D78-4875-8C34-96C46077E152}" name="Column10195"/>
    <tableColumn id="10196" xr3:uid="{90C5A041-6236-4F55-8F0F-A2F3CAA85D20}" name="Column10196"/>
    <tableColumn id="10197" xr3:uid="{885E5B52-492B-42D0-B399-B72AAE71278D}" name="Column10197"/>
    <tableColumn id="10198" xr3:uid="{8FCDF5FB-E6D9-454E-BEDA-A0EDCFEAD223}" name="Column10198"/>
    <tableColumn id="10199" xr3:uid="{E3D79DEB-1FDC-48CF-951E-C3D6BDA1418D}" name="Column10199"/>
    <tableColumn id="10200" xr3:uid="{7219D612-209D-4873-86B2-BE07CB51006F}" name="Column10200"/>
    <tableColumn id="10201" xr3:uid="{5594DDDE-6AC1-42A9-A8D6-047CC5B6FF0C}" name="Column10201"/>
    <tableColumn id="10202" xr3:uid="{596C5DA0-7A4F-4275-9707-B7AB701A1B0C}" name="Column10202"/>
    <tableColumn id="10203" xr3:uid="{E92CB67C-9E17-4363-B8F5-6362F148529A}" name="Column10203"/>
    <tableColumn id="10204" xr3:uid="{34E92BDA-6DA0-43BD-A850-72224E9B28FE}" name="Column10204"/>
    <tableColumn id="10205" xr3:uid="{B3D99360-4D2C-4892-88CA-32080E5A1340}" name="Column10205"/>
    <tableColumn id="10206" xr3:uid="{C0F1EE50-4542-41DA-9DD8-63134A044FB4}" name="Column10206"/>
    <tableColumn id="10207" xr3:uid="{46067310-D268-416E-90DB-4D5E95A2DAC1}" name="Column10207"/>
    <tableColumn id="10208" xr3:uid="{06EE1257-08C6-4AC4-82B1-566E47A12CEB}" name="Column10208"/>
    <tableColumn id="10209" xr3:uid="{3F3CB706-06D4-492B-AFED-2699D6794488}" name="Column10209"/>
    <tableColumn id="10210" xr3:uid="{47DF11B1-9CA9-4B00-AF62-10E68FB486F3}" name="Column10210"/>
    <tableColumn id="10211" xr3:uid="{5A6237D4-6A26-4A78-999A-F4FD71A8C2DC}" name="Column10211"/>
    <tableColumn id="10212" xr3:uid="{CEF7F202-4E32-40DE-9D91-E2682C471203}" name="Column10212"/>
    <tableColumn id="10213" xr3:uid="{154114B5-1042-4AF0-91D8-98517288CA01}" name="Column10213"/>
    <tableColumn id="10214" xr3:uid="{3A47F371-1DDC-40AF-9F5C-E34131C43160}" name="Column10214"/>
    <tableColumn id="10215" xr3:uid="{9456DB22-5610-46A7-AA8B-9EDFDD50111B}" name="Column10215"/>
    <tableColumn id="10216" xr3:uid="{B7CC394F-EED1-43EC-96E4-981464142ADE}" name="Column10216"/>
    <tableColumn id="10217" xr3:uid="{56D8FAB8-7148-47B2-801E-6D8DFEEE8BA8}" name="Column10217"/>
    <tableColumn id="10218" xr3:uid="{C43A71C5-4224-4206-8635-08021066B5F9}" name="Column10218"/>
    <tableColumn id="10219" xr3:uid="{B4C7275C-EED8-4CD9-8F67-B50AD382BADB}" name="Column10219"/>
    <tableColumn id="10220" xr3:uid="{D59E7947-1723-4E89-9A79-522DB7EEBACF}" name="Column10220"/>
    <tableColumn id="10221" xr3:uid="{E8E13F28-0573-4E3F-B24C-C413F81F31E3}" name="Column10221"/>
    <tableColumn id="10222" xr3:uid="{BA89B300-25EB-40DA-B621-AC876180A4ED}" name="Column10222"/>
    <tableColumn id="10223" xr3:uid="{2F77E07B-0A8D-407F-B84B-AB155D239B40}" name="Column10223"/>
    <tableColumn id="10224" xr3:uid="{974ACA2C-058A-4732-913B-6AF923C1624D}" name="Column10224"/>
    <tableColumn id="10225" xr3:uid="{F5445484-0544-4561-90BC-AA6BB3A6A382}" name="Column10225"/>
    <tableColumn id="10226" xr3:uid="{C70E0F12-3E71-44A0-A9D4-E351B04072BC}" name="Column10226"/>
    <tableColumn id="10227" xr3:uid="{2EEDF0C0-EFE9-4CD3-93A1-B40D76D46449}" name="Column10227"/>
    <tableColumn id="10228" xr3:uid="{EE2A46CC-F2A0-49C2-9F89-41E59E7C7F23}" name="Column10228"/>
    <tableColumn id="10229" xr3:uid="{45FF5AEF-226F-432F-ACCF-EA0D6B8014CC}" name="Column10229"/>
    <tableColumn id="10230" xr3:uid="{C24635B7-CFA4-4690-AF74-D6288A114508}" name="Column10230"/>
    <tableColumn id="10231" xr3:uid="{C5644ED3-E086-4BBD-849E-1ECA4EA4CE4E}" name="Column10231"/>
    <tableColumn id="10232" xr3:uid="{01760095-5A5E-43A1-ADAF-E43882D8146D}" name="Column10232"/>
    <tableColumn id="10233" xr3:uid="{5036920F-ECBC-4635-96C1-9102A9788E16}" name="Column10233"/>
    <tableColumn id="10234" xr3:uid="{CBDD2344-B185-4BFD-8C73-1A7A4EA3553E}" name="Column10234"/>
    <tableColumn id="10235" xr3:uid="{8B4C0351-CD8A-4E3D-975C-8B1D916A39F6}" name="Column10235"/>
    <tableColumn id="10236" xr3:uid="{29780A9A-DA0D-4721-B88E-30B7DDDC4FC0}" name="Column10236"/>
    <tableColumn id="10237" xr3:uid="{A7649F64-7043-4A47-8078-BB0F77FF148B}" name="Column10237"/>
    <tableColumn id="10238" xr3:uid="{D513532E-7689-43A5-A02D-19D67C0D46FB}" name="Column10238"/>
    <tableColumn id="10239" xr3:uid="{8FDA0F4C-1CA1-4496-9C90-8062748471AF}" name="Column10239"/>
    <tableColumn id="10240" xr3:uid="{11C228FB-8FE7-4D71-A385-864FA50D8B99}" name="Column10240"/>
    <tableColumn id="10241" xr3:uid="{614E6E47-DB4D-4028-B15E-44315133EEC8}" name="Column10241"/>
    <tableColumn id="10242" xr3:uid="{37B179F4-CFB5-4945-A8DD-443F71542948}" name="Column10242"/>
    <tableColumn id="10243" xr3:uid="{05475C69-7A01-4FE3-A774-597D2E1D05C8}" name="Column10243"/>
    <tableColumn id="10244" xr3:uid="{2E8BA71A-ABE3-4BC8-A981-F886FCFBAB56}" name="Column10244"/>
    <tableColumn id="10245" xr3:uid="{BA7CE064-3B64-4C52-9B5D-06A17DAB026C}" name="Column10245"/>
    <tableColumn id="10246" xr3:uid="{0CE2C85B-2769-45A1-B57D-48D4891CBC3F}" name="Column10246"/>
    <tableColumn id="10247" xr3:uid="{A9B2E4D6-027E-4044-BA73-6F11E4951047}" name="Column10247"/>
    <tableColumn id="10248" xr3:uid="{FB4F2E4A-9794-42A2-9713-3E4492DB6633}" name="Column10248"/>
    <tableColumn id="10249" xr3:uid="{BA4A4099-1816-46B1-BFCD-490D4DC90F9F}" name="Column10249"/>
    <tableColumn id="10250" xr3:uid="{9611DB1F-045B-48A8-9864-D4C63E12A714}" name="Column10250"/>
    <tableColumn id="10251" xr3:uid="{B9EB10F3-6A48-4747-8BD8-8DA43A52FFCB}" name="Column10251"/>
    <tableColumn id="10252" xr3:uid="{F07E4263-DBF6-4719-B6D9-F01C29475F67}" name="Column10252"/>
    <tableColumn id="10253" xr3:uid="{8DF29393-F46C-4C52-ADD1-CC554E8ECFBB}" name="Column10253"/>
    <tableColumn id="10254" xr3:uid="{C877BA49-6D66-45A5-9EF5-8293CB6CFD8C}" name="Column10254"/>
    <tableColumn id="10255" xr3:uid="{27E73118-FD5C-4CED-82BA-27CB758A9C89}" name="Column10255"/>
    <tableColumn id="10256" xr3:uid="{3699F3B6-DEA4-4E0B-8816-7FC3D161E286}" name="Column10256"/>
    <tableColumn id="10257" xr3:uid="{A8F56D77-EB00-4E48-AA30-4BCC5D702B76}" name="Column10257"/>
    <tableColumn id="10258" xr3:uid="{DBA06C69-EAAB-4FC8-B95F-9C62D5D5BA52}" name="Column10258"/>
    <tableColumn id="10259" xr3:uid="{877C545C-9F73-4DDC-B53B-11EF75971CC1}" name="Column10259"/>
    <tableColumn id="10260" xr3:uid="{2B758494-28E6-4CB2-9AF3-09AB4AF0492B}" name="Column10260"/>
    <tableColumn id="10261" xr3:uid="{A00232EB-FBA4-4A8C-8A8C-FF8225DFDC40}" name="Column10261"/>
    <tableColumn id="10262" xr3:uid="{575FFA82-E45B-48B3-B2FA-7C260050B034}" name="Column10262"/>
    <tableColumn id="10263" xr3:uid="{2856C6AD-FABD-459A-BB14-C6144AE3BD95}" name="Column10263"/>
    <tableColumn id="10264" xr3:uid="{AD2BBE2B-B7EB-4C61-A42E-E9D0A5D28A1E}" name="Column10264"/>
    <tableColumn id="10265" xr3:uid="{BEF87016-D915-40B1-8F0C-724765AA072B}" name="Column10265"/>
    <tableColumn id="10266" xr3:uid="{C3D9A0FC-213E-4ED1-98DA-25D120AFA719}" name="Column10266"/>
    <tableColumn id="10267" xr3:uid="{041F095E-3A8E-435F-AD16-A7D9246253B0}" name="Column10267"/>
    <tableColumn id="10268" xr3:uid="{4F7A6273-97DF-4C5C-83EC-C4AFF34C032B}" name="Column10268"/>
    <tableColumn id="10269" xr3:uid="{E0DEEAEB-A220-444A-BA94-835D48A62F26}" name="Column10269"/>
    <tableColumn id="10270" xr3:uid="{E7696FEC-8918-4296-95CA-FC56CF6EF759}" name="Column10270"/>
    <tableColumn id="10271" xr3:uid="{BB165C8F-A0D0-4B27-80B6-3179667FFE44}" name="Column10271"/>
    <tableColumn id="10272" xr3:uid="{FFA9A8B0-1932-47B4-A21D-0D2BA0097AC3}" name="Column10272"/>
    <tableColumn id="10273" xr3:uid="{121A1EF4-994D-4F8F-975F-FE2834580DC7}" name="Column10273"/>
    <tableColumn id="10274" xr3:uid="{F9B55822-66ED-49CD-AB8C-D9F6C367DC70}" name="Column10274"/>
    <tableColumn id="10275" xr3:uid="{5C10F80E-D445-4AA6-AFF0-56FA843E8413}" name="Column10275"/>
    <tableColumn id="10276" xr3:uid="{883A40BE-899D-47E6-85FC-364F65504C1E}" name="Column10276"/>
    <tableColumn id="10277" xr3:uid="{EB39408B-96EF-4E35-9792-3491CECB3508}" name="Column10277"/>
    <tableColumn id="10278" xr3:uid="{4864AD2B-521E-432A-A5E3-236B86647FF9}" name="Column10278"/>
    <tableColumn id="10279" xr3:uid="{864FA86D-32F8-467D-ADAE-A02C4853A7B1}" name="Column10279"/>
    <tableColumn id="10280" xr3:uid="{1BAFB0EF-9C31-4556-B0C7-F57681F4AE00}" name="Column10280"/>
    <tableColumn id="10281" xr3:uid="{F296529B-00F5-42AB-A374-D5B0B83CC85C}" name="Column10281"/>
    <tableColumn id="10282" xr3:uid="{16BD4EAB-3AB8-419A-B311-4BF8B9A59388}" name="Column10282"/>
    <tableColumn id="10283" xr3:uid="{753334D7-989B-49FC-8D38-B961E221B78E}" name="Column10283"/>
    <tableColumn id="10284" xr3:uid="{232966B5-6436-4F55-B2F2-FA5EEAFB4E19}" name="Column10284"/>
    <tableColumn id="10285" xr3:uid="{06BDA5FA-3600-4421-B7A3-924A01DCE239}" name="Column10285"/>
    <tableColumn id="10286" xr3:uid="{2163FCF3-DEB0-44A1-BC53-B59819790940}" name="Column10286"/>
    <tableColumn id="10287" xr3:uid="{2CFDF07E-90D6-4C53-A684-539DCA49360F}" name="Column10287"/>
    <tableColumn id="10288" xr3:uid="{CC8333E6-4BC7-4A90-A4D5-45A13D4C4238}" name="Column10288"/>
    <tableColumn id="10289" xr3:uid="{26285485-C695-44B1-A19D-319975D8826D}" name="Column10289"/>
    <tableColumn id="10290" xr3:uid="{98EE94C1-E605-4BB2-8428-EA867C015EBA}" name="Column10290"/>
    <tableColumn id="10291" xr3:uid="{2EF7584C-07C4-4707-84B0-B9355C2C583C}" name="Column10291"/>
    <tableColumn id="10292" xr3:uid="{27E3494E-9EEB-418F-934D-7D12D51C039F}" name="Column10292"/>
    <tableColumn id="10293" xr3:uid="{8A2A9994-895E-4579-BBB2-DF26C2E52806}" name="Column10293"/>
    <tableColumn id="10294" xr3:uid="{A712A9DA-6A69-4BC1-9343-B63EFFC3E74E}" name="Column10294"/>
    <tableColumn id="10295" xr3:uid="{8DD43E15-C740-4759-9D8C-95C7908208DA}" name="Column10295"/>
    <tableColumn id="10296" xr3:uid="{F973F196-CB74-4169-963F-25B4B147EEF2}" name="Column10296"/>
    <tableColumn id="10297" xr3:uid="{57205891-CD12-464E-A1B1-89D830B32D17}" name="Column10297"/>
    <tableColumn id="10298" xr3:uid="{5C49ADEB-9DDD-4FC3-99D0-F16D1A16C199}" name="Column10298"/>
    <tableColumn id="10299" xr3:uid="{2916253F-C5B9-4CAC-9228-3DB8A17CD42C}" name="Column10299"/>
    <tableColumn id="10300" xr3:uid="{317D5611-1A2E-40A9-8F99-5CC73495A0A4}" name="Column10300"/>
    <tableColumn id="10301" xr3:uid="{7FD00707-D331-4FE2-95B1-3B87AB926BB6}" name="Column10301"/>
    <tableColumn id="10302" xr3:uid="{DD2A2D97-A132-44FE-8E45-7857C2EC7C29}" name="Column10302"/>
    <tableColumn id="10303" xr3:uid="{71F337D1-D659-46D6-831A-9CA0EA0B2A4C}" name="Column10303"/>
    <tableColumn id="10304" xr3:uid="{D0FA4932-4A86-45B3-B575-580D49D29CB1}" name="Column10304"/>
    <tableColumn id="10305" xr3:uid="{8681C21F-00E3-4849-8018-17C9BFA94EB2}" name="Column10305"/>
    <tableColumn id="10306" xr3:uid="{65F4387D-5FFD-49C2-A341-2DAD40825913}" name="Column10306"/>
    <tableColumn id="10307" xr3:uid="{22AB32A7-A163-4ED8-ABF9-A2724F4B50AB}" name="Column10307"/>
    <tableColumn id="10308" xr3:uid="{B1237E3D-FE0C-471B-BF55-CF35817A8D31}" name="Column10308"/>
    <tableColumn id="10309" xr3:uid="{01EB4425-E870-4C14-A2E0-421A17FE1B12}" name="Column10309"/>
    <tableColumn id="10310" xr3:uid="{5E1C09C7-8029-4769-ADBB-4B39EE55299F}" name="Column10310"/>
    <tableColumn id="10311" xr3:uid="{E873D29A-FEF5-4186-96C2-E95E1759C431}" name="Column10311"/>
    <tableColumn id="10312" xr3:uid="{FB41E12F-CE4D-4977-89D2-53D3C8035CBD}" name="Column10312"/>
    <tableColumn id="10313" xr3:uid="{76EA3ABF-E218-4310-B7F0-F6B240D8AAFD}" name="Column10313"/>
    <tableColumn id="10314" xr3:uid="{17722B34-78B9-41C8-A3D2-387CEF7FAEA7}" name="Column10314"/>
    <tableColumn id="10315" xr3:uid="{D667C4D9-C90F-4E7C-AB6F-197F3EB78768}" name="Column10315"/>
    <tableColumn id="10316" xr3:uid="{4CF5B9D6-33E9-4DE0-A367-B893FE9DCF07}" name="Column10316"/>
    <tableColumn id="10317" xr3:uid="{25182412-C1C0-4EC9-AD3B-ECF2349E875F}" name="Column10317"/>
    <tableColumn id="10318" xr3:uid="{EB8FFCF4-65D4-42CC-8BEE-48F176621B23}" name="Column10318"/>
    <tableColumn id="10319" xr3:uid="{6A9EA718-1F04-4767-8B75-33FFF218AE3E}" name="Column10319"/>
    <tableColumn id="10320" xr3:uid="{741B1721-5236-47F5-B7DD-3B69BCAF8311}" name="Column10320"/>
    <tableColumn id="10321" xr3:uid="{EF51EC56-A4DD-4035-9358-65FE41A79088}" name="Column10321"/>
    <tableColumn id="10322" xr3:uid="{BD36D8D7-A7BD-4861-9BD5-EE64A92CA51B}" name="Column10322"/>
    <tableColumn id="10323" xr3:uid="{708A8DF5-FFA5-475D-9E4F-DFA5B22B70BD}" name="Column10323"/>
    <tableColumn id="10324" xr3:uid="{49042AAC-DBF2-4C64-92BD-4F82DCE81BAD}" name="Column10324"/>
    <tableColumn id="10325" xr3:uid="{35BD75BF-CD57-4318-BFC7-F4BBC37A1BD7}" name="Column10325"/>
    <tableColumn id="10326" xr3:uid="{C16B2490-EFD4-4C5E-8709-ED7E34162A16}" name="Column10326"/>
    <tableColumn id="10327" xr3:uid="{DE4CEE68-A65D-4297-AFB2-97723DBD80C1}" name="Column10327"/>
    <tableColumn id="10328" xr3:uid="{75A5FB20-93F9-44D8-9D46-26B3704D9D98}" name="Column10328"/>
    <tableColumn id="10329" xr3:uid="{9F4832D7-B38B-4015-9B88-1CA4F54B9CEE}" name="Column10329"/>
    <tableColumn id="10330" xr3:uid="{4B63ADB4-911A-46DA-ABAC-F4050FBB0F95}" name="Column10330"/>
    <tableColumn id="10331" xr3:uid="{4E5593BF-F7ED-4F12-85FA-60619BDD0C67}" name="Column10331"/>
    <tableColumn id="10332" xr3:uid="{19148C45-F6D8-4AF4-B9BC-8E2ECFEAEEBC}" name="Column10332"/>
    <tableColumn id="10333" xr3:uid="{C4A1F4FC-93FB-41FE-B891-9E07C87D7900}" name="Column10333"/>
    <tableColumn id="10334" xr3:uid="{E48A1E9D-D3D6-4E54-B82B-AE0C04ED7926}" name="Column10334"/>
    <tableColumn id="10335" xr3:uid="{B2716ECF-9C8B-4AC8-8782-67CE5A07A79F}" name="Column10335"/>
    <tableColumn id="10336" xr3:uid="{37F6E141-AD40-4016-BFED-08718F1A9EB5}" name="Column10336"/>
    <tableColumn id="10337" xr3:uid="{8D080A8B-1B8D-45F9-BC01-80BA754EF3C7}" name="Column10337"/>
    <tableColumn id="10338" xr3:uid="{D6E6116C-9CB5-45B7-AF64-896AA9E68AE8}" name="Column10338"/>
    <tableColumn id="10339" xr3:uid="{B5278675-44D9-461D-9A73-C5115C0A4041}" name="Column10339"/>
    <tableColumn id="10340" xr3:uid="{E3780816-8C8D-498B-80FB-6B74A03C7230}" name="Column10340"/>
    <tableColumn id="10341" xr3:uid="{E845B248-61A4-4E83-B798-62B060E302EE}" name="Column10341"/>
    <tableColumn id="10342" xr3:uid="{3CFA75CF-9297-4215-B5B7-AD20EF0F5CCF}" name="Column10342"/>
    <tableColumn id="10343" xr3:uid="{0C3A9189-2A9B-49FB-B839-35B64E2F8615}" name="Column10343"/>
    <tableColumn id="10344" xr3:uid="{186A59EC-27DF-4939-8164-286D2CD7BD26}" name="Column10344"/>
    <tableColumn id="10345" xr3:uid="{2C8D9E81-48BE-47C6-968F-993CE1AA2031}" name="Column10345"/>
    <tableColumn id="10346" xr3:uid="{E28B1EFE-88EB-47AC-8759-E2F0CF839FBA}" name="Column10346"/>
    <tableColumn id="10347" xr3:uid="{4E2B5F06-95F9-4729-8221-56E7D581F150}" name="Column10347"/>
    <tableColumn id="10348" xr3:uid="{F18ECE10-50B1-4109-A82E-A43A53B77BF3}" name="Column10348"/>
    <tableColumn id="10349" xr3:uid="{6F11AAEA-5218-4958-8C24-D81EE3FA8B9D}" name="Column10349"/>
    <tableColumn id="10350" xr3:uid="{ADBB5E74-1C02-4CD0-B3BF-9E5FA6268075}" name="Column10350"/>
    <tableColumn id="10351" xr3:uid="{0CC6346A-4A15-4B25-BF83-952D9F38ACD8}" name="Column10351"/>
    <tableColumn id="10352" xr3:uid="{F69ED578-0066-4ABE-9A58-14EB545E0929}" name="Column10352"/>
    <tableColumn id="10353" xr3:uid="{1B7CE80E-F562-4824-8E02-859BD40C931B}" name="Column10353"/>
    <tableColumn id="10354" xr3:uid="{CA8134A5-5B7F-4BBB-B0A4-596AB3D6D88D}" name="Column10354"/>
    <tableColumn id="10355" xr3:uid="{86AA0EAE-B16F-4B91-AC6B-B2984762B4BE}" name="Column10355"/>
    <tableColumn id="10356" xr3:uid="{20033842-DDA9-4C6E-910F-A5F63B68F8C4}" name="Column10356"/>
    <tableColumn id="10357" xr3:uid="{3D35B173-55E0-4408-86CD-D02DE3D89E05}" name="Column10357"/>
    <tableColumn id="10358" xr3:uid="{83A6AAB6-DDA8-4304-BEBF-6AE63143CF00}" name="Column10358"/>
    <tableColumn id="10359" xr3:uid="{1AF5D3E5-4EC7-4738-813A-016F13FEE013}" name="Column10359"/>
    <tableColumn id="10360" xr3:uid="{A9A281A0-11B8-43C3-8D8F-4B0E85D4CF97}" name="Column10360"/>
    <tableColumn id="10361" xr3:uid="{348D6B7A-ABA5-412F-AB95-2631F59C5560}" name="Column10361"/>
    <tableColumn id="10362" xr3:uid="{A090CA26-3216-47E9-BF00-8A26A602F538}" name="Column10362"/>
    <tableColumn id="10363" xr3:uid="{44D20FF0-BBB6-4F47-93E7-F52A34C67D76}" name="Column10363"/>
    <tableColumn id="10364" xr3:uid="{3D98D85E-D3B8-4DFE-9645-D536A80C4EBE}" name="Column10364"/>
    <tableColumn id="10365" xr3:uid="{35AC99BF-258F-4885-949E-5F90911E4797}" name="Column10365"/>
    <tableColumn id="10366" xr3:uid="{09383C9F-BC7A-461F-8590-C1C9EF34E8F4}" name="Column10366"/>
    <tableColumn id="10367" xr3:uid="{2819DD32-20BD-4513-9687-898133DC0B00}" name="Column10367"/>
    <tableColumn id="10368" xr3:uid="{BACB7C89-287B-499D-B22D-0DB55F258405}" name="Column10368"/>
    <tableColumn id="10369" xr3:uid="{DA1F3A89-A8B3-41E1-9AD6-00D474E1CF63}" name="Column10369"/>
    <tableColumn id="10370" xr3:uid="{4C6B40EA-899D-45DD-A305-03F583DB0D94}" name="Column10370"/>
    <tableColumn id="10371" xr3:uid="{127CD151-3F55-4E1F-BF3C-3DC08EDAA217}" name="Column10371"/>
    <tableColumn id="10372" xr3:uid="{4089871E-848D-498B-A7BF-8E0431204BDF}" name="Column10372"/>
    <tableColumn id="10373" xr3:uid="{46A39212-A8E4-49F3-B8AA-EA5CF4C5E42C}" name="Column10373"/>
    <tableColumn id="10374" xr3:uid="{81942077-AEA8-4B3B-BCC6-B3DA4B7B4E3A}" name="Column10374"/>
    <tableColumn id="10375" xr3:uid="{51671592-1E33-4A8F-B7B9-086FAFAE4759}" name="Column10375"/>
    <tableColumn id="10376" xr3:uid="{1ECBDCB3-7ECE-47E0-B3C1-11B494424268}" name="Column10376"/>
    <tableColumn id="10377" xr3:uid="{66717ED2-7E22-4D13-AC44-A00A5FC22C74}" name="Column10377"/>
    <tableColumn id="10378" xr3:uid="{579DE8A2-A7D2-4D6C-A202-AB2752759457}" name="Column10378"/>
    <tableColumn id="10379" xr3:uid="{26B9C905-74D5-42DE-AF1B-DE4B69522B50}" name="Column10379"/>
    <tableColumn id="10380" xr3:uid="{3AB19476-5CFE-40D0-86CC-F82BE3A91ACB}" name="Column10380"/>
    <tableColumn id="10381" xr3:uid="{C56C53FA-6E1A-41D8-8641-9A6B62E9B98B}" name="Column10381"/>
    <tableColumn id="10382" xr3:uid="{684ECDC5-6B37-4D95-B07A-DDA4D72E7BB7}" name="Column10382"/>
    <tableColumn id="10383" xr3:uid="{4D7ABB6E-3C59-47AD-AD45-78DBCF0D71C3}" name="Column10383"/>
    <tableColumn id="10384" xr3:uid="{E809D59D-9A3A-4A6C-BE72-48E6A88DD153}" name="Column10384"/>
    <tableColumn id="10385" xr3:uid="{0C7B1292-1D68-4E1E-8FC9-BFEF84820156}" name="Column10385"/>
    <tableColumn id="10386" xr3:uid="{2ACA8BAA-5A7D-4C66-84FF-68438EA2F6FA}" name="Column10386"/>
    <tableColumn id="10387" xr3:uid="{811D35A4-B07D-4568-B587-D3953A76A458}" name="Column10387"/>
    <tableColumn id="10388" xr3:uid="{FE0A2C7F-585F-4FDE-B890-8F9450F61F2E}" name="Column10388"/>
    <tableColumn id="10389" xr3:uid="{7F556763-5D7B-4849-90C5-3C23F6C470F9}" name="Column10389"/>
    <tableColumn id="10390" xr3:uid="{C33C6B33-0B04-44A6-96FD-8F59B4F284CF}" name="Column10390"/>
    <tableColumn id="10391" xr3:uid="{B8277FF2-CB90-40F5-BD0D-F86F0FABA378}" name="Column10391"/>
    <tableColumn id="10392" xr3:uid="{2E715893-FE4F-4543-B186-CD0B0447B9D4}" name="Column10392"/>
    <tableColumn id="10393" xr3:uid="{0B40CC72-E1A7-4988-8E61-6CA794FB243B}" name="Column10393"/>
    <tableColumn id="10394" xr3:uid="{FD503AB5-FE38-49A3-9F52-0D3AE2F8AFCE}" name="Column10394"/>
    <tableColumn id="10395" xr3:uid="{F3243412-11BC-4C26-9E33-DF0796BE2FCA}" name="Column10395"/>
    <tableColumn id="10396" xr3:uid="{44DB64C5-980C-46C3-AA5C-C194A32D766D}" name="Column10396"/>
    <tableColumn id="10397" xr3:uid="{FF7739BB-CDD2-4811-962E-25C800B365FF}" name="Column10397"/>
    <tableColumn id="10398" xr3:uid="{18A2F404-7624-44D8-9D09-2D08B63F44B6}" name="Column10398"/>
    <tableColumn id="10399" xr3:uid="{39465202-D36F-490F-9675-CFAB42BF7D86}" name="Column10399"/>
    <tableColumn id="10400" xr3:uid="{88253BF6-3FF8-4070-846A-DC46CD90F152}" name="Column10400"/>
    <tableColumn id="10401" xr3:uid="{1AA9109B-EC34-4D1E-84E2-BA939349901C}" name="Column10401"/>
    <tableColumn id="10402" xr3:uid="{EEFC89DC-7358-4DFB-BE10-87A13163F944}" name="Column10402"/>
    <tableColumn id="10403" xr3:uid="{A478337E-52ED-4C3C-9A4D-6CEA79CB1E59}" name="Column10403"/>
    <tableColumn id="10404" xr3:uid="{69C96129-D965-4D57-80B8-088108AB8738}" name="Column10404"/>
    <tableColumn id="10405" xr3:uid="{800B9BB8-9F68-4CD2-9566-1378194BA848}" name="Column10405"/>
    <tableColumn id="10406" xr3:uid="{C9BF71EA-6F69-4E93-8927-02521C33A292}" name="Column10406"/>
    <tableColumn id="10407" xr3:uid="{B7A7B3A2-291B-40E1-B84E-6B9E82ECB533}" name="Column10407"/>
    <tableColumn id="10408" xr3:uid="{36FB16EE-F6DF-42F4-8478-DE9DCBB2ABDB}" name="Column10408"/>
    <tableColumn id="10409" xr3:uid="{6D9985BB-DB30-4B1C-9AE5-BBE2024BF24E}" name="Column10409"/>
    <tableColumn id="10410" xr3:uid="{E2D24E46-5612-4ABE-9288-4549611ACA6E}" name="Column10410"/>
    <tableColumn id="10411" xr3:uid="{A9D33985-BCA0-4BB5-A004-7E5A35ED01C8}" name="Column10411"/>
    <tableColumn id="10412" xr3:uid="{14A9F59E-5FAE-446B-8486-DD4E92F06909}" name="Column10412"/>
    <tableColumn id="10413" xr3:uid="{FFBBF15B-414B-4272-9741-BB7DDD80C4D7}" name="Column10413"/>
    <tableColumn id="10414" xr3:uid="{3F6175FA-F157-4A3B-93F2-CB969A2100EC}" name="Column10414"/>
    <tableColumn id="10415" xr3:uid="{D3C11273-E7A5-4C86-9040-88440DDE43FD}" name="Column10415"/>
    <tableColumn id="10416" xr3:uid="{0DC4419E-72D5-48A0-A34A-3022A7D6BA22}" name="Column10416"/>
    <tableColumn id="10417" xr3:uid="{3BEC4007-C6C3-4BFE-8E6A-1D5B8ADF7A50}" name="Column10417"/>
    <tableColumn id="10418" xr3:uid="{DB719C09-802E-4056-A27F-0ACB8E2E2398}" name="Column10418"/>
    <tableColumn id="10419" xr3:uid="{CBB735EF-CBD0-4826-B831-0AC2B96D9065}" name="Column10419"/>
    <tableColumn id="10420" xr3:uid="{14932330-D5A9-4B63-B369-525C80985B44}" name="Column10420"/>
    <tableColumn id="10421" xr3:uid="{9D9B691E-A859-4FC6-97DF-DB8F3CE07867}" name="Column10421"/>
    <tableColumn id="10422" xr3:uid="{B06D9B8E-0609-4F18-8537-E09A9535293C}" name="Column10422"/>
    <tableColumn id="10423" xr3:uid="{963FE1EA-0198-4CCE-9984-9D1A9F0A7A57}" name="Column10423"/>
    <tableColumn id="10424" xr3:uid="{AD6EB9C1-781C-492B-8160-8D289B9123CD}" name="Column10424"/>
    <tableColumn id="10425" xr3:uid="{EA310BDE-64A7-455B-AFD0-1448B81EA3EE}" name="Column10425"/>
    <tableColumn id="10426" xr3:uid="{D9946635-EDA5-4205-A3BC-4689B0EBFDBB}" name="Column10426"/>
    <tableColumn id="10427" xr3:uid="{7EBF7357-DF76-444C-886A-A6291207EB0D}" name="Column10427"/>
    <tableColumn id="10428" xr3:uid="{6606437A-DFCE-4236-AA5D-6116BA39CB58}" name="Column10428"/>
    <tableColumn id="10429" xr3:uid="{38FDBDBE-9325-46B9-B838-A5FEFBEB5374}" name="Column10429"/>
    <tableColumn id="10430" xr3:uid="{AFD5CFAE-0EF4-48B0-BCEC-3DB7C59E139F}" name="Column10430"/>
    <tableColumn id="10431" xr3:uid="{E8DC8BAF-7F8E-4DCC-B5ED-F063B5264946}" name="Column10431"/>
    <tableColumn id="10432" xr3:uid="{D4EF18F2-DC8D-42C6-BF73-F0C6AD651A92}" name="Column10432"/>
    <tableColumn id="10433" xr3:uid="{287FC266-023E-4364-86FB-90712A84517D}" name="Column10433"/>
    <tableColumn id="10434" xr3:uid="{E8F105E3-C7BC-448C-9CF3-13AF09A96639}" name="Column10434"/>
    <tableColumn id="10435" xr3:uid="{6CB38855-9CA1-434A-9E6F-B1802C437CA8}" name="Column10435"/>
    <tableColumn id="10436" xr3:uid="{00EFCB94-2D5A-4DED-B41D-55F68268E9A1}" name="Column10436"/>
    <tableColumn id="10437" xr3:uid="{28C3983B-CBB7-4936-B0AE-F5BDCC3F1BE1}" name="Column10437"/>
    <tableColumn id="10438" xr3:uid="{0BFFA0BE-AA39-4481-9C24-63B88A85B40C}" name="Column10438"/>
    <tableColumn id="10439" xr3:uid="{2B2E0620-0BE5-4CAB-BF7C-3D79C4994D93}" name="Column10439"/>
    <tableColumn id="10440" xr3:uid="{D3018A51-F404-49A1-9502-2B648B99EA85}" name="Column10440"/>
    <tableColumn id="10441" xr3:uid="{E35A2F75-0C03-41F8-AC12-BC45CBCB781F}" name="Column10441"/>
    <tableColumn id="10442" xr3:uid="{729B028C-5B9A-472C-AB74-770D3ABA65EA}" name="Column10442"/>
    <tableColumn id="10443" xr3:uid="{F87B401C-57B6-4875-A19B-0189ADD6B2F2}" name="Column10443"/>
    <tableColumn id="10444" xr3:uid="{1C61A29C-CE0A-4743-9F8B-4EC12A992B80}" name="Column10444"/>
    <tableColumn id="10445" xr3:uid="{198EB033-DD35-47EA-AAD7-64F2ABBAF088}" name="Column10445"/>
    <tableColumn id="10446" xr3:uid="{090E543B-B9BD-4D2A-B942-F2ED7BE8E4A9}" name="Column10446"/>
    <tableColumn id="10447" xr3:uid="{E740E4C7-B526-4F80-984B-850CB5B2F51E}" name="Column10447"/>
    <tableColumn id="10448" xr3:uid="{C3AA50BF-F90B-42B1-B47E-915667BF9D27}" name="Column10448"/>
    <tableColumn id="10449" xr3:uid="{496BA17E-D122-4C4B-A8B8-EC29F54A7D2A}" name="Column10449"/>
    <tableColumn id="10450" xr3:uid="{800DD65D-109A-4BB6-BB6C-C8A42DDD9B24}" name="Column10450"/>
    <tableColumn id="10451" xr3:uid="{C217333D-5204-4AF3-9D87-4A0AD9621ADF}" name="Column10451"/>
    <tableColumn id="10452" xr3:uid="{4386BC56-55EC-4AF2-95B8-C6CEB0519505}" name="Column10452"/>
    <tableColumn id="10453" xr3:uid="{ACB4CD11-04F5-4D03-8E29-02E644260204}" name="Column10453"/>
    <tableColumn id="10454" xr3:uid="{D3B109A0-7F20-4CE6-92A2-7AD0CE1F4F53}" name="Column10454"/>
    <tableColumn id="10455" xr3:uid="{D6111FD3-C9E5-4EB9-B3EA-ABFD98089A45}" name="Column10455"/>
    <tableColumn id="10456" xr3:uid="{103FF646-4889-406B-80AC-B7A09C97AC70}" name="Column10456"/>
    <tableColumn id="10457" xr3:uid="{6F6AE895-14FB-4000-A51E-83E03DA6081C}" name="Column10457"/>
    <tableColumn id="10458" xr3:uid="{681854FA-0955-4695-85A8-86D06FEF112F}" name="Column10458"/>
    <tableColumn id="10459" xr3:uid="{019C3CA6-57A6-4388-B193-F308961D2DFE}" name="Column10459"/>
    <tableColumn id="10460" xr3:uid="{C5567350-9A07-4751-A553-6DF5D45304C8}" name="Column10460"/>
    <tableColumn id="10461" xr3:uid="{230446A0-C098-4F8C-94EC-4CD1DFAF7809}" name="Column10461"/>
    <tableColumn id="10462" xr3:uid="{5A0C8A41-D308-421B-B4B5-3685D8DEF3D4}" name="Column10462"/>
    <tableColumn id="10463" xr3:uid="{6C82B322-3F6E-4A8B-A825-4AFF29A002CE}" name="Column10463"/>
    <tableColumn id="10464" xr3:uid="{158598F1-E9BC-4C08-B046-63B439050496}" name="Column10464"/>
    <tableColumn id="10465" xr3:uid="{56D6B549-AC29-4F8B-B326-CEC43C3D8A66}" name="Column10465"/>
    <tableColumn id="10466" xr3:uid="{433CC88A-7225-47E3-8CEB-E1AECBE7BA45}" name="Column10466"/>
    <tableColumn id="10467" xr3:uid="{545C97D8-3276-4B4C-A390-A7F6315031C2}" name="Column10467"/>
    <tableColumn id="10468" xr3:uid="{DC5264FF-17F2-4441-8AE3-C2E1F2CBACE1}" name="Column10468"/>
    <tableColumn id="10469" xr3:uid="{850EB42E-5C0E-4EA4-8248-190C26F3BC9A}" name="Column10469"/>
    <tableColumn id="10470" xr3:uid="{7FC557AF-0AE4-410D-BCDE-77B21BB9884C}" name="Column10470"/>
    <tableColumn id="10471" xr3:uid="{F0E5FB49-1B63-4D9F-A0AD-7CE41C5AA98B}" name="Column10471"/>
    <tableColumn id="10472" xr3:uid="{2120D7E5-E56B-49B7-BCAC-4050659057D8}" name="Column10472"/>
    <tableColumn id="10473" xr3:uid="{FD516C92-ADD4-42A2-9992-33F0D9AC2A61}" name="Column10473"/>
    <tableColumn id="10474" xr3:uid="{412D21A2-80CB-4B03-8D6B-CF843157F70F}" name="Column10474"/>
    <tableColumn id="10475" xr3:uid="{8D696E93-6534-4FB0-AF5B-EF8D7CC43554}" name="Column10475"/>
    <tableColumn id="10476" xr3:uid="{BB28F1D4-2353-4A42-8BF2-A0F3FDB33D69}" name="Column10476"/>
    <tableColumn id="10477" xr3:uid="{F4D58E02-3804-47ED-A9C1-E6A1ACE9F304}" name="Column10477"/>
    <tableColumn id="10478" xr3:uid="{68184A4E-5E9B-42CD-AB56-34DA4AF8E105}" name="Column10478"/>
    <tableColumn id="10479" xr3:uid="{CEC898AA-5920-4834-B2D5-1AE86C9FF532}" name="Column10479"/>
    <tableColumn id="10480" xr3:uid="{587C0134-747C-42E0-A362-1A4B0D60459D}" name="Column10480"/>
    <tableColumn id="10481" xr3:uid="{D28C5B77-3364-4BF9-842C-444505A7ECB7}" name="Column10481"/>
    <tableColumn id="10482" xr3:uid="{33374256-D532-44DA-B8CA-DA100AA24BD0}" name="Column10482"/>
    <tableColumn id="10483" xr3:uid="{3FD17303-30C5-4740-B3CC-751027A6BB5A}" name="Column10483"/>
    <tableColumn id="10484" xr3:uid="{5F9DF4E3-9E7F-4364-A1AA-06B0192A2C3B}" name="Column10484"/>
    <tableColumn id="10485" xr3:uid="{F04D0984-4F8B-48ED-A6A9-F4CA9738E82F}" name="Column10485"/>
    <tableColumn id="10486" xr3:uid="{20E56927-5D20-421C-ABF5-4A35840C92AD}" name="Column10486"/>
    <tableColumn id="10487" xr3:uid="{A83F647E-9AE2-4E6F-ADB9-253A624AA6DA}" name="Column10487"/>
    <tableColumn id="10488" xr3:uid="{19DF71F2-EA3E-4BAD-9F6D-1F50AF04DE13}" name="Column10488"/>
    <tableColumn id="10489" xr3:uid="{02555F5B-E82F-4091-916E-51016DDBA4E3}" name="Column10489"/>
    <tableColumn id="10490" xr3:uid="{23FA533A-CDEB-467B-BAED-BAB1DF96007F}" name="Column10490"/>
    <tableColumn id="10491" xr3:uid="{E9ABCF0F-1B24-41CF-8D1F-92703F77AC76}" name="Column10491"/>
    <tableColumn id="10492" xr3:uid="{0EA59918-CFA9-4B41-8F6E-525AD202DF9B}" name="Column10492"/>
    <tableColumn id="10493" xr3:uid="{2904AC14-0EE3-44A6-BC6A-E706A835C493}" name="Column10493"/>
    <tableColumn id="10494" xr3:uid="{D5D05423-AE50-4CA8-AA74-9E3AC28D5462}" name="Column10494"/>
    <tableColumn id="10495" xr3:uid="{E7DC0F8F-BFA7-4C9B-BEAE-A1007CB5ADD5}" name="Column10495"/>
    <tableColumn id="10496" xr3:uid="{F3B79A92-8185-431D-9DD4-AF7B5B4F8E4B}" name="Column10496"/>
    <tableColumn id="10497" xr3:uid="{20C539C8-CB23-479B-9AA5-E2455C34175A}" name="Column10497"/>
    <tableColumn id="10498" xr3:uid="{F08EBBDF-607A-4CBF-9A63-27C981B55D0E}" name="Column10498"/>
    <tableColumn id="10499" xr3:uid="{7849B8C2-1C5C-40B8-9E13-BF572548AF26}" name="Column10499"/>
    <tableColumn id="10500" xr3:uid="{F0A836AA-3562-4E39-A85E-5F3025D01140}" name="Column10500"/>
    <tableColumn id="10501" xr3:uid="{49BAB1AB-2276-41EE-8764-FE1B979D9F11}" name="Column10501"/>
    <tableColumn id="10502" xr3:uid="{F037FE88-3E2E-4233-9071-D80D115D43D2}" name="Column10502"/>
    <tableColumn id="10503" xr3:uid="{CBE15D1A-61CE-46D4-AAA1-60C750069740}" name="Column10503"/>
    <tableColumn id="10504" xr3:uid="{AF50695E-E8FD-4E50-A539-1BFBC063426C}" name="Column10504"/>
    <tableColumn id="10505" xr3:uid="{0332BFDF-E930-4FEA-ADB3-693CE8782FA1}" name="Column10505"/>
    <tableColumn id="10506" xr3:uid="{F7E814C6-F02C-4B71-9929-0EA4793FCDC8}" name="Column10506"/>
    <tableColumn id="10507" xr3:uid="{2A8FDC5A-359B-4E2B-82CA-93CF5AAFBD56}" name="Column10507"/>
    <tableColumn id="10508" xr3:uid="{ADF83753-8975-47A8-9987-07D29322F38B}" name="Column10508"/>
    <tableColumn id="10509" xr3:uid="{EDA06EC0-A52E-45BB-8245-0DE30F588D78}" name="Column10509"/>
    <tableColumn id="10510" xr3:uid="{DC992EE9-17A6-4ABF-BD55-8F4104822786}" name="Column10510"/>
    <tableColumn id="10511" xr3:uid="{1314E6E8-B63D-48A4-A3AE-53EF7994A81B}" name="Column10511"/>
    <tableColumn id="10512" xr3:uid="{7FEEC8ED-3BD5-4750-BC50-13600EB7C580}" name="Column10512"/>
    <tableColumn id="10513" xr3:uid="{85E46192-1E6E-43CE-A5E6-E0E3E2BABE85}" name="Column10513"/>
    <tableColumn id="10514" xr3:uid="{38C9DA2B-EDE6-4471-8656-2290F76AE7EA}" name="Column10514"/>
    <tableColumn id="10515" xr3:uid="{FBB5BEE7-47B0-48FB-B8FB-0BD477AEC395}" name="Column10515"/>
    <tableColumn id="10516" xr3:uid="{E2EDC134-FF6A-4D68-ACF5-F798D297B05B}" name="Column10516"/>
    <tableColumn id="10517" xr3:uid="{457C609D-F051-4A44-A7C1-B24B14A60B33}" name="Column10517"/>
    <tableColumn id="10518" xr3:uid="{E8030ADB-8E74-4636-94B0-C2A7B7738C3A}" name="Column10518"/>
    <tableColumn id="10519" xr3:uid="{3CB4B1A8-01B1-4FCF-81D1-69EC57F91C8C}" name="Column10519"/>
    <tableColumn id="10520" xr3:uid="{9A11E1A6-7D8B-4CBF-9D85-74C4BC98F0C1}" name="Column10520"/>
    <tableColumn id="10521" xr3:uid="{3E8BA00A-A52D-43D0-89E5-794C9D8790E9}" name="Column10521"/>
    <tableColumn id="10522" xr3:uid="{0FD41E81-C040-47F1-8E39-75D659D5C1CF}" name="Column10522"/>
    <tableColumn id="10523" xr3:uid="{134E2125-6313-478A-BC7A-FA34AA9105A9}" name="Column10523"/>
    <tableColumn id="10524" xr3:uid="{71383CB4-0C22-4200-8CE9-64364BCAD6F0}" name="Column10524"/>
    <tableColumn id="10525" xr3:uid="{90C17439-D05F-4B67-AC9E-5C1197D98FCB}" name="Column10525"/>
    <tableColumn id="10526" xr3:uid="{A25B6EE3-700E-417C-B2D6-13F4E1004568}" name="Column10526"/>
    <tableColumn id="10527" xr3:uid="{A0D57235-1AA6-46EC-B582-48AC46DDAD26}" name="Column10527"/>
    <tableColumn id="10528" xr3:uid="{8CBE644E-0A2E-41FB-9F0D-93396A7637F3}" name="Column10528"/>
    <tableColumn id="10529" xr3:uid="{172A2242-3854-4732-AE01-9A11334A3956}" name="Column10529"/>
    <tableColumn id="10530" xr3:uid="{3E2BC4F8-6B26-46F3-B959-C89BF801A154}" name="Column10530"/>
    <tableColumn id="10531" xr3:uid="{A0194F72-8FDC-457D-87F2-E8923CD9115B}" name="Column10531"/>
    <tableColumn id="10532" xr3:uid="{4F494DDA-091C-454B-A09A-3F01438EC7D5}" name="Column10532"/>
    <tableColumn id="10533" xr3:uid="{76063362-9C23-4967-B674-AA352D43813F}" name="Column10533"/>
    <tableColumn id="10534" xr3:uid="{47F020CA-D2DB-4176-9D12-B7C416910165}" name="Column10534"/>
    <tableColumn id="10535" xr3:uid="{8E463004-B8E9-40EE-88A2-96C930254244}" name="Column10535"/>
    <tableColumn id="10536" xr3:uid="{A6540187-2700-49BA-8374-00F4E360F67B}" name="Column10536"/>
    <tableColumn id="10537" xr3:uid="{2AD8C0CC-A679-4738-A633-8CE7C8C3B1E1}" name="Column10537"/>
    <tableColumn id="10538" xr3:uid="{B05131AF-CFDB-4503-8144-53B570600AAC}" name="Column10538"/>
    <tableColumn id="10539" xr3:uid="{42572503-AF67-4BB9-8982-FFB8B28AB1CE}" name="Column10539"/>
    <tableColumn id="10540" xr3:uid="{ECE0DB0D-0DD5-4B13-8864-40B8106B208D}" name="Column10540"/>
    <tableColumn id="10541" xr3:uid="{4E12E5D4-9473-4B01-8925-D09EEE080689}" name="Column10541"/>
    <tableColumn id="10542" xr3:uid="{AB526996-D27B-4686-A5F8-E64C61050720}" name="Column10542"/>
    <tableColumn id="10543" xr3:uid="{A0C1BF58-05A4-449D-836C-30715CE53FB3}" name="Column10543"/>
    <tableColumn id="10544" xr3:uid="{F10751C9-7E10-42D9-BF46-6D9F4B49A27E}" name="Column10544"/>
    <tableColumn id="10545" xr3:uid="{212C35D7-D750-4686-A47A-F9ABFF88B974}" name="Column10545"/>
    <tableColumn id="10546" xr3:uid="{D7653519-AB7A-4E19-8B85-625062FCB301}" name="Column10546"/>
    <tableColumn id="10547" xr3:uid="{3C42955F-AD60-4CAD-AF97-2B3C46B798BE}" name="Column10547"/>
    <tableColumn id="10548" xr3:uid="{90D3D892-CDB1-4273-B1A4-6D616A16346F}" name="Column10548"/>
    <tableColumn id="10549" xr3:uid="{A34DD3B8-0880-49C5-9ABC-EB32390112BD}" name="Column10549"/>
    <tableColumn id="10550" xr3:uid="{2C36A21F-EEDB-4D28-BDD7-AE07CC8097B3}" name="Column10550"/>
    <tableColumn id="10551" xr3:uid="{C26BF5CB-37AB-461F-A825-E7F3E9D37054}" name="Column10551"/>
    <tableColumn id="10552" xr3:uid="{DC8EB2D9-BE9B-4716-A75F-4F643446D606}" name="Column10552"/>
    <tableColumn id="10553" xr3:uid="{D28202FB-1821-4614-86ED-ED094D71EDB1}" name="Column10553"/>
    <tableColumn id="10554" xr3:uid="{B2872F5A-5A05-431D-BADA-8CE27EC17FAE}" name="Column10554"/>
    <tableColumn id="10555" xr3:uid="{F114FCE5-4061-45FD-A298-7F8E5E4C1DFB}" name="Column10555"/>
    <tableColumn id="10556" xr3:uid="{B37D184F-6725-4047-BF73-92182A649A2D}" name="Column10556"/>
    <tableColumn id="10557" xr3:uid="{934A895A-1C31-468F-8286-AD464A785BD4}" name="Column10557"/>
    <tableColumn id="10558" xr3:uid="{238611E3-D457-4CF9-9AC5-B82DDAF7750D}" name="Column10558"/>
    <tableColumn id="10559" xr3:uid="{1A492FB7-9BE9-43FD-B681-65EB85D9C16D}" name="Column10559"/>
    <tableColumn id="10560" xr3:uid="{3D592DDB-6928-45B2-9AB4-AD6DC1F0C376}" name="Column10560"/>
    <tableColumn id="10561" xr3:uid="{EEF829AE-6BA3-402C-A62C-436F9E5533FA}" name="Column10561"/>
    <tableColumn id="10562" xr3:uid="{B8F8A093-6CA7-4615-9A4F-485B3B441754}" name="Column10562"/>
    <tableColumn id="10563" xr3:uid="{70B32309-8330-4CD3-8E30-F9007BE333AB}" name="Column10563"/>
    <tableColumn id="10564" xr3:uid="{AA359931-71C3-402F-A82B-62A611678AF7}" name="Column10564"/>
    <tableColumn id="10565" xr3:uid="{87B1189F-B809-4372-A174-971D06458C81}" name="Column10565"/>
    <tableColumn id="10566" xr3:uid="{84E21BB1-5602-4E1B-8AE0-FBCD8B5FC557}" name="Column10566"/>
    <tableColumn id="10567" xr3:uid="{13F42F5B-27F5-4C87-9B05-EC9239AFEE4C}" name="Column10567"/>
    <tableColumn id="10568" xr3:uid="{74C71071-8AD4-47C6-8882-CCCFD4870F94}" name="Column10568"/>
    <tableColumn id="10569" xr3:uid="{68B6D719-2E2F-4614-A533-949595B16F49}" name="Column10569"/>
    <tableColumn id="10570" xr3:uid="{996297F1-6A2B-4B74-A95F-5B197F976720}" name="Column10570"/>
    <tableColumn id="10571" xr3:uid="{BC73D69B-D0E5-490C-869F-A0E9C3DB5233}" name="Column10571"/>
    <tableColumn id="10572" xr3:uid="{0CA6F922-A038-427A-A6E9-52420C2E2532}" name="Column10572"/>
    <tableColumn id="10573" xr3:uid="{CF2CFFA3-EC1F-4911-8CBD-40D975072DFA}" name="Column10573"/>
    <tableColumn id="10574" xr3:uid="{B818678B-88E2-4DF8-9A33-1DFCEA44CA78}" name="Column10574"/>
    <tableColumn id="10575" xr3:uid="{66B45E3C-B9E2-428E-A11D-7758581BBD4D}" name="Column10575"/>
    <tableColumn id="10576" xr3:uid="{2B045CF3-8FB6-44B8-929A-BA08C054724D}" name="Column10576"/>
    <tableColumn id="10577" xr3:uid="{C0177E8F-3346-4D97-81D5-424583F932F1}" name="Column10577"/>
    <tableColumn id="10578" xr3:uid="{772092E3-D41F-45E9-A294-DB46FAC1033B}" name="Column10578"/>
    <tableColumn id="10579" xr3:uid="{A8239223-6B66-4A57-84B7-6026CEBDEB6C}" name="Column10579"/>
    <tableColumn id="10580" xr3:uid="{26AA200F-1FC2-4CC8-BAEB-F068DD7572E9}" name="Column10580"/>
    <tableColumn id="10581" xr3:uid="{BB743937-1EE4-4C0B-BD5D-4C17762895E1}" name="Column10581"/>
    <tableColumn id="10582" xr3:uid="{0E432D8F-19D0-48A3-8159-0753B78629F7}" name="Column10582"/>
    <tableColumn id="10583" xr3:uid="{CC5009D7-D50D-449A-8FAA-FFA976800443}" name="Column10583"/>
    <tableColumn id="10584" xr3:uid="{5FFCEDC0-FEF3-4409-8522-0A75FA492808}" name="Column10584"/>
    <tableColumn id="10585" xr3:uid="{DC10DBDF-9810-461E-A548-1FE6F384E3AA}" name="Column10585"/>
    <tableColumn id="10586" xr3:uid="{FF4E3305-AA62-4A13-9A41-B12C2661ABB3}" name="Column10586"/>
    <tableColumn id="10587" xr3:uid="{DB642203-14DF-4B7B-B03E-9786A4F9C54E}" name="Column10587"/>
    <tableColumn id="10588" xr3:uid="{D021D4DE-18BD-4DAF-9B37-1B596B7238DE}" name="Column10588"/>
    <tableColumn id="10589" xr3:uid="{59D0CA7B-46C4-4D50-BF56-DA0A5EE905DF}" name="Column10589"/>
    <tableColumn id="10590" xr3:uid="{EA90357D-8F46-4678-B008-83BCC5AA3AE0}" name="Column10590"/>
    <tableColumn id="10591" xr3:uid="{757FE91D-E5FA-4112-B3F0-67F3987AAA48}" name="Column10591"/>
    <tableColumn id="10592" xr3:uid="{DA2D0C43-A00F-4B21-984E-36797D7F6C64}" name="Column10592"/>
    <tableColumn id="10593" xr3:uid="{04FF7ED7-78A4-4781-920D-ABB59CCC1081}" name="Column10593"/>
    <tableColumn id="10594" xr3:uid="{9D3F94CF-BBEB-457D-B953-AE671628EA03}" name="Column10594"/>
    <tableColumn id="10595" xr3:uid="{A95FDC4E-FDF5-442F-A806-53BC9851B655}" name="Column10595"/>
    <tableColumn id="10596" xr3:uid="{E56FC41E-63CC-419A-AA49-4A1B0DF5AFF7}" name="Column10596"/>
    <tableColumn id="10597" xr3:uid="{A13E0F69-371D-4D01-B065-F5C556E20168}" name="Column10597"/>
    <tableColumn id="10598" xr3:uid="{F74102DB-F2D6-420B-8D9C-EDF12F843EE6}" name="Column10598"/>
    <tableColumn id="10599" xr3:uid="{4BE342DE-2D93-43ED-86CD-03DFC0C87577}" name="Column10599"/>
    <tableColumn id="10600" xr3:uid="{713961D6-EE77-4298-AD82-88F7C7934C43}" name="Column10600"/>
    <tableColumn id="10601" xr3:uid="{1EA207AC-5B43-4768-A4B7-5E19804FFB5C}" name="Column10601"/>
    <tableColumn id="10602" xr3:uid="{B77E3000-7449-4C2B-8A4C-3CAF4900AE73}" name="Column10602"/>
    <tableColumn id="10603" xr3:uid="{0CABB9F1-241B-4A30-BACB-BE76CAA0A84B}" name="Column10603"/>
    <tableColumn id="10604" xr3:uid="{0F671198-ACA7-4500-9862-55FD68794340}" name="Column10604"/>
    <tableColumn id="10605" xr3:uid="{AE1CD4DF-DF9A-4DBF-A8DD-A06B149D313E}" name="Column10605"/>
    <tableColumn id="10606" xr3:uid="{AC607F19-ED5B-472C-9BE5-CBC33291BC58}" name="Column10606"/>
    <tableColumn id="10607" xr3:uid="{8DB8C861-FFF2-4A99-A771-72044B2EDDC1}" name="Column10607"/>
    <tableColumn id="10608" xr3:uid="{773B3967-1914-409C-A73D-B8E47FC18D6C}" name="Column10608"/>
    <tableColumn id="10609" xr3:uid="{43A4F8B9-3326-493A-859D-8144F5961D74}" name="Column10609"/>
    <tableColumn id="10610" xr3:uid="{E0C137BB-4E8E-4712-AA21-F8AFF10D14A4}" name="Column10610"/>
    <tableColumn id="10611" xr3:uid="{9796914D-1657-4FB6-8FB1-78EFB453AE5B}" name="Column10611"/>
    <tableColumn id="10612" xr3:uid="{DE462A21-B06D-4CC9-9275-135E19E154F8}" name="Column10612"/>
    <tableColumn id="10613" xr3:uid="{72326978-6F80-40FD-9F29-74DB891C9309}" name="Column10613"/>
    <tableColumn id="10614" xr3:uid="{363CADE2-DE70-41D7-BB73-963B002F1289}" name="Column10614"/>
    <tableColumn id="10615" xr3:uid="{DB4A6349-18CB-4243-BC54-7C6E5D177871}" name="Column10615"/>
    <tableColumn id="10616" xr3:uid="{34147109-0267-4D0F-87B9-A20386388AB7}" name="Column10616"/>
    <tableColumn id="10617" xr3:uid="{FE2E103E-9498-4988-8144-6146858C94B9}" name="Column10617"/>
    <tableColumn id="10618" xr3:uid="{38267D65-7FFD-4EA2-8A0B-74DA244D6C5E}" name="Column10618"/>
    <tableColumn id="10619" xr3:uid="{A18D6FE5-AB4D-4A7D-83C3-EE2201F8264E}" name="Column10619"/>
    <tableColumn id="10620" xr3:uid="{0240694C-559B-4ADA-BAA4-C77EEF58D3F6}" name="Column10620"/>
    <tableColumn id="10621" xr3:uid="{EA743A13-5088-4AAA-9F18-ECD96F928BF8}" name="Column10621"/>
    <tableColumn id="10622" xr3:uid="{37FFA989-E87C-4095-BD17-48EF01D36891}" name="Column10622"/>
    <tableColumn id="10623" xr3:uid="{BF211C3C-FABE-4AAD-9037-1DD18DA3F827}" name="Column10623"/>
    <tableColumn id="10624" xr3:uid="{12B62A47-C939-472C-A694-B7177D300252}" name="Column10624"/>
    <tableColumn id="10625" xr3:uid="{AE25E045-C560-454F-A18B-02F9E12763BF}" name="Column10625"/>
    <tableColumn id="10626" xr3:uid="{D6E9B0FB-906B-475A-806E-AE0F7AD6FF74}" name="Column10626"/>
    <tableColumn id="10627" xr3:uid="{56AFA66F-29C6-4462-9390-2B91D4BD1C43}" name="Column10627"/>
    <tableColumn id="10628" xr3:uid="{F8A760AE-C459-44DC-BBA7-3D61100CD553}" name="Column10628"/>
    <tableColumn id="10629" xr3:uid="{D8D0868B-F26F-407A-A465-554032ACC711}" name="Column10629"/>
    <tableColumn id="10630" xr3:uid="{01C2860C-9CF4-4493-AB45-850B0B97C909}" name="Column10630"/>
    <tableColumn id="10631" xr3:uid="{DCBA4686-3ABC-49E7-AADB-442DF5DC2190}" name="Column10631"/>
    <tableColumn id="10632" xr3:uid="{A7D83A57-6FDF-4F8A-9E7F-3BA687C19A01}" name="Column10632"/>
    <tableColumn id="10633" xr3:uid="{75FB717F-0514-4AAB-9B6B-0FD9D107C835}" name="Column10633"/>
    <tableColumn id="10634" xr3:uid="{E83DC2C1-7516-4669-B93C-B0027CF6DBDC}" name="Column10634"/>
    <tableColumn id="10635" xr3:uid="{574E83ED-862C-46E2-AF94-1AAD27E4F316}" name="Column10635"/>
    <tableColumn id="10636" xr3:uid="{B9C54160-0E3E-4FD2-BF3E-7B592032D101}" name="Column10636"/>
    <tableColumn id="10637" xr3:uid="{3B12E153-BA27-482C-8DB7-792A48DB525A}" name="Column10637"/>
    <tableColumn id="10638" xr3:uid="{FFE7D44F-718B-4A96-8846-77697BA43BBC}" name="Column10638"/>
    <tableColumn id="10639" xr3:uid="{3559711D-842B-404B-8EC6-0B339EDA0C8B}" name="Column10639"/>
    <tableColumn id="10640" xr3:uid="{71DE1B88-6470-4EF6-8B89-04CF6047E7DE}" name="Column10640"/>
    <tableColumn id="10641" xr3:uid="{A1EC6869-8D5B-43CE-9879-5687CB5FAD49}" name="Column10641"/>
    <tableColumn id="10642" xr3:uid="{2AFFC39D-571A-46DF-AD05-D53E41A11210}" name="Column10642"/>
    <tableColumn id="10643" xr3:uid="{90EB52C6-86C7-467A-B4AA-2061CE2945C3}" name="Column10643"/>
    <tableColumn id="10644" xr3:uid="{71F5C365-E7C7-4C35-8404-8802EBBFB692}" name="Column10644"/>
    <tableColumn id="10645" xr3:uid="{95CC458D-0A63-4641-A34E-30C74E18F7B5}" name="Column10645"/>
    <tableColumn id="10646" xr3:uid="{43AEC098-7EA0-491D-9068-994A6F28F483}" name="Column10646"/>
    <tableColumn id="10647" xr3:uid="{009899F8-460E-41A4-9BFF-A10F5DAFAA22}" name="Column10647"/>
    <tableColumn id="10648" xr3:uid="{5601E7F3-E913-40B9-8DCF-69A526648656}" name="Column10648"/>
    <tableColumn id="10649" xr3:uid="{462A1144-F2CD-4615-BE7E-2FFBA1CED451}" name="Column10649"/>
    <tableColumn id="10650" xr3:uid="{F202C351-D421-43AE-9773-2E3BE367DC79}" name="Column10650"/>
    <tableColumn id="10651" xr3:uid="{F1A56816-002C-4A0F-A608-2970FA73B4AA}" name="Column10651"/>
    <tableColumn id="10652" xr3:uid="{6B984E57-E5B0-4FD7-A7FF-5C11A9235C36}" name="Column10652"/>
    <tableColumn id="10653" xr3:uid="{7B63E01C-FF2D-4D5A-A1AA-D42A3396E9FC}" name="Column10653"/>
    <tableColumn id="10654" xr3:uid="{6354F6A6-1D3F-4ECA-BDA6-4681630DC5F4}" name="Column10654"/>
    <tableColumn id="10655" xr3:uid="{EF2AA61E-17E1-495F-A1D3-05E05F3F44D3}" name="Column10655"/>
    <tableColumn id="10656" xr3:uid="{F26BEF8F-0B36-46CD-8490-F0493DD451D1}" name="Column10656"/>
    <tableColumn id="10657" xr3:uid="{62C0319F-D591-4BAD-8118-9BB927DA7BA0}" name="Column10657"/>
    <tableColumn id="10658" xr3:uid="{F446FC19-BD01-4B53-A0CB-02F4D9346274}" name="Column10658"/>
    <tableColumn id="10659" xr3:uid="{184CE5CF-E55E-4201-BE29-37061E7FBABB}" name="Column10659"/>
    <tableColumn id="10660" xr3:uid="{603E9B27-55AE-4F51-BAF4-D18E470967AD}" name="Column10660"/>
    <tableColumn id="10661" xr3:uid="{1C9D55D5-CEA8-4248-B1A4-0AA5292724DF}" name="Column10661"/>
    <tableColumn id="10662" xr3:uid="{DB052C75-E889-4282-B7A6-D29EB27BDA70}" name="Column10662"/>
    <tableColumn id="10663" xr3:uid="{BFD9FB4C-852E-4CD4-BD43-F7DF7BD1D54B}" name="Column10663"/>
    <tableColumn id="10664" xr3:uid="{C356205D-AEBB-4E56-A7D7-65F79CC48F9B}" name="Column10664"/>
    <tableColumn id="10665" xr3:uid="{9E058B03-1A00-4FBA-9E2A-731910FD6F05}" name="Column10665"/>
    <tableColumn id="10666" xr3:uid="{31AA8A54-5784-4195-AD21-A397FB08703E}" name="Column10666"/>
    <tableColumn id="10667" xr3:uid="{0A36A81E-B7E3-4CF4-975F-C9400C9D3FFC}" name="Column10667"/>
    <tableColumn id="10668" xr3:uid="{7EA991AC-8D0E-44CD-A029-2426451A734F}" name="Column10668"/>
    <tableColumn id="10669" xr3:uid="{2CEA024D-2A11-4E18-B18C-67365FBF1519}" name="Column10669"/>
    <tableColumn id="10670" xr3:uid="{CF40170C-3B47-4DFE-9B8A-68137770AB92}" name="Column10670"/>
    <tableColumn id="10671" xr3:uid="{04F9377B-B508-4D02-BE22-B7B41E3BAAF2}" name="Column10671"/>
    <tableColumn id="10672" xr3:uid="{D76AC0E4-D5E0-442E-A713-40F5182708ED}" name="Column10672"/>
    <tableColumn id="10673" xr3:uid="{0F816938-B6F8-41FC-B1BE-E2A09CC1F9CE}" name="Column10673"/>
    <tableColumn id="10674" xr3:uid="{342C1226-7190-49E4-A058-4EA5CB93B0AE}" name="Column10674"/>
    <tableColumn id="10675" xr3:uid="{029B83E9-2AE8-46C3-90C9-CB1A8445FEDC}" name="Column10675"/>
    <tableColumn id="10676" xr3:uid="{D7BF9D21-8EB7-4784-BA1A-C84C80145F35}" name="Column10676"/>
    <tableColumn id="10677" xr3:uid="{E4A1DDA4-C6F9-4B5C-BC90-43520A805042}" name="Column10677"/>
    <tableColumn id="10678" xr3:uid="{2252D3D7-B6D3-4D9F-8ED1-A5D3616BF961}" name="Column10678"/>
    <tableColumn id="10679" xr3:uid="{63FF8341-526D-4F01-9783-BF4EB1154213}" name="Column10679"/>
    <tableColumn id="10680" xr3:uid="{96A4B7DD-7FA1-4836-B938-DC9CBECF021D}" name="Column10680"/>
    <tableColumn id="10681" xr3:uid="{E7CE837E-177D-46DB-973C-C9DC8207496A}" name="Column10681"/>
    <tableColumn id="10682" xr3:uid="{B9C76A67-36C6-4E2A-A41C-0A6EBB2CA1CA}" name="Column10682"/>
    <tableColumn id="10683" xr3:uid="{C3ACCF28-69BC-4B2C-ACDB-FA050BFF6033}" name="Column10683"/>
    <tableColumn id="10684" xr3:uid="{3DB9FC84-B559-4C17-B0A8-A95BDEB4A5EA}" name="Column10684"/>
    <tableColumn id="10685" xr3:uid="{8183B0DD-97FD-41ED-922A-5F0A6DF982F8}" name="Column10685"/>
    <tableColumn id="10686" xr3:uid="{62FEE7A1-E21A-40CB-A6A5-A12A9D38B28A}" name="Column10686"/>
    <tableColumn id="10687" xr3:uid="{3A54060C-33F4-48CF-8FDD-AF3B86D3CD32}" name="Column10687"/>
    <tableColumn id="10688" xr3:uid="{88EE27A0-A121-445A-A7DE-272B8FE240E7}" name="Column10688"/>
    <tableColumn id="10689" xr3:uid="{32965D8F-3A21-4AAB-B4AF-817526987497}" name="Column10689"/>
    <tableColumn id="10690" xr3:uid="{CABE8830-416A-49D1-B171-3CE62E85B0A1}" name="Column10690"/>
    <tableColumn id="10691" xr3:uid="{A7C0A3F5-3A51-4FC2-A3CB-CC35A4FE88B3}" name="Column10691"/>
    <tableColumn id="10692" xr3:uid="{B7D8D120-679C-447F-903D-E5D2953F8E27}" name="Column10692"/>
    <tableColumn id="10693" xr3:uid="{F5132C41-CCF5-4E29-A508-CA6638CCEB98}" name="Column10693"/>
    <tableColumn id="10694" xr3:uid="{3F4DD84E-8C2B-4D82-B7C5-621321C0BA0B}" name="Column10694"/>
    <tableColumn id="10695" xr3:uid="{01E6428F-9641-4F98-BAA4-5670DA5127D0}" name="Column10695"/>
    <tableColumn id="10696" xr3:uid="{5CAAFC5A-610A-452F-A1E2-6DFD92D6B010}" name="Column10696"/>
    <tableColumn id="10697" xr3:uid="{AE4F7CF2-460B-48C1-B0AA-99A6E432BE04}" name="Column10697"/>
    <tableColumn id="10698" xr3:uid="{3B91A1F0-C9FA-4FDF-B234-C6422D7F7B78}" name="Column10698"/>
    <tableColumn id="10699" xr3:uid="{21E6FA11-7D47-4DCE-80FD-8264C2BEA0A7}" name="Column10699"/>
    <tableColumn id="10700" xr3:uid="{D5FF161A-B3DC-426D-A83D-AE312ED9107A}" name="Column10700"/>
    <tableColumn id="10701" xr3:uid="{09C6A3F4-28F7-47C0-939C-881BBD4DCF2F}" name="Column10701"/>
    <tableColumn id="10702" xr3:uid="{400B7D74-E778-4DB2-90F0-F130462D777B}" name="Column10702"/>
    <tableColumn id="10703" xr3:uid="{AF98253D-8500-4BE7-B90A-F46392CC5C12}" name="Column10703"/>
    <tableColumn id="10704" xr3:uid="{52445AEC-26CF-4A68-BC55-82F6D766EE45}" name="Column10704"/>
    <tableColumn id="10705" xr3:uid="{CB38DB7D-9F2B-4EE1-BC7C-F0E61584661D}" name="Column10705"/>
    <tableColumn id="10706" xr3:uid="{D490DCC4-4297-4C42-86A5-491E904231A1}" name="Column10706"/>
    <tableColumn id="10707" xr3:uid="{7C66D651-E825-4860-8BCA-BCF22D146574}" name="Column10707"/>
    <tableColumn id="10708" xr3:uid="{2C192B35-CAC5-4EC6-A5D4-1653ED41AB10}" name="Column10708"/>
    <tableColumn id="10709" xr3:uid="{8138E2EE-9674-4A9D-8163-B15001CB582E}" name="Column10709"/>
    <tableColumn id="10710" xr3:uid="{97A07CD1-99C2-477E-B20C-4ECCB690D51B}" name="Column10710"/>
    <tableColumn id="10711" xr3:uid="{81DC1A5D-2DC5-426A-A583-395DD521C053}" name="Column10711"/>
    <tableColumn id="10712" xr3:uid="{FFFA671E-D64A-4329-981C-559F8E627E7A}" name="Column10712"/>
    <tableColumn id="10713" xr3:uid="{E9703D47-4367-48E7-9FED-7B6E0D49C46E}" name="Column10713"/>
    <tableColumn id="10714" xr3:uid="{4458A479-0DDB-49A8-88F7-60E03474A1DD}" name="Column10714"/>
    <tableColumn id="10715" xr3:uid="{C14A4E7C-DC76-4B05-ADBB-50D70FC4EB68}" name="Column10715"/>
    <tableColumn id="10716" xr3:uid="{45D13F32-BA52-4300-8480-6063F6715FCC}" name="Column10716"/>
    <tableColumn id="10717" xr3:uid="{D42B5E76-79E8-4618-B0B5-2930BF354849}" name="Column10717"/>
    <tableColumn id="10718" xr3:uid="{2BD034F7-6432-4123-B329-279F9B9527F9}" name="Column10718"/>
    <tableColumn id="10719" xr3:uid="{A4B704E9-D59F-4F52-922F-BC334FE024DC}" name="Column10719"/>
    <tableColumn id="10720" xr3:uid="{273AAE28-EE6D-44E0-BDB7-3307CE4AE42D}" name="Column10720"/>
    <tableColumn id="10721" xr3:uid="{12C68D5B-C2F7-43BC-96EC-40227250BA62}" name="Column10721"/>
    <tableColumn id="10722" xr3:uid="{641DF309-4770-4BEA-84EC-F2725805A181}" name="Column10722"/>
    <tableColumn id="10723" xr3:uid="{16DC11DA-7BC0-4DF4-8CDE-8F19B922E6F4}" name="Column10723"/>
    <tableColumn id="10724" xr3:uid="{D0204C27-FEFD-4151-BDBB-5B14A4C6E02B}" name="Column10724"/>
    <tableColumn id="10725" xr3:uid="{4CA06C95-2D8F-486D-997E-5288B9FEE696}" name="Column10725"/>
    <tableColumn id="10726" xr3:uid="{A1D4E434-C70F-485F-BA6C-CC771A02BAFF}" name="Column10726"/>
    <tableColumn id="10727" xr3:uid="{74F16317-4338-4E7D-94A1-E45E0E899F65}" name="Column10727"/>
    <tableColumn id="10728" xr3:uid="{B588BB65-F55D-4F5A-9E04-13A478479B10}" name="Column10728"/>
    <tableColumn id="10729" xr3:uid="{48FFB4F0-2E83-49ED-B97B-5546A19B813F}" name="Column10729"/>
    <tableColumn id="10730" xr3:uid="{481F2EEB-4856-48F4-A5BE-0C56A7542E63}" name="Column10730"/>
    <tableColumn id="10731" xr3:uid="{8A579754-3BE5-4FB0-A95D-CD10803B3A7D}" name="Column10731"/>
    <tableColumn id="10732" xr3:uid="{A216F219-AC7E-4743-B540-ADF76CD5F0FF}" name="Column10732"/>
    <tableColumn id="10733" xr3:uid="{194BE08B-67BD-454D-949A-54A5AAA6EBD3}" name="Column10733"/>
    <tableColumn id="10734" xr3:uid="{F214324C-5295-4448-A60B-9693639A7B69}" name="Column10734"/>
    <tableColumn id="10735" xr3:uid="{DC19FC58-7213-4972-8AA5-FA80BC7290AE}" name="Column10735"/>
    <tableColumn id="10736" xr3:uid="{724E9B12-120D-4D0E-B323-65BBA1E8BBBA}" name="Column10736"/>
    <tableColumn id="10737" xr3:uid="{E340414D-EE1B-43F8-9948-81FE93E8C1CE}" name="Column10737"/>
    <tableColumn id="10738" xr3:uid="{9B665FED-52C7-4EBB-AA7D-5701FF2B58DC}" name="Column10738"/>
    <tableColumn id="10739" xr3:uid="{FC33C2E0-8E3A-40FB-B268-7E6061DB769A}" name="Column10739"/>
    <tableColumn id="10740" xr3:uid="{664097D9-BD45-4666-A6FB-CFD1CFAD3C30}" name="Column10740"/>
    <tableColumn id="10741" xr3:uid="{498BBE80-915A-40E8-86B9-6477BF781BC6}" name="Column10741"/>
    <tableColumn id="10742" xr3:uid="{4921581E-03C3-4283-962D-B22B62895F21}" name="Column10742"/>
    <tableColumn id="10743" xr3:uid="{0C921BB2-D66F-40DE-9C31-24E7C34562E3}" name="Column10743"/>
    <tableColumn id="10744" xr3:uid="{183F24C5-5466-49C4-9F3F-2C93004E48C7}" name="Column10744"/>
    <tableColumn id="10745" xr3:uid="{02866044-47CA-4A6C-B617-C9F46F1D43DD}" name="Column10745"/>
    <tableColumn id="10746" xr3:uid="{64351266-5D72-48BA-9BF8-30C2045FB9C9}" name="Column10746"/>
    <tableColumn id="10747" xr3:uid="{DF73EDAE-2F6B-4957-92EE-F651B97CA227}" name="Column10747"/>
    <tableColumn id="10748" xr3:uid="{84394CBD-B301-48E9-B931-2417573ABCFC}" name="Column10748"/>
    <tableColumn id="10749" xr3:uid="{D9580093-B74E-401E-9EF7-7FC16AA06229}" name="Column10749"/>
    <tableColumn id="10750" xr3:uid="{B672800E-909A-4B2A-9C76-ABEDDD270B68}" name="Column10750"/>
    <tableColumn id="10751" xr3:uid="{895B93BD-337A-4414-8C19-A3F822E6440E}" name="Column10751"/>
    <tableColumn id="10752" xr3:uid="{C1191064-CC95-4816-B7EB-BD5C8362DDB6}" name="Column10752"/>
    <tableColumn id="10753" xr3:uid="{A129F85D-5ADB-463A-84FB-D2706E0AFC49}" name="Column10753"/>
    <tableColumn id="10754" xr3:uid="{11A4DCD9-7571-4710-A04F-0DCD15B41866}" name="Column10754"/>
    <tableColumn id="10755" xr3:uid="{7B7439D4-BEDA-4E81-973E-CAEA731EF1A2}" name="Column10755"/>
    <tableColumn id="10756" xr3:uid="{A1F61498-A617-4C82-9D36-5B9F863A1530}" name="Column10756"/>
    <tableColumn id="10757" xr3:uid="{AD6F8B9D-29E8-4029-BFC6-EF56F4B802B1}" name="Column10757"/>
    <tableColumn id="10758" xr3:uid="{DC0715E1-4F13-4042-A974-B56CA82D3CEB}" name="Column10758"/>
    <tableColumn id="10759" xr3:uid="{1AF99536-5AC9-4A30-9132-74AA8004AA86}" name="Column10759"/>
    <tableColumn id="10760" xr3:uid="{0C8EE18D-2AE8-4CF6-B11F-BB5ACB65508A}" name="Column10760"/>
    <tableColumn id="10761" xr3:uid="{220DFAAB-7F36-43B4-9983-D70D4F62FCD5}" name="Column10761"/>
    <tableColumn id="10762" xr3:uid="{C0CC59E0-61B1-438E-9617-B6188A6DD428}" name="Column10762"/>
    <tableColumn id="10763" xr3:uid="{4A0ED69B-3BAB-44BC-9EC4-0F6FAB95FE94}" name="Column10763"/>
    <tableColumn id="10764" xr3:uid="{7047C4E3-B43D-40E5-967D-82C075EF76BB}" name="Column10764"/>
    <tableColumn id="10765" xr3:uid="{C82910AC-51DB-4BB8-8392-EB6A4882D304}" name="Column10765"/>
    <tableColumn id="10766" xr3:uid="{25B26168-E966-4E13-ADE2-241D9649A581}" name="Column10766"/>
    <tableColumn id="10767" xr3:uid="{3611C3AE-7621-4897-9116-CCD1344C3FBC}" name="Column10767"/>
    <tableColumn id="10768" xr3:uid="{D1B1C544-98A5-4DCB-ADE3-28791535D6EA}" name="Column10768"/>
    <tableColumn id="10769" xr3:uid="{7F4E19C0-676D-417D-A31C-DE00B6F4E388}" name="Column10769"/>
    <tableColumn id="10770" xr3:uid="{93840395-1B7D-4158-9E81-2B18B19D0C63}" name="Column10770"/>
    <tableColumn id="10771" xr3:uid="{0D1C004A-27B3-4894-9F8D-1BFBB7225861}" name="Column10771"/>
    <tableColumn id="10772" xr3:uid="{E820C3F3-557C-472D-82D2-6ACF8BFF5A01}" name="Column10772"/>
    <tableColumn id="10773" xr3:uid="{07F81034-7A20-4EA7-9BB4-AB80675A3305}" name="Column10773"/>
    <tableColumn id="10774" xr3:uid="{2A9B4614-03C6-42AA-9A8D-6006AE7B2FD8}" name="Column10774"/>
    <tableColumn id="10775" xr3:uid="{9C4F71BD-716B-43D6-B148-B65D54B47576}" name="Column10775"/>
    <tableColumn id="10776" xr3:uid="{DF2BDAB8-9610-4D7E-8637-E053858991BF}" name="Column10776"/>
    <tableColumn id="10777" xr3:uid="{8AF14D08-B450-4C06-9D54-19E897FD96FE}" name="Column10777"/>
    <tableColumn id="10778" xr3:uid="{CA11F7AD-B74A-49E9-8AD0-9CFA4EAA8690}" name="Column10778"/>
    <tableColumn id="10779" xr3:uid="{038BE49C-01F8-4D0F-B937-97BA68111857}" name="Column10779"/>
    <tableColumn id="10780" xr3:uid="{76014C03-0D0B-451A-92B6-933C37F4E445}" name="Column10780"/>
    <tableColumn id="10781" xr3:uid="{37C02E59-DF10-4807-B9E6-361DB902B0D2}" name="Column10781"/>
    <tableColumn id="10782" xr3:uid="{4ABAB849-4513-47C9-9169-6653A8B025E2}" name="Column10782"/>
    <tableColumn id="10783" xr3:uid="{D3A2A9A0-75FF-4A7F-AB28-C97C744C7DAF}" name="Column10783"/>
    <tableColumn id="10784" xr3:uid="{95D95326-E4B3-439D-8D01-BB1F2EEAA830}" name="Column10784"/>
    <tableColumn id="10785" xr3:uid="{FB2D57DD-2AC7-45B9-95A1-5AC1CED393C0}" name="Column10785"/>
    <tableColumn id="10786" xr3:uid="{2E51229A-1A96-4A5F-AD95-DED1D38C6F07}" name="Column10786"/>
    <tableColumn id="10787" xr3:uid="{6723EAF7-8F05-456D-910E-B785B181682F}" name="Column10787"/>
    <tableColumn id="10788" xr3:uid="{78872186-40CE-4DC0-A47B-93A78ED984CA}" name="Column10788"/>
    <tableColumn id="10789" xr3:uid="{BC1E08C1-D052-4A79-B964-04AACA0F4C32}" name="Column10789"/>
    <tableColumn id="10790" xr3:uid="{6F6B7F9E-7ED5-452F-9D18-C362A376523D}" name="Column10790"/>
    <tableColumn id="10791" xr3:uid="{DC195867-2F3E-4F5E-948C-CDD6C8F65910}" name="Column10791"/>
    <tableColumn id="10792" xr3:uid="{F9F8D3E6-4692-4EA8-9048-672BE3F0850E}" name="Column10792"/>
    <tableColumn id="10793" xr3:uid="{760E77D2-E81A-4874-97FE-3AC89FAD492A}" name="Column10793"/>
    <tableColumn id="10794" xr3:uid="{B592A456-46B9-4BA2-ACED-FB1617E7AC98}" name="Column10794"/>
    <tableColumn id="10795" xr3:uid="{139D4570-57A8-458D-9563-05BDC0460B29}" name="Column10795"/>
    <tableColumn id="10796" xr3:uid="{02A7E12B-C2BF-44F0-926B-9BD938F69B95}" name="Column10796"/>
    <tableColumn id="10797" xr3:uid="{43845551-0DE2-4C86-8DB7-CA21A2928AA1}" name="Column10797"/>
    <tableColumn id="10798" xr3:uid="{085B900A-B542-4A81-85D9-D33D11961789}" name="Column10798"/>
    <tableColumn id="10799" xr3:uid="{2A97867E-F732-40AC-835E-5E42EA23A968}" name="Column10799"/>
    <tableColumn id="10800" xr3:uid="{BFF8030F-3CF1-4461-96FB-46A9EC791807}" name="Column10800"/>
    <tableColumn id="10801" xr3:uid="{3B278620-E269-4941-AAF2-AE4AD8D6B391}" name="Column10801"/>
    <tableColumn id="10802" xr3:uid="{F0019DA7-139B-4211-8712-C1586969444A}" name="Column10802"/>
    <tableColumn id="10803" xr3:uid="{271F04C4-EC83-47F3-83C3-07DF7EA806C3}" name="Column10803"/>
    <tableColumn id="10804" xr3:uid="{F950B539-7041-4E22-B5CF-7BEA3A45966D}" name="Column10804"/>
    <tableColumn id="10805" xr3:uid="{38392EA9-723A-4F13-B9CE-54BCC56A4D50}" name="Column10805"/>
    <tableColumn id="10806" xr3:uid="{E014BB04-F6EC-4DF6-B8E2-3745EBF4FA38}" name="Column10806"/>
    <tableColumn id="10807" xr3:uid="{85E81D6F-4DE3-4EC8-A3FD-84280F730B1C}" name="Column10807"/>
    <tableColumn id="10808" xr3:uid="{229C6C78-472C-4041-B875-88E3D71D5CE3}" name="Column10808"/>
    <tableColumn id="10809" xr3:uid="{DAB00CB1-C040-4830-BBE3-8E2E11CF9084}" name="Column10809"/>
    <tableColumn id="10810" xr3:uid="{84C9B772-5BC3-4B10-A9F0-2512D26B0752}" name="Column10810"/>
    <tableColumn id="10811" xr3:uid="{E84A0B76-A90F-41EA-82A2-4DA93FDAEF07}" name="Column10811"/>
    <tableColumn id="10812" xr3:uid="{AAC02AB4-99D3-4638-B884-C4E835A6CD76}" name="Column10812"/>
    <tableColumn id="10813" xr3:uid="{F741DDAA-ACAC-4DE0-9E44-09C6F5796F07}" name="Column10813"/>
    <tableColumn id="10814" xr3:uid="{96A494C6-378A-4460-B451-652530DF2097}" name="Column10814"/>
    <tableColumn id="10815" xr3:uid="{A829AB1E-FB73-4A80-8D7C-148AC3C57B12}" name="Column10815"/>
    <tableColumn id="10816" xr3:uid="{F0A95E54-1079-4883-992F-480E71F620FE}" name="Column10816"/>
    <tableColumn id="10817" xr3:uid="{9D868341-50D4-4159-B33F-6AB32E2314C7}" name="Column10817"/>
    <tableColumn id="10818" xr3:uid="{9C010886-4CE7-4ACD-B306-82B4AAA53855}" name="Column10818"/>
    <tableColumn id="10819" xr3:uid="{BDEB5EFC-0ED4-4A88-86FB-6C3B55BCA64E}" name="Column10819"/>
    <tableColumn id="10820" xr3:uid="{C02AF17F-2EED-452C-994D-9F6FA916815E}" name="Column10820"/>
    <tableColumn id="10821" xr3:uid="{1B87A24B-B172-4739-BCC6-6828C6263675}" name="Column10821"/>
    <tableColumn id="10822" xr3:uid="{9AA3A199-DF66-4CBB-83F4-2BE8601C6E3C}" name="Column10822"/>
    <tableColumn id="10823" xr3:uid="{30D32777-DE90-472B-A197-F8A9BE2C76F1}" name="Column10823"/>
    <tableColumn id="10824" xr3:uid="{8BB4E70A-81AF-4962-BB2A-80F0F803F7EB}" name="Column10824"/>
    <tableColumn id="10825" xr3:uid="{A6D4CD92-6352-4D0A-B6DB-9C74007F6E39}" name="Column10825"/>
    <tableColumn id="10826" xr3:uid="{77D02CA6-F4CF-401C-A854-7D7A025EB55F}" name="Column10826"/>
    <tableColumn id="10827" xr3:uid="{7E7A3A92-9512-4C84-B319-66205C61E98A}" name="Column10827"/>
    <tableColumn id="10828" xr3:uid="{24831CDC-6243-4C8F-8DEE-2189BD84447D}" name="Column10828"/>
    <tableColumn id="10829" xr3:uid="{8B7742AC-1C8D-47FF-9711-502037D7C321}" name="Column10829"/>
    <tableColumn id="10830" xr3:uid="{CEE87D9F-7CEF-48A0-A033-3EF9BB30F049}" name="Column10830"/>
    <tableColumn id="10831" xr3:uid="{BB4C3F55-5BA2-4217-89E6-C9907B0F2076}" name="Column10831"/>
    <tableColumn id="10832" xr3:uid="{F1382C2C-657C-45FF-9CD8-E831EB3EFD07}" name="Column10832"/>
    <tableColumn id="10833" xr3:uid="{2AF8C73C-2F46-4700-BDC7-7820449EBD27}" name="Column10833"/>
    <tableColumn id="10834" xr3:uid="{30AD630E-F9DF-4648-8B20-CD33BB646D67}" name="Column10834"/>
    <tableColumn id="10835" xr3:uid="{50FCD0A8-65F6-4B4A-81A4-E36C3729BBD6}" name="Column10835"/>
    <tableColumn id="10836" xr3:uid="{B881AD59-6F81-4A1B-9E57-65E0ACEC28CA}" name="Column10836"/>
    <tableColumn id="10837" xr3:uid="{CA11B16A-E977-4418-B165-09B4AAABA69A}" name="Column10837"/>
    <tableColumn id="10838" xr3:uid="{751FB435-C091-4326-B172-58430C67CC2B}" name="Column10838"/>
    <tableColumn id="10839" xr3:uid="{E7033F88-9E7E-414E-B149-3BA25C309047}" name="Column10839"/>
    <tableColumn id="10840" xr3:uid="{4AC6BBFC-A727-45CB-867D-0ED37D8104FF}" name="Column10840"/>
    <tableColumn id="10841" xr3:uid="{09E0BB89-5155-45C0-B416-89ED857CEA30}" name="Column10841"/>
    <tableColumn id="10842" xr3:uid="{9B911423-255F-4AF5-B216-DB927A3ECD88}" name="Column10842"/>
    <tableColumn id="10843" xr3:uid="{3D9664CF-67A2-4FD9-81CA-D12085C611F7}" name="Column10843"/>
    <tableColumn id="10844" xr3:uid="{6CC0E9E0-E68B-4E11-8914-AF6C49399B86}" name="Column10844"/>
    <tableColumn id="10845" xr3:uid="{A42890E0-CDCE-4B71-85AA-5908E2D2F8BF}" name="Column10845"/>
    <tableColumn id="10846" xr3:uid="{3E90E8F1-1F10-4016-AB4D-3C7E2438B763}" name="Column10846"/>
    <tableColumn id="10847" xr3:uid="{D2E80F33-7C67-4DBB-A89C-D3E4D177A72F}" name="Column10847"/>
    <tableColumn id="10848" xr3:uid="{2ABEEB1F-BE5F-4EC1-A473-10542C6C7C5E}" name="Column10848"/>
    <tableColumn id="10849" xr3:uid="{C37A9B79-914D-4DA3-BB25-A6A4430AE8DD}" name="Column10849"/>
    <tableColumn id="10850" xr3:uid="{81680E50-C6F0-44C4-A6A4-44F4702DE3BA}" name="Column10850"/>
    <tableColumn id="10851" xr3:uid="{543760F5-D4A6-4A8B-A0E6-F248CC1BF3A7}" name="Column10851"/>
    <tableColumn id="10852" xr3:uid="{78B15E28-195C-4B64-9767-3078AACE74E0}" name="Column10852"/>
    <tableColumn id="10853" xr3:uid="{457992CF-DA5A-43B0-8F22-007DCB5988EF}" name="Column10853"/>
    <tableColumn id="10854" xr3:uid="{24EA8046-75D2-4AC2-9B6A-61398B5A9AA7}" name="Column10854"/>
    <tableColumn id="10855" xr3:uid="{8D27F6F5-9C17-4DD1-A3D2-995C5BBBEF66}" name="Column10855"/>
    <tableColumn id="10856" xr3:uid="{56A9AA46-1FB4-4FCA-8004-17308CE353E4}" name="Column10856"/>
    <tableColumn id="10857" xr3:uid="{EAD3A26A-A90B-4E2A-AAE4-4317A0FC5803}" name="Column10857"/>
    <tableColumn id="10858" xr3:uid="{113E233D-5EA2-4C39-B8C0-61A680B804AE}" name="Column10858"/>
    <tableColumn id="10859" xr3:uid="{2C534E08-C619-4826-A878-4398F8CB69DF}" name="Column10859"/>
    <tableColumn id="10860" xr3:uid="{ECC7BF5D-8DED-47DC-835A-6C48D346F87F}" name="Column10860"/>
    <tableColumn id="10861" xr3:uid="{F5D67B1E-77A9-4C05-BAE8-14ED4F7C4D8D}" name="Column10861"/>
    <tableColumn id="10862" xr3:uid="{1BDA97DB-AC57-4AC9-A08D-EFBC41ADEE38}" name="Column10862"/>
    <tableColumn id="10863" xr3:uid="{2617012A-E454-4969-9F56-5D81E0D4EA52}" name="Column10863"/>
    <tableColumn id="10864" xr3:uid="{6260E586-C785-41AD-81AB-F73B2204F8E9}" name="Column10864"/>
    <tableColumn id="10865" xr3:uid="{777135D5-622F-45FE-BDC4-A8E30FC8AA79}" name="Column10865"/>
    <tableColumn id="10866" xr3:uid="{DBDA32F4-D6E3-4874-B783-ECC48FD67734}" name="Column10866"/>
    <tableColumn id="10867" xr3:uid="{53A14CD2-AD67-4938-8403-6CBE3F5DB0E4}" name="Column10867"/>
    <tableColumn id="10868" xr3:uid="{02161F7A-87B8-497E-87E7-1EFF28063BEB}" name="Column10868"/>
    <tableColumn id="10869" xr3:uid="{BD3E22A1-08FD-45D3-9978-18DA0EBCE518}" name="Column10869"/>
    <tableColumn id="10870" xr3:uid="{E60610CD-39BD-47D3-86BF-57AC718EA660}" name="Column10870"/>
    <tableColumn id="10871" xr3:uid="{371A94E5-7A5F-4C8E-A6BC-6117C544A5CC}" name="Column10871"/>
    <tableColumn id="10872" xr3:uid="{6A4771CC-B14B-4D34-82B3-DBB1450BB0D3}" name="Column10872"/>
    <tableColumn id="10873" xr3:uid="{7B1A3E4E-23A5-4E36-AA7E-689CE9548C0A}" name="Column10873"/>
    <tableColumn id="10874" xr3:uid="{FAC3AD33-A530-44E0-98B4-4E9EAA5427BD}" name="Column10874"/>
    <tableColumn id="10875" xr3:uid="{1FC458CB-0EAB-4001-8481-72941CC52331}" name="Column10875"/>
    <tableColumn id="10876" xr3:uid="{23731721-E4D1-415A-B9EB-E428ACDF5D91}" name="Column10876"/>
    <tableColumn id="10877" xr3:uid="{E15770C6-5718-4F95-BAF5-98924E822BB5}" name="Column10877"/>
    <tableColumn id="10878" xr3:uid="{5CE3A598-070B-4F6D-9D22-340F8E57B01F}" name="Column10878"/>
    <tableColumn id="10879" xr3:uid="{2BB4144F-E0F7-431E-8E09-FC96C844899A}" name="Column10879"/>
    <tableColumn id="10880" xr3:uid="{02445DC5-D7B9-40A6-BB6E-1DFB21C0987F}" name="Column10880"/>
    <tableColumn id="10881" xr3:uid="{4812A2FA-237F-45C0-9D4F-39EA592771FB}" name="Column10881"/>
    <tableColumn id="10882" xr3:uid="{0F166B89-E92D-4810-9FE8-E4BF4178E4B8}" name="Column10882"/>
    <tableColumn id="10883" xr3:uid="{43FECCE5-791A-4496-85ED-CAF9799552CB}" name="Column10883"/>
    <tableColumn id="10884" xr3:uid="{8980FD1E-04A2-4B33-9C01-E69B2460F88B}" name="Column10884"/>
    <tableColumn id="10885" xr3:uid="{916AA606-E9E6-4FAC-8C1E-5821165304DC}" name="Column10885"/>
    <tableColumn id="10886" xr3:uid="{DFB91A18-2B64-45F6-9790-1056B5D7B14B}" name="Column10886"/>
    <tableColumn id="10887" xr3:uid="{5F178E1C-0E03-4E82-B1AA-CD86A5013F82}" name="Column10887"/>
    <tableColumn id="10888" xr3:uid="{0E4EF456-713F-45CB-ACDF-75A1420C17C6}" name="Column10888"/>
    <tableColumn id="10889" xr3:uid="{AEC76A91-F4B1-4CF7-A080-880518DB448F}" name="Column10889"/>
    <tableColumn id="10890" xr3:uid="{E6679107-49A2-4A0D-864E-A1A76F213E1D}" name="Column10890"/>
    <tableColumn id="10891" xr3:uid="{E44B4082-86A2-46AE-A56A-3C74A6E6CE70}" name="Column10891"/>
    <tableColumn id="10892" xr3:uid="{1C0F1EB1-6333-4383-9CFF-B53BEC1D2457}" name="Column10892"/>
    <tableColumn id="10893" xr3:uid="{E6462762-095F-4CB4-9A48-EE01A587D620}" name="Column10893"/>
    <tableColumn id="10894" xr3:uid="{D7982E09-046F-4C38-8505-98726996A3E9}" name="Column10894"/>
    <tableColumn id="10895" xr3:uid="{C251CE3F-62BA-48EA-A5B4-F8363B8BD691}" name="Column10895"/>
    <tableColumn id="10896" xr3:uid="{4E383BB3-FBF8-41CB-AEE1-6C388F60DF6E}" name="Column10896"/>
    <tableColumn id="10897" xr3:uid="{A7EB5A42-DBC4-4C2A-9665-5B96BC1BFE8E}" name="Column10897"/>
    <tableColumn id="10898" xr3:uid="{C0C95979-7EF5-440B-9931-32A3CCE84181}" name="Column10898"/>
    <tableColumn id="10899" xr3:uid="{5F09D607-66CE-4244-8F41-55CD166A82F5}" name="Column10899"/>
    <tableColumn id="10900" xr3:uid="{FF3C280E-3FFA-44DF-A7E0-EDBDFB229DCB}" name="Column10900"/>
    <tableColumn id="10901" xr3:uid="{BF03237F-F709-4B35-805D-28B5B10143D3}" name="Column10901"/>
    <tableColumn id="10902" xr3:uid="{CCD54017-6C49-4A45-A264-570EB5169D39}" name="Column10902"/>
    <tableColumn id="10903" xr3:uid="{1500F2CD-FC36-409B-83E4-1CAC6AA9A4C5}" name="Column10903"/>
    <tableColumn id="10904" xr3:uid="{B91FC52A-619C-423C-9E59-BF53E1DED602}" name="Column10904"/>
    <tableColumn id="10905" xr3:uid="{E110B1BD-F6F3-4B6F-894D-6DC1F7E16C61}" name="Column10905"/>
    <tableColumn id="10906" xr3:uid="{C27F514C-59E5-4643-B7F1-B9492F7D60B0}" name="Column10906"/>
    <tableColumn id="10907" xr3:uid="{35943634-81B5-47AA-9F0F-B74A958567D2}" name="Column10907"/>
    <tableColumn id="10908" xr3:uid="{49161FD3-D4DB-4D96-A143-02CA5161B036}" name="Column10908"/>
    <tableColumn id="10909" xr3:uid="{16099D85-DBA9-4B5D-A155-2AD5DC6F0E1D}" name="Column10909"/>
    <tableColumn id="10910" xr3:uid="{3AE50E97-1A1F-48DD-8070-F203537D056F}" name="Column10910"/>
    <tableColumn id="10911" xr3:uid="{D3E3251B-04C4-47D7-A49F-B7F3E62CB3D0}" name="Column10911"/>
    <tableColumn id="10912" xr3:uid="{8B99874D-CC4A-4C8C-94A0-A6D1A7260AF6}" name="Column10912"/>
    <tableColumn id="10913" xr3:uid="{79AD85A1-0AE2-43DA-8239-05B3DE2C3C54}" name="Column10913"/>
    <tableColumn id="10914" xr3:uid="{F7076AA1-82BC-4DD9-BE4C-B7BE005C4134}" name="Column10914"/>
    <tableColumn id="10915" xr3:uid="{EA02CF21-261C-4E19-AA9D-0CFDE3C4A675}" name="Column10915"/>
    <tableColumn id="10916" xr3:uid="{66E8CCAF-AA51-461D-A54C-EDE10DA3AC70}" name="Column10916"/>
    <tableColumn id="10917" xr3:uid="{FB0E3C27-8B47-4985-9CCA-2D483BA2FEBA}" name="Column10917"/>
    <tableColumn id="10918" xr3:uid="{15FFE8C3-073D-4F80-8307-E7FDB7644171}" name="Column10918"/>
    <tableColumn id="10919" xr3:uid="{E5B30134-13FA-46E8-857F-A3C6B3EC8638}" name="Column10919"/>
    <tableColumn id="10920" xr3:uid="{00A4EF4A-295E-413C-B3E7-8CDC2F773E97}" name="Column10920"/>
    <tableColumn id="10921" xr3:uid="{2D46AF1E-F3D0-490E-A0E7-01E6CE9D3347}" name="Column10921"/>
    <tableColumn id="10922" xr3:uid="{7F24EA57-743F-47C2-BB05-96F0C404D199}" name="Column10922"/>
    <tableColumn id="10923" xr3:uid="{9C13F545-8D6B-4455-A25F-9F905CBDFCD4}" name="Column10923"/>
    <tableColumn id="10924" xr3:uid="{802C2649-DBB0-41CF-8779-9674F3DDE063}" name="Column10924"/>
    <tableColumn id="10925" xr3:uid="{044771BA-9A6B-4320-962C-53ED3C987F82}" name="Column10925"/>
    <tableColumn id="10926" xr3:uid="{C35D0469-3AD1-482D-8AA5-48149853D21B}" name="Column10926"/>
    <tableColumn id="10927" xr3:uid="{935CD075-F3E2-4DDA-8A3E-E187DEC94CA7}" name="Column10927"/>
    <tableColumn id="10928" xr3:uid="{3E63DB01-4028-4EA6-9F51-8592A6DA1510}" name="Column10928"/>
    <tableColumn id="10929" xr3:uid="{B835F188-2D6F-42D4-B847-C17605763231}" name="Column10929"/>
    <tableColumn id="10930" xr3:uid="{A138E14C-0A92-48D1-A58F-9D8B85C50C42}" name="Column10930"/>
    <tableColumn id="10931" xr3:uid="{699AC69A-F72C-426B-A137-156F5B23A8FD}" name="Column10931"/>
    <tableColumn id="10932" xr3:uid="{0341A477-ED75-43A7-87AC-F96B43AA6114}" name="Column10932"/>
    <tableColumn id="10933" xr3:uid="{05C242CF-5FDF-4E3B-B118-BD13E9018327}" name="Column10933"/>
    <tableColumn id="10934" xr3:uid="{375A3C6A-C08E-48B9-B6A8-B5412A783396}" name="Column10934"/>
    <tableColumn id="10935" xr3:uid="{E953E77E-34E1-46C6-B14E-7498A877A85A}" name="Column10935"/>
    <tableColumn id="10936" xr3:uid="{00BB0B99-E9A3-4186-99AF-CD2DDEF782CA}" name="Column10936"/>
    <tableColumn id="10937" xr3:uid="{D27EBD3D-F15F-4E35-9908-C3359E43EC56}" name="Column10937"/>
    <tableColumn id="10938" xr3:uid="{8D50534B-3230-4F18-B466-EC0CC607AB8B}" name="Column10938"/>
    <tableColumn id="10939" xr3:uid="{44D325D9-491B-453A-B97B-9218440A7167}" name="Column10939"/>
    <tableColumn id="10940" xr3:uid="{94869E92-BB6A-4907-A4B6-D99FE375FB15}" name="Column10940"/>
    <tableColumn id="10941" xr3:uid="{63B5DFFA-0C53-4B20-A3AA-1DEC5A355CAA}" name="Column10941"/>
    <tableColumn id="10942" xr3:uid="{E2915688-F0C7-4F14-8EAC-057CB3E3D5DF}" name="Column10942"/>
    <tableColumn id="10943" xr3:uid="{C1068152-6831-4180-AF74-37D525CEC978}" name="Column10943"/>
    <tableColumn id="10944" xr3:uid="{F012F23B-69C3-454D-A132-4B0E4EAAB4E9}" name="Column10944"/>
    <tableColumn id="10945" xr3:uid="{00F26ABE-EDF8-4B89-99B4-C1D92B338ED8}" name="Column10945"/>
    <tableColumn id="10946" xr3:uid="{9D8E36DB-6225-42FE-A331-58F82740957A}" name="Column10946"/>
    <tableColumn id="10947" xr3:uid="{8E050F3E-E111-4459-8A90-33231B360438}" name="Column10947"/>
    <tableColumn id="10948" xr3:uid="{616531CA-A4A8-46C9-9D63-A9B1CF25618F}" name="Column10948"/>
    <tableColumn id="10949" xr3:uid="{A36B5E88-EFF2-46E9-9874-8C28B2048232}" name="Column10949"/>
    <tableColumn id="10950" xr3:uid="{EBF071F0-6806-4CCE-87B8-23391EC5C2DC}" name="Column10950"/>
    <tableColumn id="10951" xr3:uid="{59DB2F59-B0CC-4BBF-BC22-0AAC7D488300}" name="Column10951"/>
    <tableColumn id="10952" xr3:uid="{AFCD22F7-9F08-4764-A100-82493CD49A6E}" name="Column10952"/>
    <tableColumn id="10953" xr3:uid="{B1FB36A6-A9E1-4403-880D-FA0C74D91ED7}" name="Column10953"/>
    <tableColumn id="10954" xr3:uid="{89CDCB56-7FE2-4509-938B-628E1C3BCC90}" name="Column10954"/>
    <tableColumn id="10955" xr3:uid="{79648578-CE6C-475C-B925-B54498697D76}" name="Column10955"/>
    <tableColumn id="10956" xr3:uid="{341D7D87-3238-4C5F-9DDA-136741552C4C}" name="Column10956"/>
    <tableColumn id="10957" xr3:uid="{ECEE54B3-0A2B-4AE1-9B83-50A65106A599}" name="Column10957"/>
    <tableColumn id="10958" xr3:uid="{823C0265-7D54-4AFF-B640-E057D90F6355}" name="Column10958"/>
    <tableColumn id="10959" xr3:uid="{4070FB44-A215-41D5-AA16-C5902C958712}" name="Column10959"/>
    <tableColumn id="10960" xr3:uid="{9ECE246A-62AB-4F28-98CB-613160487364}" name="Column10960"/>
    <tableColumn id="10961" xr3:uid="{E16FBEB4-0F6B-4EB1-B277-C927A2C9D793}" name="Column10961"/>
    <tableColumn id="10962" xr3:uid="{D90A5565-1498-49AE-B2C5-A1D74048CBFC}" name="Column10962"/>
    <tableColumn id="10963" xr3:uid="{70357B00-43C9-4264-BC53-8D1C0E25F053}" name="Column10963"/>
    <tableColumn id="10964" xr3:uid="{2A8B3B06-E38E-43AD-B512-8C495001D033}" name="Column10964"/>
    <tableColumn id="10965" xr3:uid="{2F8DD305-AC70-48D4-98A9-6212693F2D0C}" name="Column10965"/>
    <tableColumn id="10966" xr3:uid="{AFEA2AF9-DDFC-4758-9999-49A7A8FE4BC3}" name="Column10966"/>
    <tableColumn id="10967" xr3:uid="{C197C036-6BE2-4DD1-9A33-F53FA512C866}" name="Column10967"/>
    <tableColumn id="10968" xr3:uid="{3A9DF1E1-95B2-48B3-BAD7-DC2817CD98F6}" name="Column10968"/>
    <tableColumn id="10969" xr3:uid="{FE42BE78-DFB2-4745-8630-8B06B92BEDF2}" name="Column10969"/>
    <tableColumn id="10970" xr3:uid="{9AA0F57A-25D1-4D50-8FBC-CA375FDCE910}" name="Column10970"/>
    <tableColumn id="10971" xr3:uid="{B4735C89-D61D-43CD-85ED-BDF8E56D7373}" name="Column10971"/>
    <tableColumn id="10972" xr3:uid="{92043233-0C69-4280-8301-26421F6E2625}" name="Column10972"/>
    <tableColumn id="10973" xr3:uid="{BA5B5533-1DCE-4647-864E-967E19CDAF63}" name="Column10973"/>
    <tableColumn id="10974" xr3:uid="{18A9D721-6C56-41E4-BBAB-4DE46B63C124}" name="Column10974"/>
    <tableColumn id="10975" xr3:uid="{5084C345-51FC-46D0-9CFE-C0128C0B1E7D}" name="Column10975"/>
    <tableColumn id="10976" xr3:uid="{7C689A56-2FD8-4872-A010-51A299DDD631}" name="Column10976"/>
    <tableColumn id="10977" xr3:uid="{8127F523-AAA5-444B-89E8-2CE67F1A3C5B}" name="Column10977"/>
    <tableColumn id="10978" xr3:uid="{CBA80FCF-3031-4161-83CE-A18BA845CA3D}" name="Column10978"/>
    <tableColumn id="10979" xr3:uid="{27685385-036B-43BD-8768-6FAB81A5C18A}" name="Column10979"/>
    <tableColumn id="10980" xr3:uid="{FC098B9E-7218-40EA-AB55-95990BF74191}" name="Column10980"/>
    <tableColumn id="10981" xr3:uid="{DEFCB3BE-514C-4DCE-9301-8AE82A3200EF}" name="Column10981"/>
    <tableColumn id="10982" xr3:uid="{437838E8-E373-4859-8064-ED6AFC3277A8}" name="Column10982"/>
    <tableColumn id="10983" xr3:uid="{30214BE5-A6A0-4F67-8712-C1078E03755C}" name="Column10983"/>
    <tableColumn id="10984" xr3:uid="{26287CDA-B51A-4F04-A52E-F1FCAD5C17AE}" name="Column10984"/>
    <tableColumn id="10985" xr3:uid="{9A7B462E-0F6E-445F-9F2D-D5F6F886928B}" name="Column10985"/>
    <tableColumn id="10986" xr3:uid="{E18F9B72-A779-4D1C-B31B-356071117A15}" name="Column10986"/>
    <tableColumn id="10987" xr3:uid="{1F7CEB18-57BE-46C3-A108-AD7A8161F87B}" name="Column10987"/>
    <tableColumn id="10988" xr3:uid="{E9A81BFB-9F99-45AC-B239-496CBE771739}" name="Column10988"/>
    <tableColumn id="10989" xr3:uid="{1E48AB30-FC6F-4CE3-9A5D-F678C0E8F705}" name="Column10989"/>
    <tableColumn id="10990" xr3:uid="{1C4E25C4-F3A9-4B99-BD1B-05A78E9AEB51}" name="Column10990"/>
    <tableColumn id="10991" xr3:uid="{2AB6640A-3E34-415C-AD62-201EEC1FA985}" name="Column10991"/>
    <tableColumn id="10992" xr3:uid="{F55041A0-1D75-420C-82D9-5258341B2B64}" name="Column10992"/>
    <tableColumn id="10993" xr3:uid="{C224BC22-2BDF-471B-B09B-52635EEB4CB1}" name="Column10993"/>
    <tableColumn id="10994" xr3:uid="{78327BAA-DA43-4FB4-A99D-64EB36E08350}" name="Column10994"/>
    <tableColumn id="10995" xr3:uid="{F9BA17C0-071F-4503-B57B-C4DA7EB0DEB5}" name="Column10995"/>
    <tableColumn id="10996" xr3:uid="{FA0CC78C-1793-47EA-BA79-9427DF791C2E}" name="Column10996"/>
    <tableColumn id="10997" xr3:uid="{0C0963C5-DDF3-457B-ABEA-283278692A90}" name="Column10997"/>
    <tableColumn id="10998" xr3:uid="{4020A501-8CCF-44CA-8FFF-FC1BFFA94B94}" name="Column10998"/>
    <tableColumn id="10999" xr3:uid="{B7EB158F-3375-42B0-892C-A9BCC8A2C225}" name="Column10999"/>
    <tableColumn id="11000" xr3:uid="{801845E8-C408-4A78-90B6-CA4EFB2B250E}" name="Column11000"/>
    <tableColumn id="11001" xr3:uid="{F5B2F4EC-5EB9-4BC0-98F6-6568FAD21CCC}" name="Column11001"/>
    <tableColumn id="11002" xr3:uid="{68406BB3-C938-4DD7-9A60-06C977012CA6}" name="Column11002"/>
    <tableColumn id="11003" xr3:uid="{069F6CD8-59B0-41D3-89D1-5FF81F7F621C}" name="Column11003"/>
    <tableColumn id="11004" xr3:uid="{E8D7602E-3924-4D79-9863-4836B2203EFE}" name="Column11004"/>
    <tableColumn id="11005" xr3:uid="{C7CAA8DB-CFD6-4C0F-BECA-52E034DA9FC2}" name="Column11005"/>
    <tableColumn id="11006" xr3:uid="{34EE3D4B-16A8-4D40-BDEF-78080CD5BA70}" name="Column11006"/>
    <tableColumn id="11007" xr3:uid="{3BE28E38-D8F4-4090-BF01-312116CEDF2A}" name="Column11007"/>
    <tableColumn id="11008" xr3:uid="{B2D528D6-12BB-4729-A667-273F40D88ECD}" name="Column11008"/>
    <tableColumn id="11009" xr3:uid="{DABCC22C-2E56-4383-B5B5-88DFD3127183}" name="Column11009"/>
    <tableColumn id="11010" xr3:uid="{E365949F-239C-4314-A082-860E3971B2E6}" name="Column11010"/>
    <tableColumn id="11011" xr3:uid="{3CBE5353-4A73-46AB-BAAA-C3EB1119F3BF}" name="Column11011"/>
    <tableColumn id="11012" xr3:uid="{34D337CF-70F4-4F67-B55F-F94384E78561}" name="Column11012"/>
    <tableColumn id="11013" xr3:uid="{007F65A2-C284-49C8-B9E6-167259E609B6}" name="Column11013"/>
    <tableColumn id="11014" xr3:uid="{6BF46588-8041-475C-8707-A7ED4801ABB6}" name="Column11014"/>
    <tableColumn id="11015" xr3:uid="{A59F141F-FFD5-4D90-9951-126ABCB42B22}" name="Column11015"/>
    <tableColumn id="11016" xr3:uid="{F2C9BB77-415C-4DBF-89F2-BA1A54DF8C5C}" name="Column11016"/>
    <tableColumn id="11017" xr3:uid="{0CB00FEE-2CF5-43E3-932F-04D663D79AD1}" name="Column11017"/>
    <tableColumn id="11018" xr3:uid="{ABCAAF31-066F-496B-9B7F-4D4031DE2017}" name="Column11018"/>
    <tableColumn id="11019" xr3:uid="{A0EBFEB4-CAE8-459F-8536-7587C6631D66}" name="Column11019"/>
    <tableColumn id="11020" xr3:uid="{C46F49D8-3DE2-4D8C-B479-0844D34C6AF7}" name="Column11020"/>
    <tableColumn id="11021" xr3:uid="{861EFC9D-DB93-4EFB-9B3C-6F2743DB703D}" name="Column11021"/>
    <tableColumn id="11022" xr3:uid="{BCBCAAC3-15F3-45CD-9D59-3391AACDC564}" name="Column11022"/>
    <tableColumn id="11023" xr3:uid="{90FF4164-69A6-455E-B52B-C4DDA8CF2795}" name="Column11023"/>
    <tableColumn id="11024" xr3:uid="{47A50F60-FBB3-4C65-9CBE-92470773D487}" name="Column11024"/>
    <tableColumn id="11025" xr3:uid="{AB6D05D2-A27C-47FE-BF5C-652C13881D50}" name="Column11025"/>
    <tableColumn id="11026" xr3:uid="{3A035C43-12A6-46EE-A23D-FEB7AA84D76C}" name="Column11026"/>
    <tableColumn id="11027" xr3:uid="{281E6956-3D5C-4BD9-A651-61F45F46BBD8}" name="Column11027"/>
    <tableColumn id="11028" xr3:uid="{49F4571C-0273-4CBD-BE02-D6F4DA7FAC38}" name="Column11028"/>
    <tableColumn id="11029" xr3:uid="{41F654D8-E18E-413A-9527-56F9495ECA6B}" name="Column11029"/>
    <tableColumn id="11030" xr3:uid="{BF406211-49BB-47EA-805F-7B74CDC98814}" name="Column11030"/>
    <tableColumn id="11031" xr3:uid="{3D90533A-CBA8-412A-B37F-2AFED06B63D1}" name="Column11031"/>
    <tableColumn id="11032" xr3:uid="{0445E587-5020-466E-A0DD-CDAF2D50CF3E}" name="Column11032"/>
    <tableColumn id="11033" xr3:uid="{4D0A2A2F-C473-4958-88B8-B1C71C6E58DB}" name="Column11033"/>
    <tableColumn id="11034" xr3:uid="{87726C68-F155-4FBA-BDC3-36539E428B1E}" name="Column11034"/>
    <tableColumn id="11035" xr3:uid="{90DB022E-A12C-4CAF-94DC-4066DC6BF789}" name="Column11035"/>
    <tableColumn id="11036" xr3:uid="{7F053B60-9C1E-4FE8-8924-E39E246AF953}" name="Column11036"/>
    <tableColumn id="11037" xr3:uid="{2D9150B7-A8D3-4AC1-9232-63875FE8CC56}" name="Column11037"/>
    <tableColumn id="11038" xr3:uid="{0564DFBA-D7E4-4439-B3EA-6750F6C8D756}" name="Column11038"/>
    <tableColumn id="11039" xr3:uid="{2DD589CC-790B-4D27-8255-D074EFC2226B}" name="Column11039"/>
    <tableColumn id="11040" xr3:uid="{601A5B45-B734-493D-BB66-EACA19BE2F9A}" name="Column11040"/>
    <tableColumn id="11041" xr3:uid="{19BEF563-D296-4FE3-8601-90EB49A9737E}" name="Column11041"/>
    <tableColumn id="11042" xr3:uid="{4E5CDEAE-85F3-4579-A223-059E7C49908A}" name="Column11042"/>
    <tableColumn id="11043" xr3:uid="{2DE39AF5-B91E-41C5-8394-F12529792D3A}" name="Column11043"/>
    <tableColumn id="11044" xr3:uid="{F1F99A5D-C75B-496D-A69D-B2EDD6A7BB73}" name="Column11044"/>
    <tableColumn id="11045" xr3:uid="{B0C6A8B0-EF03-4530-BEBA-0ECC1A427184}" name="Column11045"/>
    <tableColumn id="11046" xr3:uid="{2BB6C2F9-A813-4E1D-9449-33054538C236}" name="Column11046"/>
    <tableColumn id="11047" xr3:uid="{A77DA5BC-0DD7-444D-BF64-0CC8D6D704D5}" name="Column11047"/>
    <tableColumn id="11048" xr3:uid="{CED737E0-AC57-42F0-8C13-466C3305E4BD}" name="Column11048"/>
    <tableColumn id="11049" xr3:uid="{E1E9FAF9-A6D2-48FC-BA20-85203DBFFFF1}" name="Column11049"/>
    <tableColumn id="11050" xr3:uid="{FC825C11-C310-4947-BFBD-444EFAFE953E}" name="Column11050"/>
    <tableColumn id="11051" xr3:uid="{0866B1F7-203A-4A60-8C0A-C8CF987595E7}" name="Column11051"/>
    <tableColumn id="11052" xr3:uid="{45094EE3-D57B-4F9C-AB9C-0FC857A30D04}" name="Column11052"/>
    <tableColumn id="11053" xr3:uid="{B260DE91-BA65-4694-B032-7DB4FEF6F9A9}" name="Column11053"/>
    <tableColumn id="11054" xr3:uid="{BBA87148-5128-49FC-A05A-4463A380EC1A}" name="Column11054"/>
    <tableColumn id="11055" xr3:uid="{B50DECBD-91F2-4793-BEB1-42FDA3E4A5E3}" name="Column11055"/>
    <tableColumn id="11056" xr3:uid="{7592B9CB-4920-4962-9E8A-33678C569EC6}" name="Column11056"/>
    <tableColumn id="11057" xr3:uid="{E63736A0-3346-4879-B684-A62A33F9B2AA}" name="Column11057"/>
    <tableColumn id="11058" xr3:uid="{A2D40F49-868A-4DF1-98B8-F9927C1A919F}" name="Column11058"/>
    <tableColumn id="11059" xr3:uid="{4C4414A9-0A0B-4385-81BA-0222A095F051}" name="Column11059"/>
    <tableColumn id="11060" xr3:uid="{11F0BE74-4664-43D7-9053-787183583CEF}" name="Column11060"/>
    <tableColumn id="11061" xr3:uid="{EDCF3AF1-7425-42A1-BA74-D575CB6FB58E}" name="Column11061"/>
    <tableColumn id="11062" xr3:uid="{82A59CC7-05A3-4DF2-B038-F72530B5F2CB}" name="Column11062"/>
    <tableColumn id="11063" xr3:uid="{F70156CC-144C-4E16-8299-E9CD348A68B4}" name="Column11063"/>
    <tableColumn id="11064" xr3:uid="{9E114095-CE78-4BE5-AF53-18AEFC96A9E8}" name="Column11064"/>
    <tableColumn id="11065" xr3:uid="{AEE0F11E-FE40-4524-993F-D4DC8EF84A52}" name="Column11065"/>
    <tableColumn id="11066" xr3:uid="{9E22BF57-F3D2-4EAF-BB21-098D3876A573}" name="Column11066"/>
    <tableColumn id="11067" xr3:uid="{D3BF5186-4F2C-4D98-93FF-8CECBDE7D0BE}" name="Column11067"/>
    <tableColumn id="11068" xr3:uid="{D4144706-8C10-40BF-8132-F855200C605B}" name="Column11068"/>
    <tableColumn id="11069" xr3:uid="{A650E6A1-E76E-414A-81AC-C6A6CC6F3A4F}" name="Column11069"/>
    <tableColumn id="11070" xr3:uid="{3E6138FE-611B-482C-9A52-0E21C389C50D}" name="Column11070"/>
    <tableColumn id="11071" xr3:uid="{E6240B75-991D-434A-86FB-E907E62C8858}" name="Column11071"/>
    <tableColumn id="11072" xr3:uid="{52E2060B-5312-488D-AA9D-9DF5F53FCDA2}" name="Column11072"/>
    <tableColumn id="11073" xr3:uid="{974A2786-A84A-40F2-8299-813B3F921424}" name="Column11073"/>
    <tableColumn id="11074" xr3:uid="{F9E46C1B-C435-4377-8974-EEB64EBA317F}" name="Column11074"/>
    <tableColumn id="11075" xr3:uid="{194597FA-C8AE-4B96-8CCC-270935AB3781}" name="Column11075"/>
    <tableColumn id="11076" xr3:uid="{E8F74DE3-CA89-4910-93FF-D055DDADAA97}" name="Column11076"/>
    <tableColumn id="11077" xr3:uid="{C61BDE6A-4518-4333-AC16-B531F384C850}" name="Column11077"/>
    <tableColumn id="11078" xr3:uid="{7BFB68B5-A8F6-49C3-BE9A-EC6863476701}" name="Column11078"/>
    <tableColumn id="11079" xr3:uid="{6162D2AF-E9C6-4F28-A058-8FA3B4FA4D02}" name="Column11079"/>
    <tableColumn id="11080" xr3:uid="{F667048B-D4CA-4EE1-A4DA-EEAE88B7D2C4}" name="Column11080"/>
    <tableColumn id="11081" xr3:uid="{8DDD8468-B5DA-44AC-8D99-1666B28643F2}" name="Column11081"/>
    <tableColumn id="11082" xr3:uid="{35B16261-5BF1-4987-ABC3-7DECE374C691}" name="Column11082"/>
    <tableColumn id="11083" xr3:uid="{A3C0A88F-C1A1-4EE6-AA8F-229187F24FC0}" name="Column11083"/>
    <tableColumn id="11084" xr3:uid="{6C31F400-81E1-45D1-AE66-50E924EAE2A1}" name="Column11084"/>
    <tableColumn id="11085" xr3:uid="{CF085E83-B632-423A-8E67-491F76433538}" name="Column11085"/>
    <tableColumn id="11086" xr3:uid="{A8CF0941-F69C-4B03-8396-A6F57A3A7C5F}" name="Column11086"/>
    <tableColumn id="11087" xr3:uid="{57F63F96-4630-4EFA-A33E-91C9082CE943}" name="Column11087"/>
    <tableColumn id="11088" xr3:uid="{BC4B4255-44D5-45BB-9FE9-0EA73FC6BDA2}" name="Column11088"/>
    <tableColumn id="11089" xr3:uid="{302DF8D0-7F8D-4226-B9BA-216820596457}" name="Column11089"/>
    <tableColumn id="11090" xr3:uid="{5F6CE191-0C10-46AD-AAC5-2F857E198E05}" name="Column11090"/>
    <tableColumn id="11091" xr3:uid="{C5EC2931-7043-4D87-9C01-19835B7099BF}" name="Column11091"/>
    <tableColumn id="11092" xr3:uid="{35AE436E-1E1C-4615-9BCA-4BE0E2E4117C}" name="Column11092"/>
    <tableColumn id="11093" xr3:uid="{CF525239-6333-4B84-9880-A9EF03B174DE}" name="Column11093"/>
    <tableColumn id="11094" xr3:uid="{637FF16A-2099-4898-AF76-FA31D8632410}" name="Column11094"/>
    <tableColumn id="11095" xr3:uid="{E72973F4-B90F-4FDB-8339-5B249BC6592D}" name="Column11095"/>
    <tableColumn id="11096" xr3:uid="{D9302037-009C-4AB5-84AE-1BD2466A4D9D}" name="Column11096"/>
    <tableColumn id="11097" xr3:uid="{04260C4C-0674-4715-8873-971E6E896589}" name="Column11097"/>
    <tableColumn id="11098" xr3:uid="{7AA54F1F-4728-4D88-9267-203002D5CBB0}" name="Column11098"/>
    <tableColumn id="11099" xr3:uid="{A36CE680-E2D4-427D-B990-92866035749E}" name="Column11099"/>
    <tableColumn id="11100" xr3:uid="{1070DC24-ACB8-4DBD-AE24-96DB5A2ADAA9}" name="Column11100"/>
    <tableColumn id="11101" xr3:uid="{BE5F2FE0-7B22-41F9-A914-CDB2C14C9E6E}" name="Column11101"/>
    <tableColumn id="11102" xr3:uid="{BF20F26E-BA76-4E49-91FD-CD8097C8CA5D}" name="Column11102"/>
    <tableColumn id="11103" xr3:uid="{1BE73959-E83F-457D-9FFF-DCA81348195C}" name="Column11103"/>
    <tableColumn id="11104" xr3:uid="{80C8CE61-DDF0-4A12-873C-A3DDF271DC56}" name="Column11104"/>
    <tableColumn id="11105" xr3:uid="{2D629F02-1FD1-4B20-BF24-3EF2CF3C5917}" name="Column11105"/>
    <tableColumn id="11106" xr3:uid="{3D720E94-F27B-4317-A38E-6E829B9BF35E}" name="Column11106"/>
    <tableColumn id="11107" xr3:uid="{CAA3C6BF-CD77-435A-85A5-BF9900DD9C5A}" name="Column11107"/>
    <tableColumn id="11108" xr3:uid="{4BFF2A13-4A93-4054-8F7A-9003C66FF73C}" name="Column11108"/>
    <tableColumn id="11109" xr3:uid="{2D014776-EFBA-4C98-BB38-AF97BF5E35D6}" name="Column11109"/>
    <tableColumn id="11110" xr3:uid="{4243347A-8413-4F9A-B1CE-63159C4C0E32}" name="Column11110"/>
    <tableColumn id="11111" xr3:uid="{65072DCD-9B99-46D5-ABE4-6960B7E5C571}" name="Column11111"/>
    <tableColumn id="11112" xr3:uid="{ACF9943F-E5FA-43FB-8667-C47DCD3D2CD5}" name="Column11112"/>
    <tableColumn id="11113" xr3:uid="{541782EA-BE68-4EBE-B082-D783C385B3A6}" name="Column11113"/>
    <tableColumn id="11114" xr3:uid="{1BA50357-7B90-4D93-8714-768171A2A29B}" name="Column11114"/>
    <tableColumn id="11115" xr3:uid="{88B31F96-935A-48C1-96FF-DBD1AEE1AD9B}" name="Column11115"/>
    <tableColumn id="11116" xr3:uid="{15A77C27-817B-40A1-AFFA-E524C33D46CD}" name="Column11116"/>
    <tableColumn id="11117" xr3:uid="{4DA16B27-7A4F-44FB-8BA4-97930083C1B7}" name="Column11117"/>
    <tableColumn id="11118" xr3:uid="{F4F32552-A823-4D26-AF1F-6EBCCCDCE35E}" name="Column11118"/>
    <tableColumn id="11119" xr3:uid="{FFC55911-46E0-4BE7-98FC-63389C51F358}" name="Column11119"/>
    <tableColumn id="11120" xr3:uid="{BEEB3608-5122-408C-BBAB-F7A53ED269CC}" name="Column11120"/>
    <tableColumn id="11121" xr3:uid="{41479050-A30B-42B2-BD8D-F65FB5F11CDD}" name="Column11121"/>
    <tableColumn id="11122" xr3:uid="{858E9345-D550-42C0-B4D8-4F3B2DA71F4C}" name="Column11122"/>
    <tableColumn id="11123" xr3:uid="{C17983AC-FCC1-405E-B322-E8F2CF5E0622}" name="Column11123"/>
    <tableColumn id="11124" xr3:uid="{D476987B-3546-4F7C-BF8D-AF74E9492614}" name="Column11124"/>
    <tableColumn id="11125" xr3:uid="{A6D15B8E-B245-4513-8CA2-E1BA23A2778F}" name="Column11125"/>
    <tableColumn id="11126" xr3:uid="{B88513F8-D4CA-439E-8C55-E401594E5A45}" name="Column11126"/>
    <tableColumn id="11127" xr3:uid="{B84944EC-4FA5-4206-8F12-171879255DD7}" name="Column11127"/>
    <tableColumn id="11128" xr3:uid="{F10FA333-043A-4197-B6F3-0E839B2BBFC4}" name="Column11128"/>
    <tableColumn id="11129" xr3:uid="{C1610D60-E7D8-4FC9-B554-76974D7AEC6C}" name="Column11129"/>
    <tableColumn id="11130" xr3:uid="{608DE6FF-E64D-4E42-A22B-81B95351EFCC}" name="Column11130"/>
    <tableColumn id="11131" xr3:uid="{51373AEE-C6EE-4058-AFD6-33E152B283AA}" name="Column11131"/>
    <tableColumn id="11132" xr3:uid="{4DBEDE08-75FA-4A42-B77F-B31306A3DA3D}" name="Column11132"/>
    <tableColumn id="11133" xr3:uid="{F0D21CCF-1702-4449-931D-4D670720CD24}" name="Column11133"/>
    <tableColumn id="11134" xr3:uid="{55E2A696-5C9B-45CF-AE4B-0B891580C3AF}" name="Column11134"/>
    <tableColumn id="11135" xr3:uid="{0C3075C6-A6BA-4D69-B185-32284216FCE3}" name="Column11135"/>
    <tableColumn id="11136" xr3:uid="{377A1844-5C16-46C6-AE4D-38313369297E}" name="Column11136"/>
    <tableColumn id="11137" xr3:uid="{1058A5EC-73F2-4A22-A77A-A27F81473A18}" name="Column11137"/>
    <tableColumn id="11138" xr3:uid="{DB284B42-A5E7-4CD4-9A6E-B0944C5A605C}" name="Column11138"/>
    <tableColumn id="11139" xr3:uid="{84D363DB-4FA7-4136-9596-6E1CCC2E4524}" name="Column11139"/>
    <tableColumn id="11140" xr3:uid="{EA97ADDD-024C-41C7-AB5F-A26ABAE8202F}" name="Column11140"/>
    <tableColumn id="11141" xr3:uid="{3FA4E6FE-3FD9-4A8F-A852-4B75737D214C}" name="Column11141"/>
    <tableColumn id="11142" xr3:uid="{59B83567-6CCC-4385-83CE-60D6FE038E14}" name="Column11142"/>
    <tableColumn id="11143" xr3:uid="{3C84B1D8-4B05-4762-9D6A-2E96EBC1992F}" name="Column11143"/>
    <tableColumn id="11144" xr3:uid="{D2344BDA-5EB2-43F0-8944-DCAAEB87A1A3}" name="Column11144"/>
    <tableColumn id="11145" xr3:uid="{113FF954-DF37-4638-A84C-6CE3F65661EA}" name="Column11145"/>
    <tableColumn id="11146" xr3:uid="{2634B9F2-3F55-47BC-AA8D-735EB49848FA}" name="Column11146"/>
    <tableColumn id="11147" xr3:uid="{0DD7038A-D83A-45A3-9EBD-9C400F7A92EC}" name="Column11147"/>
    <tableColumn id="11148" xr3:uid="{90B28D13-CC87-44FA-869B-DE0B826811CB}" name="Column11148"/>
    <tableColumn id="11149" xr3:uid="{A3A6A25E-6563-439D-8C17-137947E76A7B}" name="Column11149"/>
    <tableColumn id="11150" xr3:uid="{4C58F449-7549-41D7-9905-EE16E5DC4B65}" name="Column11150"/>
    <tableColumn id="11151" xr3:uid="{4700C3FB-61BA-4EC9-99E5-2A72A07B748E}" name="Column11151"/>
    <tableColumn id="11152" xr3:uid="{9FC78CAC-D4EC-4551-BE67-B277980DC9EB}" name="Column11152"/>
    <tableColumn id="11153" xr3:uid="{25F8C625-08AF-4E1C-B6C8-2083B31E714F}" name="Column11153"/>
    <tableColumn id="11154" xr3:uid="{F6F2580F-D638-45B8-ADB9-87ED07D425E5}" name="Column11154"/>
    <tableColumn id="11155" xr3:uid="{241B61D8-4382-4127-B12B-7E5313931A64}" name="Column11155"/>
    <tableColumn id="11156" xr3:uid="{6D94F2E2-0FA1-4D45-81C9-1AB888DFBE26}" name="Column11156"/>
    <tableColumn id="11157" xr3:uid="{14D40650-B538-49C3-9DF7-EA182E2F1C88}" name="Column11157"/>
    <tableColumn id="11158" xr3:uid="{84D0E21A-F9FB-40DA-9B55-6400D9A3C4A3}" name="Column11158"/>
    <tableColumn id="11159" xr3:uid="{35D7131F-B4D7-40A0-8C57-644189843025}" name="Column11159"/>
    <tableColumn id="11160" xr3:uid="{CDE7180C-42C4-44AD-8836-4D192F7EB912}" name="Column11160"/>
    <tableColumn id="11161" xr3:uid="{3EB6B476-8882-4B56-98CD-CC5CEA9B0013}" name="Column11161"/>
    <tableColumn id="11162" xr3:uid="{BCC57B7D-13BC-4BFB-B03E-509DEAB24BEA}" name="Column11162"/>
    <tableColumn id="11163" xr3:uid="{3E2D22E3-3E6A-43F5-910A-6EA3B2DD64E9}" name="Column11163"/>
    <tableColumn id="11164" xr3:uid="{D310FD0E-720E-4D46-8655-E42CA77351BF}" name="Column11164"/>
    <tableColumn id="11165" xr3:uid="{0A1626CB-E610-466E-9866-27CA0D026A6D}" name="Column11165"/>
    <tableColumn id="11166" xr3:uid="{DA7424AD-BDD2-48DB-8403-D20020C82364}" name="Column11166"/>
    <tableColumn id="11167" xr3:uid="{910296AA-41D2-4798-BF16-69ED74D49641}" name="Column11167"/>
    <tableColumn id="11168" xr3:uid="{FCB476D3-4356-47C6-AD15-225D2E860B0C}" name="Column11168"/>
    <tableColumn id="11169" xr3:uid="{5CB33E1F-3F2C-4EBE-8815-329232FC4753}" name="Column11169"/>
    <tableColumn id="11170" xr3:uid="{3F7E86C0-E5D4-4A5B-8FA5-1A3A66DF70BC}" name="Column11170"/>
    <tableColumn id="11171" xr3:uid="{412023B7-B129-4130-8281-255C74322A92}" name="Column11171"/>
    <tableColumn id="11172" xr3:uid="{2D48EC35-8888-47BD-A32C-F8A15CC37DBC}" name="Column11172"/>
    <tableColumn id="11173" xr3:uid="{ACF6E017-1817-4D56-BA79-009CC2986DFD}" name="Column11173"/>
    <tableColumn id="11174" xr3:uid="{02A77CD8-BD16-42F7-9688-AA60ED202686}" name="Column11174"/>
    <tableColumn id="11175" xr3:uid="{A1BAC52C-DE9A-4107-9FA4-2BDF3696DA28}" name="Column11175"/>
    <tableColumn id="11176" xr3:uid="{3656D6C2-B40D-4D7F-AC40-17FCB0CD4357}" name="Column11176"/>
    <tableColumn id="11177" xr3:uid="{2411C493-239B-475C-8CD3-1B012FF3FB53}" name="Column11177"/>
    <tableColumn id="11178" xr3:uid="{91707049-BF48-41A4-8F79-7B93CA38367E}" name="Column11178"/>
    <tableColumn id="11179" xr3:uid="{60C02C5A-613E-42D2-94F0-EEFFD590AED9}" name="Column11179"/>
    <tableColumn id="11180" xr3:uid="{34D32AC7-FD15-427E-BA52-E76ECA35BAF0}" name="Column11180"/>
    <tableColumn id="11181" xr3:uid="{C86D512A-5276-44E3-8BBF-39AC8B43C7BF}" name="Column11181"/>
    <tableColumn id="11182" xr3:uid="{FC6FADD2-5126-48A9-A0CA-0F1B9D3E90DE}" name="Column11182"/>
    <tableColumn id="11183" xr3:uid="{0B32486C-1867-447A-B355-C05499C330D1}" name="Column11183"/>
    <tableColumn id="11184" xr3:uid="{DC23D7AB-9AE2-4A07-BFC5-83BD96E1F3F9}" name="Column11184"/>
    <tableColumn id="11185" xr3:uid="{5015BED6-460F-4882-B71C-E5EE3423CADF}" name="Column11185"/>
    <tableColumn id="11186" xr3:uid="{9B0CF0A0-F56E-44C4-8963-D6F4630D2C27}" name="Column11186"/>
    <tableColumn id="11187" xr3:uid="{2F19C403-EFC6-4FBD-896A-C8D3168AA2E3}" name="Column11187"/>
    <tableColumn id="11188" xr3:uid="{8B7205F1-C22C-43F7-8B2C-89F9365A72AF}" name="Column11188"/>
    <tableColumn id="11189" xr3:uid="{40E782CF-D79E-4C83-9881-D9888E5E2334}" name="Column11189"/>
    <tableColumn id="11190" xr3:uid="{D071A496-8A67-4A35-BD69-D4A699086AEF}" name="Column11190"/>
    <tableColumn id="11191" xr3:uid="{5605357E-2DAA-4F40-801D-0B79033FA936}" name="Column11191"/>
    <tableColumn id="11192" xr3:uid="{5E823C47-A7EF-4075-9F81-F0DA892B9967}" name="Column11192"/>
    <tableColumn id="11193" xr3:uid="{6A7596F3-CCA4-4096-8076-4B1199DE9422}" name="Column11193"/>
    <tableColumn id="11194" xr3:uid="{E0D5FD10-36AA-4FE7-879B-4BEC2B42169C}" name="Column11194"/>
    <tableColumn id="11195" xr3:uid="{A940D60A-1E7B-4432-97F7-816B3BA0679C}" name="Column11195"/>
    <tableColumn id="11196" xr3:uid="{2C5AF722-F719-4DBE-868E-5C6134640E3E}" name="Column11196"/>
    <tableColumn id="11197" xr3:uid="{31BF6767-E21C-4866-87C3-38D54026A512}" name="Column11197"/>
    <tableColumn id="11198" xr3:uid="{B6310B08-2A58-46B8-AA0A-D164FF066081}" name="Column11198"/>
    <tableColumn id="11199" xr3:uid="{4B613523-614D-472A-9FC4-A94DE9430DD1}" name="Column11199"/>
    <tableColumn id="11200" xr3:uid="{19E9B3C4-6F16-4553-995F-E939FA116018}" name="Column11200"/>
    <tableColumn id="11201" xr3:uid="{2AB5FFC5-5DE1-4235-9D32-CC6E53B6257F}" name="Column11201"/>
    <tableColumn id="11202" xr3:uid="{F9D53D55-97F0-4A4A-8C90-737061ED457A}" name="Column11202"/>
    <tableColumn id="11203" xr3:uid="{514C8838-0652-46AD-9549-D857D68F543F}" name="Column11203"/>
    <tableColumn id="11204" xr3:uid="{E540C977-8E28-424C-A0F1-FED34A4E9096}" name="Column11204"/>
    <tableColumn id="11205" xr3:uid="{C980B53F-A409-474F-A669-6B47452931EB}" name="Column11205"/>
    <tableColumn id="11206" xr3:uid="{9A7D77CF-03A5-41E6-B720-8B076FDEE146}" name="Column11206"/>
    <tableColumn id="11207" xr3:uid="{432625F1-33CC-4D66-BE89-B2A3DE9EBB77}" name="Column11207"/>
    <tableColumn id="11208" xr3:uid="{E8CF5ED4-EE92-4686-82E7-7B3FAF750256}" name="Column11208"/>
    <tableColumn id="11209" xr3:uid="{64A4B33B-2520-4588-803F-ED65F6F3764F}" name="Column11209"/>
    <tableColumn id="11210" xr3:uid="{3AF9C443-85B9-4C7E-9A29-A59A1DF0516B}" name="Column11210"/>
    <tableColumn id="11211" xr3:uid="{6A43074F-2573-4E37-94EE-DF71A11AC8A7}" name="Column11211"/>
    <tableColumn id="11212" xr3:uid="{ED3108D2-4A37-48B3-89AA-A4C2919AA133}" name="Column11212"/>
    <tableColumn id="11213" xr3:uid="{81E520E0-13C6-4739-B620-E52C096DF13C}" name="Column11213"/>
    <tableColumn id="11214" xr3:uid="{7292F7C9-0CB9-4A89-B797-6A0560425614}" name="Column11214"/>
    <tableColumn id="11215" xr3:uid="{A632D914-EC20-4409-A018-348F558559DF}" name="Column11215"/>
    <tableColumn id="11216" xr3:uid="{88BC0225-46D7-4B38-A9BC-CFFB8DF85F31}" name="Column11216"/>
    <tableColumn id="11217" xr3:uid="{69698EC7-891B-49CC-933A-3D17AF95674E}" name="Column11217"/>
    <tableColumn id="11218" xr3:uid="{3FE60860-51FA-45BC-9F47-E9C69B5310B7}" name="Column11218"/>
    <tableColumn id="11219" xr3:uid="{2E3D7982-B8B3-484C-B329-5CC305B8DD08}" name="Column11219"/>
    <tableColumn id="11220" xr3:uid="{9A646A05-E0AF-4DE7-B23B-E7CEF47F0C06}" name="Column11220"/>
    <tableColumn id="11221" xr3:uid="{A537D034-ED38-4A36-ACBB-F612C1FFEB84}" name="Column11221"/>
    <tableColumn id="11222" xr3:uid="{A71330F6-3EED-4324-82A5-42E8C9C1B527}" name="Column11222"/>
    <tableColumn id="11223" xr3:uid="{107E80AD-FE36-4A50-951C-DCFD3F7DB535}" name="Column11223"/>
    <tableColumn id="11224" xr3:uid="{EC7622D4-86AE-4583-ACC0-8C074C07FBDC}" name="Column11224"/>
    <tableColumn id="11225" xr3:uid="{EED8A284-1458-4613-835D-166C80F4592A}" name="Column11225"/>
    <tableColumn id="11226" xr3:uid="{EBA7EC03-9309-4DDF-9F08-8AAD3F1C2A30}" name="Column11226"/>
    <tableColumn id="11227" xr3:uid="{14EE22F7-CB31-488D-B33C-9B069A389C22}" name="Column11227"/>
    <tableColumn id="11228" xr3:uid="{D39E2AAC-74E4-40BF-B444-3B060260DAAF}" name="Column11228"/>
    <tableColumn id="11229" xr3:uid="{254901C9-A505-4C4C-906C-0BDD03A05A63}" name="Column11229"/>
    <tableColumn id="11230" xr3:uid="{EE192CA5-8A7A-49A8-B7C0-08B9AD34DAED}" name="Column11230"/>
    <tableColumn id="11231" xr3:uid="{98F0770F-AE75-4759-964A-4AA73C672336}" name="Column11231"/>
    <tableColumn id="11232" xr3:uid="{0DF14378-C216-48C3-8188-BC99D76C1C61}" name="Column11232"/>
    <tableColumn id="11233" xr3:uid="{B5F4315F-69E8-4374-AA50-A755CECFC10D}" name="Column11233"/>
    <tableColumn id="11234" xr3:uid="{DF207158-4212-4F85-A480-025EFC4514C8}" name="Column11234"/>
    <tableColumn id="11235" xr3:uid="{3388C653-E150-4F04-BFCF-7A3233D157FE}" name="Column11235"/>
    <tableColumn id="11236" xr3:uid="{26D3EBBD-F7CB-463D-BDAF-9B2AA1F220C7}" name="Column11236"/>
    <tableColumn id="11237" xr3:uid="{7532571F-F4DE-4CB2-8550-9BC95109A1A2}" name="Column11237"/>
    <tableColumn id="11238" xr3:uid="{DF64E03F-26A9-44D8-9B55-359F82ACB954}" name="Column11238"/>
    <tableColumn id="11239" xr3:uid="{D835C148-F0EA-4CEF-9ABA-A84AF665AC33}" name="Column11239"/>
    <tableColumn id="11240" xr3:uid="{32647CFA-63CE-4F42-8AFA-95BD834D2A33}" name="Column11240"/>
    <tableColumn id="11241" xr3:uid="{B6A182C2-7E24-47E7-AEE3-25089F12EA60}" name="Column11241"/>
    <tableColumn id="11242" xr3:uid="{21ECF247-0601-43F7-9E7D-E81C13C8126A}" name="Column11242"/>
    <tableColumn id="11243" xr3:uid="{0980EF0C-1338-419E-8256-3A0C5D1EDE1E}" name="Column11243"/>
    <tableColumn id="11244" xr3:uid="{D928102F-A1D7-4B1C-84A9-99660F251495}" name="Column11244"/>
    <tableColumn id="11245" xr3:uid="{F4606AEE-1DDC-4B34-A818-920C6866EB91}" name="Column11245"/>
    <tableColumn id="11246" xr3:uid="{249DA27B-D34A-48BB-B9C3-CECD66D67467}" name="Column11246"/>
    <tableColumn id="11247" xr3:uid="{5605AB77-85F3-464C-A2BA-74822D004E1D}" name="Column11247"/>
    <tableColumn id="11248" xr3:uid="{73527547-996F-4083-B1EF-8A45CFC62B01}" name="Column11248"/>
    <tableColumn id="11249" xr3:uid="{3E57933B-7FA6-4AF0-8A66-939517E89CE6}" name="Column11249"/>
    <tableColumn id="11250" xr3:uid="{970DECF8-AE12-4F25-B47C-0E5F15B67B1C}" name="Column11250"/>
    <tableColumn id="11251" xr3:uid="{3961F826-2F46-4524-B3A7-8CEA1577FFCD}" name="Column11251"/>
    <tableColumn id="11252" xr3:uid="{AA57C842-88E5-4ABD-BE54-417A6DA8519E}" name="Column11252"/>
    <tableColumn id="11253" xr3:uid="{7054E024-B16D-4DC3-A46E-2748A6F3ACAF}" name="Column11253"/>
    <tableColumn id="11254" xr3:uid="{A3367114-7224-4D96-BB61-5B7F8DDB01D6}" name="Column11254"/>
    <tableColumn id="11255" xr3:uid="{573BF9CB-54F2-4059-A3CE-95024A5B2785}" name="Column11255"/>
    <tableColumn id="11256" xr3:uid="{6F19C9DC-8E98-4BB7-822E-68D333F7B7D9}" name="Column11256"/>
    <tableColumn id="11257" xr3:uid="{0C1552FB-293B-4B1E-A8E3-0AAB10791214}" name="Column11257"/>
    <tableColumn id="11258" xr3:uid="{7D797ABC-9190-4825-9BC1-8593C6C15924}" name="Column11258"/>
    <tableColumn id="11259" xr3:uid="{6F9EC19B-0284-4091-928F-FAEC7BA9F5C1}" name="Column11259"/>
    <tableColumn id="11260" xr3:uid="{34407A84-CBE0-418D-88D5-FAC21D321E41}" name="Column11260"/>
    <tableColumn id="11261" xr3:uid="{E4387285-EB4F-4922-83AD-D71B48D4FF4F}" name="Column11261"/>
    <tableColumn id="11262" xr3:uid="{E5C5B91F-BEF3-4F97-9F54-5988D1784A52}" name="Column11262"/>
    <tableColumn id="11263" xr3:uid="{AE2AF33B-3688-4A4F-AF79-D0CD0B08BDD8}" name="Column11263"/>
    <tableColumn id="11264" xr3:uid="{4BEFEE97-4BD4-4F95-B0D2-4587E20791E8}" name="Column11264"/>
    <tableColumn id="11265" xr3:uid="{C1E248FD-CAFE-4FB1-9D2B-8CC3462E624F}" name="Column11265"/>
    <tableColumn id="11266" xr3:uid="{5ADECC1F-9BA7-4AEA-A583-F42509F22135}" name="Column11266"/>
    <tableColumn id="11267" xr3:uid="{801D5019-DFD4-4813-B1D8-3D8257972415}" name="Column11267"/>
    <tableColumn id="11268" xr3:uid="{C49C07BC-61B7-4BC7-95AC-5521E9537186}" name="Column11268"/>
    <tableColumn id="11269" xr3:uid="{627D2C6D-FE11-4270-AB03-5CCB40534812}" name="Column11269"/>
    <tableColumn id="11270" xr3:uid="{60A7FBB1-7CBC-4B05-BCA5-D7D950B0B48D}" name="Column11270"/>
    <tableColumn id="11271" xr3:uid="{D42B13D0-22AC-42F1-BC6F-C28E1CDAA4BD}" name="Column11271"/>
    <tableColumn id="11272" xr3:uid="{931D810B-EA29-4FE1-A45F-4255F2C899E7}" name="Column11272"/>
    <tableColumn id="11273" xr3:uid="{E88CFE0A-860B-4055-A9F4-3D3C2E843E71}" name="Column11273"/>
    <tableColumn id="11274" xr3:uid="{64E12E90-66E3-4B17-90DB-16B803F63EB9}" name="Column11274"/>
    <tableColumn id="11275" xr3:uid="{49BEC9D4-550B-4710-8507-9F58BD706F47}" name="Column11275"/>
    <tableColumn id="11276" xr3:uid="{574328B7-388A-42C1-9548-40A23C8132EA}" name="Column11276"/>
    <tableColumn id="11277" xr3:uid="{1BE3692C-D6F1-4587-9459-E647FA218AF5}" name="Column11277"/>
    <tableColumn id="11278" xr3:uid="{10522CE1-FDEE-42BE-B1D6-CB60AADA9386}" name="Column11278"/>
    <tableColumn id="11279" xr3:uid="{73E62E2B-D61F-4DA4-8544-1A8C8C93DB54}" name="Column11279"/>
    <tableColumn id="11280" xr3:uid="{AC1D6442-B27C-46EE-9D37-34BB30530A45}" name="Column11280"/>
    <tableColumn id="11281" xr3:uid="{7CB4E9B6-085A-4D91-8C2A-401CE27670D7}" name="Column11281"/>
    <tableColumn id="11282" xr3:uid="{2FB18438-1D88-49E3-B139-098E53D76FF5}" name="Column11282"/>
    <tableColumn id="11283" xr3:uid="{730E2265-5FE7-4F63-8AB3-B06D704EE6A3}" name="Column11283"/>
    <tableColumn id="11284" xr3:uid="{29329306-B093-40EE-997B-BFFF5A614C60}" name="Column11284"/>
    <tableColumn id="11285" xr3:uid="{698830CE-1711-4AB9-902E-290B266B8AFD}" name="Column11285"/>
    <tableColumn id="11286" xr3:uid="{30FE9034-0749-41DA-8C45-C08387C8B66F}" name="Column11286"/>
    <tableColumn id="11287" xr3:uid="{D2F9DECE-A6B9-4296-9C75-ADD43C3CFECD}" name="Column11287"/>
    <tableColumn id="11288" xr3:uid="{38A6E9AB-46FD-42FD-BD79-573E0F5D5289}" name="Column11288"/>
    <tableColumn id="11289" xr3:uid="{4FA75728-CC11-46E1-8539-593C564D9B62}" name="Column11289"/>
    <tableColumn id="11290" xr3:uid="{063A6F40-A1E7-44CB-A150-497A101B2EC0}" name="Column11290"/>
    <tableColumn id="11291" xr3:uid="{EACC6B7B-4326-41BC-BE18-8756AB86DEC9}" name="Column11291"/>
    <tableColumn id="11292" xr3:uid="{E0CA10D3-2EDB-47F8-9A64-FEFFBD500E30}" name="Column11292"/>
    <tableColumn id="11293" xr3:uid="{31E9B894-98BE-4579-90D6-3B011935321B}" name="Column11293"/>
    <tableColumn id="11294" xr3:uid="{30F6F436-7866-4D50-8553-E05D54D1D8AE}" name="Column11294"/>
    <tableColumn id="11295" xr3:uid="{A819715A-812B-46FE-A3CE-6365043AB5AF}" name="Column11295"/>
    <tableColumn id="11296" xr3:uid="{FBCC463D-58BA-4D0B-99BB-3E5952285EE7}" name="Column11296"/>
    <tableColumn id="11297" xr3:uid="{7C9E7C30-5ED3-45BC-9563-7FC2738B2B72}" name="Column11297"/>
    <tableColumn id="11298" xr3:uid="{6228D792-7BA3-44E4-8228-31B335DA4DE6}" name="Column11298"/>
    <tableColumn id="11299" xr3:uid="{D0CC5850-6E2E-4BAA-B840-30FC86D173C6}" name="Column11299"/>
    <tableColumn id="11300" xr3:uid="{FAD5C085-1094-48A0-849D-2EF8703FA36D}" name="Column11300"/>
    <tableColumn id="11301" xr3:uid="{DDF70F44-00C1-43D4-87D8-664A7B2C304E}" name="Column11301"/>
    <tableColumn id="11302" xr3:uid="{E1F57C23-03DC-449A-9A45-347E49229F05}" name="Column11302"/>
    <tableColumn id="11303" xr3:uid="{18B9798B-590D-4C93-A41F-1CD79D0C3422}" name="Column11303"/>
    <tableColumn id="11304" xr3:uid="{8699F335-6331-4F11-8F93-BAE1CA80C28B}" name="Column11304"/>
    <tableColumn id="11305" xr3:uid="{56748D43-4798-400C-BF18-427380A04F57}" name="Column11305"/>
    <tableColumn id="11306" xr3:uid="{4CB2D452-A661-4F2C-B86D-83618BBB85B4}" name="Column11306"/>
    <tableColumn id="11307" xr3:uid="{F6C63FAB-062C-438C-AB85-686FFB357509}" name="Column11307"/>
    <tableColumn id="11308" xr3:uid="{4B2038DF-BEE0-4029-AE07-26436A793FE0}" name="Column11308"/>
    <tableColumn id="11309" xr3:uid="{FF757A87-9B94-4D9F-9298-4DCA99ACDC60}" name="Column11309"/>
    <tableColumn id="11310" xr3:uid="{A95B2D0D-7905-4146-B006-98D2B6B134FA}" name="Column11310"/>
    <tableColumn id="11311" xr3:uid="{4F686943-A34D-488F-98E6-72A15743DED5}" name="Column11311"/>
    <tableColumn id="11312" xr3:uid="{38D4F0CC-FBF0-41CF-9196-E07B49811C77}" name="Column11312"/>
    <tableColumn id="11313" xr3:uid="{9A4D27BC-581E-434D-B72C-7BE23D5E644B}" name="Column11313"/>
    <tableColumn id="11314" xr3:uid="{5F89D945-D003-4D5C-83E7-62DA6EBE32F4}" name="Column11314"/>
    <tableColumn id="11315" xr3:uid="{CCDD5C28-9B05-439A-AE7A-80C3C88B678B}" name="Column11315"/>
    <tableColumn id="11316" xr3:uid="{B89E0DD3-5BDB-49EC-9FA1-9BDD3E12B02D}" name="Column11316"/>
    <tableColumn id="11317" xr3:uid="{4E16638D-ADDA-481C-A702-E319D1E5C7A5}" name="Column11317"/>
    <tableColumn id="11318" xr3:uid="{3F891EEB-0E3E-4C40-B8FC-4F03CAD9F864}" name="Column11318"/>
    <tableColumn id="11319" xr3:uid="{30568174-1E74-4B58-A211-DA6351FAA528}" name="Column11319"/>
    <tableColumn id="11320" xr3:uid="{96AE145E-CF1A-4164-B06E-9121BFB01045}" name="Column11320"/>
    <tableColumn id="11321" xr3:uid="{09C4C835-75FA-439C-824B-92E33A286D19}" name="Column11321"/>
    <tableColumn id="11322" xr3:uid="{823A8A83-82D8-44C5-B890-1E96737BF51B}" name="Column11322"/>
    <tableColumn id="11323" xr3:uid="{43080373-3B75-4C51-875F-5704E59D12F5}" name="Column11323"/>
    <tableColumn id="11324" xr3:uid="{36B995A9-D9AB-4C58-978A-F4E7D4F6E198}" name="Column11324"/>
    <tableColumn id="11325" xr3:uid="{1FAB3208-2DC7-43FC-A031-0A9032AD7C76}" name="Column11325"/>
    <tableColumn id="11326" xr3:uid="{2E76C7EC-DC7C-46ED-94F4-FD2B8CCD3E89}" name="Column11326"/>
    <tableColumn id="11327" xr3:uid="{C56FE78F-8625-42F4-AF82-A646BB762B7D}" name="Column11327"/>
    <tableColumn id="11328" xr3:uid="{C92C2D6F-E029-4E1F-9B41-E5B4959642E5}" name="Column11328"/>
    <tableColumn id="11329" xr3:uid="{17E2E6AB-C8D5-4964-98C5-5DF42585FB5E}" name="Column11329"/>
    <tableColumn id="11330" xr3:uid="{40E78DB1-1FBB-47A7-8A82-DCBD513B60B7}" name="Column11330"/>
    <tableColumn id="11331" xr3:uid="{ED192F83-1623-4CF5-B3C8-58AFB208B832}" name="Column11331"/>
    <tableColumn id="11332" xr3:uid="{244C9BF3-73FE-4827-9BA3-44ABA65CE636}" name="Column11332"/>
    <tableColumn id="11333" xr3:uid="{B080DE12-FE13-416F-99D6-967582B54085}" name="Column11333"/>
    <tableColumn id="11334" xr3:uid="{21F8557E-67CF-4752-BC07-89AFDBAF7CDE}" name="Column11334"/>
    <tableColumn id="11335" xr3:uid="{43DD06C2-B6D9-4E82-8F47-F15FB69656CF}" name="Column11335"/>
    <tableColumn id="11336" xr3:uid="{545C8981-DA40-42F7-B578-748312B0D2FA}" name="Column11336"/>
    <tableColumn id="11337" xr3:uid="{F5B3DD0C-7094-4DDE-8EB5-EFC49E4AC293}" name="Column11337"/>
    <tableColumn id="11338" xr3:uid="{02D33548-9BFD-4318-A1E1-644010E4AF6E}" name="Column11338"/>
    <tableColumn id="11339" xr3:uid="{CFF0255D-1D8B-4F6F-92CA-FF8AA4622D75}" name="Column11339"/>
    <tableColumn id="11340" xr3:uid="{AD8C4A6F-E222-46B9-9448-CD365883518E}" name="Column11340"/>
    <tableColumn id="11341" xr3:uid="{85896969-5F9D-42A0-98F2-5E7960D3A602}" name="Column11341"/>
    <tableColumn id="11342" xr3:uid="{93DB142F-DEF3-45C8-83A9-6BE519565417}" name="Column11342"/>
    <tableColumn id="11343" xr3:uid="{D5E40ECD-9DD1-4CCC-8BB7-81ED18664538}" name="Column11343"/>
    <tableColumn id="11344" xr3:uid="{0F5E5A67-190C-418F-98C8-3C95CBCB3AE0}" name="Column11344"/>
    <tableColumn id="11345" xr3:uid="{F671D568-3FEF-432A-8C01-CB397E5DDAA0}" name="Column11345"/>
    <tableColumn id="11346" xr3:uid="{1E83D767-2B15-4F85-92B3-208195422030}" name="Column11346"/>
    <tableColumn id="11347" xr3:uid="{9739AD6E-B91C-4783-A722-D5C6BCF4C0CB}" name="Column11347"/>
    <tableColumn id="11348" xr3:uid="{7CE7F5D5-9B92-4128-90AD-94390C400B69}" name="Column11348"/>
    <tableColumn id="11349" xr3:uid="{9E319F73-22B7-499E-B8DF-3D0B0A26088A}" name="Column11349"/>
    <tableColumn id="11350" xr3:uid="{56F6AA42-9EEE-4576-B7C5-54F5E546C9A6}" name="Column11350"/>
    <tableColumn id="11351" xr3:uid="{1D2BD338-6F5F-4FA6-A270-983A1431CBFA}" name="Column11351"/>
    <tableColumn id="11352" xr3:uid="{01EB7C60-3E47-4D79-B37E-57F0F2BF7EA1}" name="Column11352"/>
    <tableColumn id="11353" xr3:uid="{5592267F-DF78-40DC-92A9-36F4BFA46B52}" name="Column11353"/>
    <tableColumn id="11354" xr3:uid="{DAE1A71F-59BB-4269-890A-2F4FAD105670}" name="Column11354"/>
    <tableColumn id="11355" xr3:uid="{C7E024A7-53BB-4FE3-8B89-BF5F40159DE2}" name="Column11355"/>
    <tableColumn id="11356" xr3:uid="{9080A81C-8C81-4157-AE9A-D51A053A36F2}" name="Column11356"/>
    <tableColumn id="11357" xr3:uid="{00C922A0-CF89-41E5-A464-CD012B931D42}" name="Column11357"/>
    <tableColumn id="11358" xr3:uid="{DE9908A3-7F7C-4D29-9EF3-57C3B947AE80}" name="Column11358"/>
    <tableColumn id="11359" xr3:uid="{C027D3DA-8D72-4D50-A1B6-E341FB25463F}" name="Column11359"/>
    <tableColumn id="11360" xr3:uid="{D0CF85BA-38BF-47B0-A6A5-64AA579A4B4D}" name="Column11360"/>
    <tableColumn id="11361" xr3:uid="{241584CF-31ED-44B3-A4C5-68BEBB710A1D}" name="Column11361"/>
    <tableColumn id="11362" xr3:uid="{14B02BC4-07E8-4455-87B0-351732A67266}" name="Column11362"/>
    <tableColumn id="11363" xr3:uid="{2A305E23-40EE-4210-A98F-2A13B229A0A4}" name="Column11363"/>
    <tableColumn id="11364" xr3:uid="{52E44B89-6A8F-48A3-9804-C2AC013465A2}" name="Column11364"/>
    <tableColumn id="11365" xr3:uid="{95E59F75-5E08-4B94-A6A0-790A16564F8A}" name="Column11365"/>
    <tableColumn id="11366" xr3:uid="{4B7379B4-9187-414C-9EE4-431486319905}" name="Column11366"/>
    <tableColumn id="11367" xr3:uid="{6F081295-C111-4243-A058-19F27B8EB6FE}" name="Column11367"/>
    <tableColumn id="11368" xr3:uid="{10DCFCC9-00AA-42B1-B9B3-D965AA210BAE}" name="Column11368"/>
    <tableColumn id="11369" xr3:uid="{688743E0-46AC-4FE9-BF3A-52AF544B35F3}" name="Column11369"/>
    <tableColumn id="11370" xr3:uid="{A8CFF72F-C80B-4612-9CE5-21803F1EE03E}" name="Column11370"/>
    <tableColumn id="11371" xr3:uid="{283DE5FC-2452-4022-B5F2-348929DE2291}" name="Column11371"/>
    <tableColumn id="11372" xr3:uid="{9C94E501-4959-480A-A1DF-9CDD1874F3CF}" name="Column11372"/>
    <tableColumn id="11373" xr3:uid="{5E31A295-02F5-4A14-A6F6-854946608E8F}" name="Column11373"/>
    <tableColumn id="11374" xr3:uid="{C280CE94-066E-454D-98D3-BB76A313B784}" name="Column11374"/>
    <tableColumn id="11375" xr3:uid="{D328A38D-1AB1-4038-90A0-D6E2288F2373}" name="Column11375"/>
    <tableColumn id="11376" xr3:uid="{E731A374-9EB7-4BE0-ADDD-E690CD0000D1}" name="Column11376"/>
    <tableColumn id="11377" xr3:uid="{3E03A796-4C12-4FB1-99AC-09536EC620CB}" name="Column11377"/>
    <tableColumn id="11378" xr3:uid="{3D121156-21CA-4224-B63A-66322E5F310E}" name="Column11378"/>
    <tableColumn id="11379" xr3:uid="{D6367A92-3D7E-46EC-891E-D82C8B25574D}" name="Column11379"/>
    <tableColumn id="11380" xr3:uid="{DA3F7683-2C0E-48D9-B2EE-9B76D6BAC5A4}" name="Column11380"/>
    <tableColumn id="11381" xr3:uid="{6A686037-3DB6-4C8C-9BC6-83E8601FCDA9}" name="Column11381"/>
    <tableColumn id="11382" xr3:uid="{179673BB-F088-4F3D-89C1-B9B44A637EE1}" name="Column11382"/>
    <tableColumn id="11383" xr3:uid="{04EF85B6-D39E-4E21-8F7C-ED55F5121422}" name="Column11383"/>
    <tableColumn id="11384" xr3:uid="{1F0DEC3C-D957-46E7-921A-4D63C366C914}" name="Column11384"/>
    <tableColumn id="11385" xr3:uid="{AFAB3C52-AEEE-427D-8DB2-8C22B57957CE}" name="Column11385"/>
    <tableColumn id="11386" xr3:uid="{D7D7F4B8-FB81-45CF-9AE7-E7BB6BF6ED17}" name="Column11386"/>
    <tableColumn id="11387" xr3:uid="{0F216B00-3F28-46C3-A8DA-FBA7CEE494F7}" name="Column11387"/>
    <tableColumn id="11388" xr3:uid="{0D472271-ECC2-478D-9783-F9C88CE5A4BC}" name="Column11388"/>
    <tableColumn id="11389" xr3:uid="{C1B9FCDE-5174-4359-8AE5-C60818D32FCD}" name="Column11389"/>
    <tableColumn id="11390" xr3:uid="{ACC60522-F3EE-473B-BE4C-02D42AB444A9}" name="Column11390"/>
    <tableColumn id="11391" xr3:uid="{617CCDA2-CE41-4511-B659-D36FDFA57F5A}" name="Column11391"/>
    <tableColumn id="11392" xr3:uid="{22F3F3A9-151A-4470-ABB5-4BCDE12F321B}" name="Column11392"/>
    <tableColumn id="11393" xr3:uid="{FFF1BD1A-AE45-48FE-A483-6777EFCD89CE}" name="Column11393"/>
    <tableColumn id="11394" xr3:uid="{8E5CF0E1-D9FD-464F-B556-A0942A6EE0D2}" name="Column11394"/>
    <tableColumn id="11395" xr3:uid="{96907E45-FB22-491A-ABB6-A1BC7CF531C2}" name="Column11395"/>
    <tableColumn id="11396" xr3:uid="{03DF1CB3-493C-4F13-9F23-61CE54BDCE1F}" name="Column11396"/>
    <tableColumn id="11397" xr3:uid="{7F00293F-D541-4377-8F5D-B68A902E959A}" name="Column11397"/>
    <tableColumn id="11398" xr3:uid="{8832A942-82C7-4950-910E-EAB5C016ED95}" name="Column11398"/>
    <tableColumn id="11399" xr3:uid="{CE2E0FA6-CACD-4E40-8CB0-B67B2F3F3584}" name="Column11399"/>
    <tableColumn id="11400" xr3:uid="{FF17E91D-24BE-41B9-B00F-7F1F179C2D20}" name="Column11400"/>
    <tableColumn id="11401" xr3:uid="{B72FD6EA-028D-428A-B746-09B7226D6020}" name="Column11401"/>
    <tableColumn id="11402" xr3:uid="{2C3CB3BB-3EED-4EF3-907B-2B98DF94C53D}" name="Column11402"/>
    <tableColumn id="11403" xr3:uid="{88A33D8D-E6C9-41A3-8420-81EECC7B2727}" name="Column11403"/>
    <tableColumn id="11404" xr3:uid="{F8EF7A98-89D1-4EB6-90F6-19142684020F}" name="Column11404"/>
    <tableColumn id="11405" xr3:uid="{1EF5DB95-DEE9-4462-8A06-123E72E677B4}" name="Column11405"/>
    <tableColumn id="11406" xr3:uid="{5A620689-F0CB-4911-A1AA-4BD0D095F77A}" name="Column11406"/>
    <tableColumn id="11407" xr3:uid="{D6B88004-F681-43F0-9DC2-91A0CFC50E89}" name="Column11407"/>
    <tableColumn id="11408" xr3:uid="{0C5F7508-D131-4D06-B34C-AA27EB23EC47}" name="Column11408"/>
    <tableColumn id="11409" xr3:uid="{3C675273-170B-4E01-9CF6-CE8254100E90}" name="Column11409"/>
    <tableColumn id="11410" xr3:uid="{86A1CF8E-13E7-42E9-B242-A7BA176EF837}" name="Column11410"/>
    <tableColumn id="11411" xr3:uid="{279111DF-483E-4691-AC92-221B0626B2F1}" name="Column11411"/>
    <tableColumn id="11412" xr3:uid="{1D69E915-3C61-4DAB-9D17-5110DFFD194A}" name="Column11412"/>
    <tableColumn id="11413" xr3:uid="{982E60CD-4E73-4D1B-8224-B6926F431D62}" name="Column11413"/>
    <tableColumn id="11414" xr3:uid="{CF3DFC85-9E17-41B4-AB65-280E35C6398A}" name="Column11414"/>
    <tableColumn id="11415" xr3:uid="{4B39A684-CFBA-4794-B66C-5BA8A3D8B4ED}" name="Column11415"/>
    <tableColumn id="11416" xr3:uid="{9C8A73E9-CF69-4508-B010-370604A3CB68}" name="Column11416"/>
    <tableColumn id="11417" xr3:uid="{2FF88F3C-6D21-46AC-9F74-D774DA8CAE08}" name="Column11417"/>
    <tableColumn id="11418" xr3:uid="{903967C2-C8FC-4854-AA3C-CA59158D031C}" name="Column11418"/>
    <tableColumn id="11419" xr3:uid="{AAECF045-AA54-48E4-AA55-DE5EDB6AEA91}" name="Column11419"/>
    <tableColumn id="11420" xr3:uid="{A64E099B-7D06-4E2C-BA9C-569FF187090C}" name="Column11420"/>
    <tableColumn id="11421" xr3:uid="{6BAE85C1-0685-4CC1-B30D-C6406BC205FA}" name="Column11421"/>
    <tableColumn id="11422" xr3:uid="{F664A2EB-AF96-4654-A47A-DAAE0CEB2EBF}" name="Column11422"/>
    <tableColumn id="11423" xr3:uid="{C7B60F3C-E901-447C-9091-5201EDAE8688}" name="Column11423"/>
    <tableColumn id="11424" xr3:uid="{B6B8219B-F10A-4AFF-87CF-5C8FC0F27ABF}" name="Column11424"/>
    <tableColumn id="11425" xr3:uid="{9BEA4D7F-B8C9-404D-8E3C-BA0AC8B0DE76}" name="Column11425"/>
    <tableColumn id="11426" xr3:uid="{A9D6AADD-50EB-402E-9F5C-5E1343B5C890}" name="Column11426"/>
    <tableColumn id="11427" xr3:uid="{08DCB6C0-6B06-4AD5-9661-8DF6501650D9}" name="Column11427"/>
    <tableColumn id="11428" xr3:uid="{CD7CA13D-7A06-447A-B48D-DE546027D45D}" name="Column11428"/>
    <tableColumn id="11429" xr3:uid="{6B225CAB-EBBB-40BF-98A7-E92339C3393D}" name="Column11429"/>
    <tableColumn id="11430" xr3:uid="{BCE6AC16-6E04-40CE-AA36-9C31FC96A697}" name="Column11430"/>
    <tableColumn id="11431" xr3:uid="{AC18BC3E-6865-4DEA-BCFB-E4C2981303FC}" name="Column11431"/>
    <tableColumn id="11432" xr3:uid="{85CB50E8-9DD5-4A40-B241-1254EAA713AE}" name="Column11432"/>
    <tableColumn id="11433" xr3:uid="{F4CA80BB-A1CE-4165-814A-19C1EBCD932A}" name="Column11433"/>
    <tableColumn id="11434" xr3:uid="{910BAF01-1CB5-44C0-BCA5-997292F7550F}" name="Column11434"/>
    <tableColumn id="11435" xr3:uid="{B63C6EEB-EDF0-44D4-9384-079076201E4A}" name="Column11435"/>
    <tableColumn id="11436" xr3:uid="{E8DB5E94-4274-4463-B223-990A4940B685}" name="Column11436"/>
    <tableColumn id="11437" xr3:uid="{F283D47B-6B8E-42C4-B779-F32F28C0887D}" name="Column11437"/>
    <tableColumn id="11438" xr3:uid="{EF951CFD-FD61-411E-BAAE-F5F339746E79}" name="Column11438"/>
    <tableColumn id="11439" xr3:uid="{C728EBFC-C83E-433C-9A53-F3C99CAD6368}" name="Column11439"/>
    <tableColumn id="11440" xr3:uid="{3A83B3E0-2A13-46BE-AE1B-040DD3102416}" name="Column11440"/>
    <tableColumn id="11441" xr3:uid="{B2D2D359-CE65-46F5-A681-F204BF08C0E1}" name="Column11441"/>
    <tableColumn id="11442" xr3:uid="{7BBB179E-BD01-4E71-A2D6-C607F77294BF}" name="Column11442"/>
    <tableColumn id="11443" xr3:uid="{1BDBECAA-6165-4411-B0A0-221BE8004B83}" name="Column11443"/>
    <tableColumn id="11444" xr3:uid="{EDE0DF2B-FAB7-4F5F-8E04-D21E22B2F614}" name="Column11444"/>
    <tableColumn id="11445" xr3:uid="{51947AA8-E41B-436E-836F-7C7CB0195BE8}" name="Column11445"/>
    <tableColumn id="11446" xr3:uid="{38349913-A6E2-46CA-A355-E84D5913FD8E}" name="Column11446"/>
    <tableColumn id="11447" xr3:uid="{972C9CB1-96EF-4565-B07F-3B31245B4F59}" name="Column11447"/>
    <tableColumn id="11448" xr3:uid="{D0ED3C95-2AB8-46D4-A9AD-CD4E33116449}" name="Column11448"/>
    <tableColumn id="11449" xr3:uid="{8CAA017C-96DA-468B-9D5E-38EA881D81A4}" name="Column11449"/>
    <tableColumn id="11450" xr3:uid="{5F250B08-F198-4260-A1F7-413AF02C436C}" name="Column11450"/>
    <tableColumn id="11451" xr3:uid="{C3E846A5-B8E5-4A98-84C2-806CBE389D79}" name="Column11451"/>
    <tableColumn id="11452" xr3:uid="{63B28977-8575-4583-8FCB-771A6E86379E}" name="Column11452"/>
    <tableColumn id="11453" xr3:uid="{4907702B-39BD-4455-8400-C9EA714307BA}" name="Column11453"/>
    <tableColumn id="11454" xr3:uid="{0A5A6A91-A541-4EC4-B586-DD83AA9A3F54}" name="Column11454"/>
    <tableColumn id="11455" xr3:uid="{BDB2D256-61CD-43EE-9072-D07EAB4A743D}" name="Column11455"/>
    <tableColumn id="11456" xr3:uid="{944BC9C7-54A0-4FF4-9F45-AAEED854AAEE}" name="Column11456"/>
    <tableColumn id="11457" xr3:uid="{5B198F18-2CA7-4913-91BC-65378DDB7BE7}" name="Column11457"/>
    <tableColumn id="11458" xr3:uid="{9A177C57-4578-44FA-B97F-4B25921931C2}" name="Column11458"/>
    <tableColumn id="11459" xr3:uid="{5E5B1B45-5599-4B7C-869C-9532722C8D50}" name="Column11459"/>
    <tableColumn id="11460" xr3:uid="{DC7440D2-3ABD-4876-8452-6CC582B49A7D}" name="Column11460"/>
    <tableColumn id="11461" xr3:uid="{B196D3E4-3691-4A7C-93E2-0FC99AFE63AD}" name="Column11461"/>
    <tableColumn id="11462" xr3:uid="{0087E714-6CEB-4B24-AF85-0FD647DDEEE3}" name="Column11462"/>
    <tableColumn id="11463" xr3:uid="{AA710F3C-D728-47F0-90AC-6D5BC04DC550}" name="Column11463"/>
    <tableColumn id="11464" xr3:uid="{7409D8C1-6255-4E9C-8100-CD92C5B2B19F}" name="Column11464"/>
    <tableColumn id="11465" xr3:uid="{5F4D9919-1F80-4F3D-8B1C-4A72B593D7D9}" name="Column11465"/>
    <tableColumn id="11466" xr3:uid="{E511544D-55C0-4BBA-B626-A8CD70EDBDC0}" name="Column11466"/>
    <tableColumn id="11467" xr3:uid="{7AC32E8F-7739-45DF-A879-0234E7201CC6}" name="Column11467"/>
    <tableColumn id="11468" xr3:uid="{3D1945A6-34C4-4A22-8294-EA4719AC5623}" name="Column11468"/>
    <tableColumn id="11469" xr3:uid="{49691809-7E04-4C00-BE17-8B0C5B8EDEF3}" name="Column11469"/>
    <tableColumn id="11470" xr3:uid="{280A4990-8EF6-4D47-8DBC-B991A91B7E5D}" name="Column11470"/>
    <tableColumn id="11471" xr3:uid="{52ED93CC-D97E-4669-AE89-D924A4F0C3AD}" name="Column11471"/>
    <tableColumn id="11472" xr3:uid="{E582FD94-83FC-41F2-A3ED-1849101A98D5}" name="Column11472"/>
    <tableColumn id="11473" xr3:uid="{D9832F88-A3B6-4A78-9B97-EFA659FC1DB3}" name="Column11473"/>
    <tableColumn id="11474" xr3:uid="{41940ABD-C836-448B-BE5F-EE734FD049A2}" name="Column11474"/>
    <tableColumn id="11475" xr3:uid="{E9171D49-FFA2-45C4-9D19-574429DB878E}" name="Column11475"/>
    <tableColumn id="11476" xr3:uid="{C43734EA-1BE5-4F30-A7E9-EAD7C9BDE967}" name="Column11476"/>
    <tableColumn id="11477" xr3:uid="{92FC7E30-C8CB-4C79-8A1C-CDE2FC5D01A5}" name="Column11477"/>
    <tableColumn id="11478" xr3:uid="{54A6436C-15BF-40E6-A862-2EFFD3CC233E}" name="Column11478"/>
    <tableColumn id="11479" xr3:uid="{9F1F879C-C9DA-4221-A9F4-824AA4DCFA8C}" name="Column11479"/>
    <tableColumn id="11480" xr3:uid="{05A76F4E-D48D-4570-96B1-87B2E865D1C8}" name="Column11480"/>
    <tableColumn id="11481" xr3:uid="{75D5EB9F-BE52-4258-A91A-09C4F48B9085}" name="Column11481"/>
    <tableColumn id="11482" xr3:uid="{EC578CAB-C910-4A9D-AD25-5E0BE9BE1523}" name="Column11482"/>
    <tableColumn id="11483" xr3:uid="{D5EE9E13-E98A-4229-917D-49ABD37809CD}" name="Column11483"/>
    <tableColumn id="11484" xr3:uid="{63345B16-5116-4EF4-9DC8-69660A7AAF61}" name="Column11484"/>
    <tableColumn id="11485" xr3:uid="{7669EB1D-8628-4977-9870-2968E9A7A49D}" name="Column11485"/>
    <tableColumn id="11486" xr3:uid="{C7524496-826E-440A-8DAE-94ADF20A2164}" name="Column11486"/>
    <tableColumn id="11487" xr3:uid="{6B97240F-C1C6-4B5D-A358-04B6D1852DFE}" name="Column11487"/>
    <tableColumn id="11488" xr3:uid="{7E1FBE93-AEC3-4B5B-A003-0B0E2DBB940C}" name="Column11488"/>
    <tableColumn id="11489" xr3:uid="{BE45ADBA-5BA7-42A5-9B3A-FB652E36C524}" name="Column11489"/>
    <tableColumn id="11490" xr3:uid="{DE97A3AE-D7E5-4826-B5B9-051A094AC9B8}" name="Column11490"/>
    <tableColumn id="11491" xr3:uid="{80947EE1-4A3C-4431-9C9B-1E2E92DA7B10}" name="Column11491"/>
    <tableColumn id="11492" xr3:uid="{3BC78CC8-EA5A-4172-9450-D7B99A03A024}" name="Column11492"/>
    <tableColumn id="11493" xr3:uid="{4EDD5FCE-545F-41C1-BA83-186F2623D8CE}" name="Column11493"/>
    <tableColumn id="11494" xr3:uid="{10C82FC3-1DCB-4C93-9CEB-14BC97AFBF1C}" name="Column11494"/>
    <tableColumn id="11495" xr3:uid="{F9B98621-AC15-4165-BAF2-3CB21A4BF55A}" name="Column11495"/>
    <tableColumn id="11496" xr3:uid="{B29AD0A9-81B7-4F76-A8BF-CD3B068FD322}" name="Column11496"/>
    <tableColumn id="11497" xr3:uid="{25BE70A1-E711-4A3F-A6A1-0DF338905A76}" name="Column11497"/>
    <tableColumn id="11498" xr3:uid="{A2187237-2594-44E3-8B90-E4C82C57F932}" name="Column11498"/>
    <tableColumn id="11499" xr3:uid="{E0A0EF00-EB6E-4990-A0FD-CF6AB7CC8C33}" name="Column11499"/>
    <tableColumn id="11500" xr3:uid="{10FE344B-4A29-4066-AD9B-D78CB921053D}" name="Column11500"/>
    <tableColumn id="11501" xr3:uid="{12E7FC4A-CB3E-4C2E-91D3-0D5DF1D6A28A}" name="Column11501"/>
    <tableColumn id="11502" xr3:uid="{41DC12C9-1DFE-4974-AF2C-4B9613129B7E}" name="Column11502"/>
    <tableColumn id="11503" xr3:uid="{4B76E783-D79F-4AB2-8AD2-3446309ECE0D}" name="Column11503"/>
    <tableColumn id="11504" xr3:uid="{975F98C0-7380-4163-81CB-72325BF50BA6}" name="Column11504"/>
    <tableColumn id="11505" xr3:uid="{3EBFDEFB-3225-4216-8EE3-E08E93D1B3BA}" name="Column11505"/>
    <tableColumn id="11506" xr3:uid="{C30749CC-07FF-410D-8B0F-19023A894315}" name="Column11506"/>
    <tableColumn id="11507" xr3:uid="{B4FA6808-CF7B-4230-8C31-B08E46B75F49}" name="Column11507"/>
    <tableColumn id="11508" xr3:uid="{5F4B79E3-B907-45A4-8655-F6184220BDF4}" name="Column11508"/>
    <tableColumn id="11509" xr3:uid="{AEE5554F-D721-4AE4-B9AB-A63FD7DF533D}" name="Column11509"/>
    <tableColumn id="11510" xr3:uid="{73FB18E0-190E-4865-AF80-FD5A6322A555}" name="Column11510"/>
    <tableColumn id="11511" xr3:uid="{C00D94A3-EC05-4A1F-B357-D81F43C1211F}" name="Column11511"/>
    <tableColumn id="11512" xr3:uid="{E49439DB-B0B6-4D36-80F6-F15A1B2AF2D0}" name="Column11512"/>
    <tableColumn id="11513" xr3:uid="{A2557774-4FF2-432E-967E-57182DDF7B15}" name="Column11513"/>
    <tableColumn id="11514" xr3:uid="{4D5754AA-B0C4-4130-832B-37B2FAC12AA2}" name="Column11514"/>
    <tableColumn id="11515" xr3:uid="{A4E7300E-D189-43B9-B525-0270F1A810CD}" name="Column11515"/>
    <tableColumn id="11516" xr3:uid="{41E699C9-5D92-40A3-959E-5AD49BC33ED6}" name="Column11516"/>
    <tableColumn id="11517" xr3:uid="{5355A94C-3888-40B7-9E70-F8B3F6809500}" name="Column11517"/>
    <tableColumn id="11518" xr3:uid="{B275B5FE-47E7-4C07-A49A-C968B3FEF35C}" name="Column11518"/>
    <tableColumn id="11519" xr3:uid="{CED701D3-3A31-45F8-967C-5B6932BD3D00}" name="Column11519"/>
    <tableColumn id="11520" xr3:uid="{42F756F7-55EE-4642-929D-770BFF73119E}" name="Column11520"/>
    <tableColumn id="11521" xr3:uid="{389C090B-0EA4-488C-8016-01F393B24C0A}" name="Column11521"/>
    <tableColumn id="11522" xr3:uid="{1BB2A2B9-8B3F-4B0B-81A5-21E0A3C99D77}" name="Column11522"/>
    <tableColumn id="11523" xr3:uid="{49C732A5-6947-429F-B4C4-DD0709D14623}" name="Column11523"/>
    <tableColumn id="11524" xr3:uid="{CA636D8A-962A-4BAE-8A9C-F21FF4DA49A0}" name="Column11524"/>
    <tableColumn id="11525" xr3:uid="{033A5479-6707-44FC-BBB0-7EA2BF408E1C}" name="Column11525"/>
    <tableColumn id="11526" xr3:uid="{F4D58618-D190-44B3-8EB6-862EAB81D5A5}" name="Column11526"/>
    <tableColumn id="11527" xr3:uid="{E35363CF-6807-46FE-9923-BFCB0487E660}" name="Column11527"/>
    <tableColumn id="11528" xr3:uid="{C2CE570C-3E79-4F10-B7B2-237929D2B895}" name="Column11528"/>
    <tableColumn id="11529" xr3:uid="{46DC1BCC-E0F9-4768-BD9A-F965676CB83E}" name="Column11529"/>
    <tableColumn id="11530" xr3:uid="{B5A00817-4B67-436B-B591-AE5C951102C8}" name="Column11530"/>
    <tableColumn id="11531" xr3:uid="{BDDD9AED-1192-411C-89CC-064100286141}" name="Column11531"/>
    <tableColumn id="11532" xr3:uid="{D0C1F25C-65F4-424B-A454-472931D7967B}" name="Column11532"/>
    <tableColumn id="11533" xr3:uid="{5FB47DDC-CFA0-4A93-B9C2-BC65E05C24ED}" name="Column11533"/>
    <tableColumn id="11534" xr3:uid="{9E9260A2-20EC-4F6A-B0AD-767406B59EB4}" name="Column11534"/>
    <tableColumn id="11535" xr3:uid="{F4A2ACFD-B646-4342-9160-9AD2F59B7E0A}" name="Column11535"/>
    <tableColumn id="11536" xr3:uid="{065EAE22-E908-4B9B-B24A-5E1D68497697}" name="Column11536"/>
    <tableColumn id="11537" xr3:uid="{D7D7644A-984C-4872-BBFE-51A751E7B7B3}" name="Column11537"/>
    <tableColumn id="11538" xr3:uid="{01C38907-F7DA-4FE1-B953-5EC89D77BC3A}" name="Column11538"/>
    <tableColumn id="11539" xr3:uid="{6E6BF335-BF6B-421B-A4F2-29A308C4B7AE}" name="Column11539"/>
    <tableColumn id="11540" xr3:uid="{CE14C728-4BAC-4897-9FEB-56407B5158FE}" name="Column11540"/>
    <tableColumn id="11541" xr3:uid="{42E76469-CD3C-4B55-8D72-DA64888C2B43}" name="Column11541"/>
    <tableColumn id="11542" xr3:uid="{0769DC39-8897-45EC-ACBE-7A6716388C4A}" name="Column11542"/>
    <tableColumn id="11543" xr3:uid="{C6EE0651-37AE-4552-9069-4395BF504D41}" name="Column11543"/>
    <tableColumn id="11544" xr3:uid="{103EFDF6-D773-41CD-9A35-C0034BF1DBF5}" name="Column11544"/>
    <tableColumn id="11545" xr3:uid="{ACE74114-500D-49C2-9865-27DF22686024}" name="Column11545"/>
    <tableColumn id="11546" xr3:uid="{FA6D5C5E-4838-4888-8AE5-5F6CF8ED9DBE}" name="Column11546"/>
    <tableColumn id="11547" xr3:uid="{FFF2E554-F7CC-4295-B27F-66551D5E0E40}" name="Column11547"/>
    <tableColumn id="11548" xr3:uid="{A02C7D6F-5753-4670-A10D-D5EB909E8630}" name="Column11548"/>
    <tableColumn id="11549" xr3:uid="{3B37A5CA-06A5-4060-8E42-368D8461DB80}" name="Column11549"/>
    <tableColumn id="11550" xr3:uid="{2946E2F3-9A3A-4125-A29C-080EC2F38927}" name="Column11550"/>
    <tableColumn id="11551" xr3:uid="{DC8F77E6-BFCC-4DF6-AA8A-4066A2A4BAEE}" name="Column11551"/>
    <tableColumn id="11552" xr3:uid="{B98C357C-8235-4BF0-9885-8D5E8E015E68}" name="Column11552"/>
    <tableColumn id="11553" xr3:uid="{5DA72864-30DA-4036-B522-9D935C42A0AD}" name="Column11553"/>
    <tableColumn id="11554" xr3:uid="{6B9B7566-5A31-4D9B-B2CC-8B4FC246025E}" name="Column11554"/>
    <tableColumn id="11555" xr3:uid="{651445E0-A7B8-4CFA-B382-8DAC437877C4}" name="Column11555"/>
    <tableColumn id="11556" xr3:uid="{C9CF4E55-8410-49D7-ABCD-68299F552A06}" name="Column11556"/>
    <tableColumn id="11557" xr3:uid="{879097CE-8254-4382-97DE-5D096F2E1E5F}" name="Column11557"/>
    <tableColumn id="11558" xr3:uid="{64932754-5D5F-4E19-BD4D-4B1C7CA63439}" name="Column11558"/>
    <tableColumn id="11559" xr3:uid="{470E376F-8A47-48EB-905C-F27C2723053C}" name="Column11559"/>
    <tableColumn id="11560" xr3:uid="{DAA4DA15-F800-4F0C-A275-EF527D902E29}" name="Column11560"/>
    <tableColumn id="11561" xr3:uid="{E2EBAC7B-3C57-42EE-8E85-D6CF25103BF8}" name="Column11561"/>
    <tableColumn id="11562" xr3:uid="{68CD7153-562C-422E-8CBB-A83086094F07}" name="Column11562"/>
    <tableColumn id="11563" xr3:uid="{857D2B6A-3A9A-480F-95DA-66766EC73FA2}" name="Column11563"/>
    <tableColumn id="11564" xr3:uid="{5F087EE2-C818-4929-AE46-6C76D30A077A}" name="Column11564"/>
    <tableColumn id="11565" xr3:uid="{E1ADAF65-D881-4740-809B-E408EEE797DE}" name="Column11565"/>
    <tableColumn id="11566" xr3:uid="{52AADE75-1504-41DD-B502-5C1A5BB15052}" name="Column11566"/>
    <tableColumn id="11567" xr3:uid="{EC1F7BE3-43B7-46BD-9655-F6BA46AF45DB}" name="Column11567"/>
    <tableColumn id="11568" xr3:uid="{644B63DE-2CB1-4341-8BF1-B60C446C0B7E}" name="Column11568"/>
    <tableColumn id="11569" xr3:uid="{700E1046-0783-44B0-84F3-6F62F9874DAD}" name="Column11569"/>
    <tableColumn id="11570" xr3:uid="{277337D2-88A1-4B10-A090-3A200608B19A}" name="Column11570"/>
    <tableColumn id="11571" xr3:uid="{32BD3F21-D3D6-4BDF-BC23-B8D4F16F956E}" name="Column11571"/>
    <tableColumn id="11572" xr3:uid="{B904385B-E7B9-4DA4-89E9-B7E4EFB8413B}" name="Column11572"/>
    <tableColumn id="11573" xr3:uid="{522347FB-F9D6-4515-9697-9767ABEC627C}" name="Column11573"/>
    <tableColumn id="11574" xr3:uid="{69843038-C4DD-472B-878C-E8F1C226898C}" name="Column11574"/>
    <tableColumn id="11575" xr3:uid="{D8557D9A-2D23-4322-8B77-0FC4E667EC61}" name="Column11575"/>
    <tableColumn id="11576" xr3:uid="{B72E1CB7-8BE2-45E8-BC41-C51213D80191}" name="Column11576"/>
    <tableColumn id="11577" xr3:uid="{A61DE85E-ADA0-45EC-83AD-7962B474B3B9}" name="Column11577"/>
    <tableColumn id="11578" xr3:uid="{AF70EAA6-134D-4E94-8FB3-B5C2410F2EDD}" name="Column11578"/>
    <tableColumn id="11579" xr3:uid="{3971BAA2-912E-4BC4-A7AC-F87C9F07DED9}" name="Column11579"/>
    <tableColumn id="11580" xr3:uid="{A870D733-F110-43DB-8E4A-5002F270CC26}" name="Column11580"/>
    <tableColumn id="11581" xr3:uid="{6B811501-6666-4DDA-A0B5-49647EF9D6A4}" name="Column11581"/>
    <tableColumn id="11582" xr3:uid="{56DBD571-D541-45B1-B051-F68F39B7EC81}" name="Column11582"/>
    <tableColumn id="11583" xr3:uid="{096C978E-E36E-47AB-85A6-71E5A4146AF2}" name="Column11583"/>
    <tableColumn id="11584" xr3:uid="{24632563-3102-4EED-93A4-766A1A4BAD6D}" name="Column11584"/>
    <tableColumn id="11585" xr3:uid="{9CDD629A-CB2D-4D07-BE67-64FD83CE8979}" name="Column11585"/>
    <tableColumn id="11586" xr3:uid="{FCC244BD-C936-4725-8112-445D6F7BC00A}" name="Column11586"/>
    <tableColumn id="11587" xr3:uid="{B40DACD8-FE7B-470B-99A1-FB47BC8DB7AF}" name="Column11587"/>
    <tableColumn id="11588" xr3:uid="{B2DB5394-6C00-4906-AF43-0335D2D711CB}" name="Column11588"/>
    <tableColumn id="11589" xr3:uid="{58375EE0-98B9-4596-8D2D-FDD5FE81ED44}" name="Column11589"/>
    <tableColumn id="11590" xr3:uid="{7648B362-3E13-45C4-A91C-55C2EB45A1F1}" name="Column11590"/>
    <tableColumn id="11591" xr3:uid="{ED6C0A73-C8A4-4DC5-BA22-C4523C85E27C}" name="Column11591"/>
    <tableColumn id="11592" xr3:uid="{D228C544-2768-47C2-B300-DD7F17748EF0}" name="Column11592"/>
    <tableColumn id="11593" xr3:uid="{6FA43F2E-7FD2-46D1-B883-34F16F7AFCC8}" name="Column11593"/>
    <tableColumn id="11594" xr3:uid="{D1FC9A20-288C-4FC3-9EB0-0F69A504F506}" name="Column11594"/>
    <tableColumn id="11595" xr3:uid="{E7D9C496-0742-4B83-9897-4D199FA0968F}" name="Column11595"/>
    <tableColumn id="11596" xr3:uid="{AAE090D2-49FC-457C-8F4E-BE2E165BEBEE}" name="Column11596"/>
    <tableColumn id="11597" xr3:uid="{B9933CBC-2178-415B-BC9C-B9ADD1CEF1F7}" name="Column11597"/>
    <tableColumn id="11598" xr3:uid="{ECD2ED0E-D602-4D3E-B797-E8971F2D0F7E}" name="Column11598"/>
    <tableColumn id="11599" xr3:uid="{3DF29026-7DF4-4393-9CCC-9C971D936E94}" name="Column11599"/>
    <tableColumn id="11600" xr3:uid="{40730962-B24D-4F54-847F-EE4A49063B77}" name="Column11600"/>
    <tableColumn id="11601" xr3:uid="{E8FB7D32-D30E-4300-B865-C6D70D92FF18}" name="Column11601"/>
    <tableColumn id="11602" xr3:uid="{079BBCA0-E51E-4876-BCED-9FC8BA8037D0}" name="Column11602"/>
    <tableColumn id="11603" xr3:uid="{88BDECB7-EC87-408C-A0DC-26BBE42D030D}" name="Column11603"/>
    <tableColumn id="11604" xr3:uid="{A97C12D5-A242-44C8-A8E0-5A4D774FF9A4}" name="Column11604"/>
    <tableColumn id="11605" xr3:uid="{005B3047-316F-4C86-8065-CC9E8E9EE1F8}" name="Column11605"/>
    <tableColumn id="11606" xr3:uid="{904A4C29-5C5A-4C4D-B093-890651948025}" name="Column11606"/>
    <tableColumn id="11607" xr3:uid="{F9A7C8D0-506F-45D6-9FC2-35DF2E2616D0}" name="Column11607"/>
    <tableColumn id="11608" xr3:uid="{8771F1CF-3FAE-45BF-8C18-65B27E6C2CFE}" name="Column11608"/>
    <tableColumn id="11609" xr3:uid="{E024185E-CDEB-4F23-A120-EA778575F9F4}" name="Column11609"/>
    <tableColumn id="11610" xr3:uid="{F75257DC-B5B0-41C6-BFFD-96E70E850B4D}" name="Column11610"/>
    <tableColumn id="11611" xr3:uid="{FADED787-72C6-4204-BF85-3427712E2ECD}" name="Column11611"/>
    <tableColumn id="11612" xr3:uid="{58682A65-19CC-4D56-AE9C-DA3A6FD65773}" name="Column11612"/>
    <tableColumn id="11613" xr3:uid="{894BAFE1-942E-4A71-9E39-517F94FC9552}" name="Column11613"/>
    <tableColumn id="11614" xr3:uid="{76E1D931-E32A-4416-B996-F354899A7DDE}" name="Column11614"/>
    <tableColumn id="11615" xr3:uid="{3979CBF9-5696-4097-80E6-04C281614126}" name="Column11615"/>
    <tableColumn id="11616" xr3:uid="{C1F67D9C-D8BD-4923-81D7-700B7EE27733}" name="Column11616"/>
    <tableColumn id="11617" xr3:uid="{EB81786E-B67F-4FD4-AFB4-92D4BB79E94C}" name="Column11617"/>
    <tableColumn id="11618" xr3:uid="{D9557B36-C6A8-49F3-A9CF-89F794150B0A}" name="Column11618"/>
    <tableColumn id="11619" xr3:uid="{F10A5973-A15C-4712-A8E8-84C7C9CB3C93}" name="Column11619"/>
    <tableColumn id="11620" xr3:uid="{C0AB0DA3-9300-4AC5-9766-7F1ED503B045}" name="Column11620"/>
    <tableColumn id="11621" xr3:uid="{9678BAED-8C42-4500-AB4E-9999FC1A50DF}" name="Column11621"/>
    <tableColumn id="11622" xr3:uid="{1DF23F26-8776-4F7A-88E4-74735A773B85}" name="Column11622"/>
    <tableColumn id="11623" xr3:uid="{DB6A63E4-4545-4EDE-A979-F4A3969A8F19}" name="Column11623"/>
    <tableColumn id="11624" xr3:uid="{BE6C4A5F-A590-4C82-A19C-A568612D3FB2}" name="Column11624"/>
    <tableColumn id="11625" xr3:uid="{029BEAF5-B6BD-4A7B-ABB6-884362CFF026}" name="Column11625"/>
    <tableColumn id="11626" xr3:uid="{EF67F583-5D42-4F4E-AD88-B59D1E6B3273}" name="Column11626"/>
    <tableColumn id="11627" xr3:uid="{F5A20B7E-F29F-416C-8AC2-035011861927}" name="Column11627"/>
    <tableColumn id="11628" xr3:uid="{743ABB07-D2CB-440E-815F-F5EE99BBEA8E}" name="Column11628"/>
    <tableColumn id="11629" xr3:uid="{55CEC961-AC4B-4103-9559-550CD86F1BF4}" name="Column11629"/>
    <tableColumn id="11630" xr3:uid="{5BE1DF3E-E90E-40AD-9766-66D80CA5A35D}" name="Column11630"/>
    <tableColumn id="11631" xr3:uid="{5BD3803A-B6E4-4449-BB95-6454F4AB4C0F}" name="Column11631"/>
    <tableColumn id="11632" xr3:uid="{E54B46B4-B660-4F81-AC57-AAF6A0F2309B}" name="Column11632"/>
    <tableColumn id="11633" xr3:uid="{871D1CD8-C636-4544-B848-B51425054D97}" name="Column11633"/>
    <tableColumn id="11634" xr3:uid="{B31436F0-0AEE-4927-99C6-F54201EE7095}" name="Column11634"/>
    <tableColumn id="11635" xr3:uid="{C2554FF7-2DA1-44B4-8DA5-3B2BA158280A}" name="Column11635"/>
    <tableColumn id="11636" xr3:uid="{2867911B-4C1B-4727-8D7C-64376D04040E}" name="Column11636"/>
    <tableColumn id="11637" xr3:uid="{7B5586FD-5C0F-4B50-A47C-5E8061B00688}" name="Column11637"/>
    <tableColumn id="11638" xr3:uid="{C3F2EE0E-771C-474F-8AB0-1949A2567F30}" name="Column11638"/>
    <tableColumn id="11639" xr3:uid="{AAF54141-D1DA-47FB-8B26-67DE1A6C3331}" name="Column11639"/>
    <tableColumn id="11640" xr3:uid="{BFF37350-65F9-4605-AB2F-6CEF6171F107}" name="Column11640"/>
    <tableColumn id="11641" xr3:uid="{9846CAA9-8A73-4988-BE15-9D17C915D52A}" name="Column11641"/>
    <tableColumn id="11642" xr3:uid="{47F0E7AA-FBEC-47BD-AD58-CFE597AC6C5E}" name="Column11642"/>
    <tableColumn id="11643" xr3:uid="{E9847585-A214-47C8-B4B4-5F3007807289}" name="Column11643"/>
    <tableColumn id="11644" xr3:uid="{407FBD51-B6D0-4F61-BA29-EEE91D8EF544}" name="Column11644"/>
    <tableColumn id="11645" xr3:uid="{82177A26-72CE-42F6-BCFD-F5658B3618DC}" name="Column11645"/>
    <tableColumn id="11646" xr3:uid="{502C2D92-812D-4B75-BE60-8820C287FFE7}" name="Column11646"/>
    <tableColumn id="11647" xr3:uid="{6B125EC4-EE1F-403D-BA3D-E5D2486EA4E6}" name="Column11647"/>
    <tableColumn id="11648" xr3:uid="{85CB3731-C14F-4654-BA14-089872A85638}" name="Column11648"/>
    <tableColumn id="11649" xr3:uid="{8DEAD804-3F94-43E6-A28E-58288572870C}" name="Column11649"/>
    <tableColumn id="11650" xr3:uid="{9769B37F-1405-440D-BFF8-CB9FEC57900E}" name="Column11650"/>
    <tableColumn id="11651" xr3:uid="{187A364F-D945-4962-828B-66FF2BD3D4DA}" name="Column11651"/>
    <tableColumn id="11652" xr3:uid="{A2781F37-7CC4-4B30-9F25-5438A21940F1}" name="Column11652"/>
    <tableColumn id="11653" xr3:uid="{12D92A6B-0D2F-4036-902A-F36E6394232C}" name="Column11653"/>
    <tableColumn id="11654" xr3:uid="{AEDB1F74-3CE8-4620-A9A9-A4ED02C11E4A}" name="Column11654"/>
    <tableColumn id="11655" xr3:uid="{F42C1115-4733-4CD9-BC64-6072E7EB04CF}" name="Column11655"/>
    <tableColumn id="11656" xr3:uid="{CEE5CA2B-36D2-49FD-905B-FB4C2EDE3EFC}" name="Column11656"/>
    <tableColumn id="11657" xr3:uid="{C3D2D0D8-A7EE-4802-90D0-18A324E4B871}" name="Column11657"/>
    <tableColumn id="11658" xr3:uid="{86A619E7-7326-4D42-97DE-9A798AC1FAB8}" name="Column11658"/>
    <tableColumn id="11659" xr3:uid="{FA3340C6-0C98-4AE2-8B7A-D9BF7557205C}" name="Column11659"/>
    <tableColumn id="11660" xr3:uid="{8B87C796-3DAE-46C5-9A52-F9119B5BA77A}" name="Column11660"/>
    <tableColumn id="11661" xr3:uid="{1A2B84D5-D9DD-40CD-9A15-D3F38C1EFD1C}" name="Column11661"/>
    <tableColumn id="11662" xr3:uid="{55298A42-FB99-446E-8B54-C3F737A42437}" name="Column11662"/>
    <tableColumn id="11663" xr3:uid="{B46183B0-2C53-4A49-89B8-AEEE9C28C4E4}" name="Column11663"/>
    <tableColumn id="11664" xr3:uid="{F2E4BFBF-ED5C-4786-9AAF-BD9ECB60BAA0}" name="Column11664"/>
    <tableColumn id="11665" xr3:uid="{27F55F2E-4B8B-4820-9636-C21CE4EC982C}" name="Column11665"/>
    <tableColumn id="11666" xr3:uid="{5DD00A6E-DE6F-4DDD-A702-0BC2AFC9BE01}" name="Column11666"/>
    <tableColumn id="11667" xr3:uid="{A983BE48-BAA4-41AC-AC25-2AF0B03EA26A}" name="Column11667"/>
    <tableColumn id="11668" xr3:uid="{BF8FF0B5-0566-44DA-923C-1B870D6A8F4E}" name="Column11668"/>
    <tableColumn id="11669" xr3:uid="{B36285FB-B179-4B78-86FD-ACB301627195}" name="Column11669"/>
    <tableColumn id="11670" xr3:uid="{D5BBD056-9EBF-4289-854B-2B269415CE4C}" name="Column11670"/>
    <tableColumn id="11671" xr3:uid="{48475727-56BE-49BF-BDD3-ACE5A1AF5F79}" name="Column11671"/>
    <tableColumn id="11672" xr3:uid="{F800F1F5-B631-4E6F-8CCE-E5E1243AB183}" name="Column11672"/>
    <tableColumn id="11673" xr3:uid="{DD40A76C-F1CD-4633-B1DD-8E19CC265F46}" name="Column11673"/>
    <tableColumn id="11674" xr3:uid="{17953B9B-7949-41A1-A4EC-E23BCDE60615}" name="Column11674"/>
    <tableColumn id="11675" xr3:uid="{03CEDDCE-C685-4E94-B78A-0CB8A7E945F7}" name="Column11675"/>
    <tableColumn id="11676" xr3:uid="{399C23CC-787A-43C6-A2B5-6E56BEECDF49}" name="Column11676"/>
    <tableColumn id="11677" xr3:uid="{3E2A7CAC-80DE-49E6-A382-2D24E8A08A63}" name="Column11677"/>
    <tableColumn id="11678" xr3:uid="{7C3F9D36-A99F-4973-B9B5-AD16B04DE794}" name="Column11678"/>
    <tableColumn id="11679" xr3:uid="{7A152F7C-FF79-4C50-87A3-85214B71060F}" name="Column11679"/>
    <tableColumn id="11680" xr3:uid="{D81FF4F8-F4C4-4104-BE2D-7FC1E67A3965}" name="Column11680"/>
    <tableColumn id="11681" xr3:uid="{F9B7E273-266C-4F4D-A755-7A4724A4ABD6}" name="Column11681"/>
    <tableColumn id="11682" xr3:uid="{D7842A00-8AB4-4B5D-8FDF-47F70AFB5BB6}" name="Column11682"/>
    <tableColumn id="11683" xr3:uid="{4980B5BC-7B01-4B79-BC02-F48FE7AFDC84}" name="Column11683"/>
    <tableColumn id="11684" xr3:uid="{2BF20205-E79E-47F0-B3B7-176FC3D7E527}" name="Column11684"/>
    <tableColumn id="11685" xr3:uid="{FE04375E-DBB9-4582-9912-1B2B4B2AB5B0}" name="Column11685"/>
    <tableColumn id="11686" xr3:uid="{1BABFFFF-D0FE-4598-8664-394803E02418}" name="Column11686"/>
    <tableColumn id="11687" xr3:uid="{0D366F22-FFEE-43CD-9497-25D452543F62}" name="Column11687"/>
    <tableColumn id="11688" xr3:uid="{E241F6A0-A884-4BFF-AB40-E95722B21A4F}" name="Column11688"/>
    <tableColumn id="11689" xr3:uid="{7425B5B6-F068-48E6-854D-DCD6CF6067D0}" name="Column11689"/>
    <tableColumn id="11690" xr3:uid="{1824032A-4DF2-4E2A-962C-AC9F670D85E9}" name="Column11690"/>
    <tableColumn id="11691" xr3:uid="{2C436115-21D7-46DC-B870-7FDAA7ABA483}" name="Column11691"/>
    <tableColumn id="11692" xr3:uid="{DC482CBA-589B-4A78-AEF6-F12B7C988236}" name="Column11692"/>
    <tableColumn id="11693" xr3:uid="{CBAD8C60-ECC2-4D68-A814-B371F57C5826}" name="Column11693"/>
    <tableColumn id="11694" xr3:uid="{606E50E2-0F38-4D43-B8FE-ECE0B3BE11E7}" name="Column11694"/>
    <tableColumn id="11695" xr3:uid="{95C534EB-7697-4694-AD11-63A356DA3ACE}" name="Column11695"/>
    <tableColumn id="11696" xr3:uid="{DF05A682-1F4F-481C-8529-3042D0F219E9}" name="Column11696"/>
    <tableColumn id="11697" xr3:uid="{8DFFC374-9065-4F0C-8EA1-2A2EEB90A09C}" name="Column11697"/>
    <tableColumn id="11698" xr3:uid="{656A818F-8295-4302-A8E9-7C235CE9CED1}" name="Column11698"/>
    <tableColumn id="11699" xr3:uid="{4B46011B-7B58-4272-AC09-1C7645C51C39}" name="Column11699"/>
    <tableColumn id="11700" xr3:uid="{A22D5FE8-9B27-46B6-9FDA-8BC288840267}" name="Column11700"/>
    <tableColumn id="11701" xr3:uid="{845C4C70-FD88-46BE-971A-7CFA6EBFA335}" name="Column11701"/>
    <tableColumn id="11702" xr3:uid="{1B7BEE8D-E9E0-4C1F-9866-F7624599E877}" name="Column11702"/>
    <tableColumn id="11703" xr3:uid="{B7B066ED-52E8-4F12-B313-D5BA43449E29}" name="Column11703"/>
    <tableColumn id="11704" xr3:uid="{F063AC0D-F007-4965-AF83-EEA24C084E51}" name="Column11704"/>
    <tableColumn id="11705" xr3:uid="{D780DE69-DFFF-4E2F-9681-D6635883D24C}" name="Column11705"/>
    <tableColumn id="11706" xr3:uid="{AABEB0CC-D26D-4AC9-A716-4B41A31962A0}" name="Column11706"/>
    <tableColumn id="11707" xr3:uid="{06982FF5-6270-4C95-A1ED-9430BD71D850}" name="Column11707"/>
    <tableColumn id="11708" xr3:uid="{87D97E35-59F0-40D1-9F72-AAB18D622D3A}" name="Column11708"/>
    <tableColumn id="11709" xr3:uid="{C9743937-30BA-43D5-8A1A-A3959A6D44D3}" name="Column11709"/>
    <tableColumn id="11710" xr3:uid="{9733FF44-5F38-43BC-98AF-E8E421A2CAE7}" name="Column11710"/>
    <tableColumn id="11711" xr3:uid="{D6CF6EA8-272C-4623-B768-BC0B230E7403}" name="Column11711"/>
    <tableColumn id="11712" xr3:uid="{3554B4BE-5941-4FD9-8B70-77EF82AEEB1A}" name="Column11712"/>
    <tableColumn id="11713" xr3:uid="{9F80863F-F312-4C3A-AF82-5612228C4A6E}" name="Column11713"/>
    <tableColumn id="11714" xr3:uid="{A519B294-80A3-481E-AE8F-FE22BF2A09A7}" name="Column11714"/>
    <tableColumn id="11715" xr3:uid="{F7EAD361-CE26-453F-A04D-93C876BEF44C}" name="Column11715"/>
    <tableColumn id="11716" xr3:uid="{C6432562-BEC1-4E49-ACD2-D7006A83E027}" name="Column11716"/>
    <tableColumn id="11717" xr3:uid="{4603BFEE-20FC-4C18-9E82-B7555D022581}" name="Column11717"/>
    <tableColumn id="11718" xr3:uid="{532CB9EF-D8C4-4C02-9278-364F0AFE4C5B}" name="Column11718"/>
    <tableColumn id="11719" xr3:uid="{93D3CF58-211C-48EC-8ECD-769B2502FF35}" name="Column11719"/>
    <tableColumn id="11720" xr3:uid="{1E59139F-FACC-42F7-A2F1-598F3E778735}" name="Column11720"/>
    <tableColumn id="11721" xr3:uid="{35E57EB3-6667-4FE9-8369-C7775D84D18F}" name="Column11721"/>
    <tableColumn id="11722" xr3:uid="{0B1F696A-EBD8-4558-9A99-9D2DF89F7088}" name="Column11722"/>
    <tableColumn id="11723" xr3:uid="{572D5670-19BD-489C-B75F-BB33F990D60C}" name="Column11723"/>
    <tableColumn id="11724" xr3:uid="{471C591D-5086-4B28-BFF7-A1939094A010}" name="Column11724"/>
    <tableColumn id="11725" xr3:uid="{C183A62F-3D42-4650-90BF-3F675C072223}" name="Column11725"/>
    <tableColumn id="11726" xr3:uid="{07D6765D-6331-4FC3-8AFB-B76C9A4D2FEF}" name="Column11726"/>
    <tableColumn id="11727" xr3:uid="{841CD5F7-A1BB-4A21-9764-412F91775B40}" name="Column11727"/>
    <tableColumn id="11728" xr3:uid="{439D6A7E-9225-4C02-8F58-E6B7B20F2D78}" name="Column11728"/>
    <tableColumn id="11729" xr3:uid="{D0F9069C-B749-403F-B4D7-FDEBE5728EE7}" name="Column11729"/>
    <tableColumn id="11730" xr3:uid="{D7D56C6B-8CD3-47FD-98B5-731815788347}" name="Column11730"/>
    <tableColumn id="11731" xr3:uid="{33A1DA54-94A2-44D0-92CA-36A49B8CBCB7}" name="Column11731"/>
    <tableColumn id="11732" xr3:uid="{B3CD3047-70A7-44C2-9A57-14BF43B82719}" name="Column11732"/>
    <tableColumn id="11733" xr3:uid="{1FE9E06F-7ED7-4D6B-B9A6-9F27CA2DCB34}" name="Column11733"/>
    <tableColumn id="11734" xr3:uid="{A46EF092-C07C-4D8C-A47D-718003922418}" name="Column11734"/>
    <tableColumn id="11735" xr3:uid="{2EC44D92-9848-4108-8058-C05C60F3EABB}" name="Column11735"/>
    <tableColumn id="11736" xr3:uid="{CAA7039A-2CE9-4AC0-8507-1034E715BEBE}" name="Column11736"/>
    <tableColumn id="11737" xr3:uid="{CF370F07-A99A-44A7-8D83-F1E77338D537}" name="Column11737"/>
    <tableColumn id="11738" xr3:uid="{CBCA205A-0AFD-4DED-8071-48D2B68BD849}" name="Column11738"/>
    <tableColumn id="11739" xr3:uid="{AD64FE8F-2226-4B7F-97CD-3D58D813F2E0}" name="Column11739"/>
    <tableColumn id="11740" xr3:uid="{91F61434-FC9A-4EDD-8BAE-41A52255C542}" name="Column11740"/>
    <tableColumn id="11741" xr3:uid="{8AA8D828-CB89-463A-921A-B78E4754B77E}" name="Column11741"/>
    <tableColumn id="11742" xr3:uid="{C7851634-C0F3-4A93-9B0A-78F52712651B}" name="Column11742"/>
    <tableColumn id="11743" xr3:uid="{CF7A6035-EA61-4055-AD54-2789C9CDAF98}" name="Column11743"/>
    <tableColumn id="11744" xr3:uid="{D3372564-F653-4569-B963-AB183BE793AF}" name="Column11744"/>
    <tableColumn id="11745" xr3:uid="{DD2C44A7-F241-41CF-85B7-6E0738BBBE08}" name="Column11745"/>
    <tableColumn id="11746" xr3:uid="{108AACBD-DFB9-41CE-9C34-FE9D1FA2C8AF}" name="Column11746"/>
    <tableColumn id="11747" xr3:uid="{3384258D-7D28-4009-B16F-8E908B4436F1}" name="Column11747"/>
    <tableColumn id="11748" xr3:uid="{6191A1DE-2E56-49D9-B1C6-2CB886F31240}" name="Column11748"/>
    <tableColumn id="11749" xr3:uid="{C02C0208-4E3D-41D5-A6EF-EE7E3ED59ABC}" name="Column11749"/>
    <tableColumn id="11750" xr3:uid="{261E1F25-F4E1-475E-B619-E6C79105A80E}" name="Column11750"/>
    <tableColumn id="11751" xr3:uid="{30AEDD06-0D4D-4406-9AA5-938E0C3E28C2}" name="Column11751"/>
    <tableColumn id="11752" xr3:uid="{06364408-BAF9-4133-8929-79E44885261E}" name="Column11752"/>
    <tableColumn id="11753" xr3:uid="{061AAD84-1794-4605-9D88-6931E9BF78D6}" name="Column11753"/>
    <tableColumn id="11754" xr3:uid="{B5AC63EE-93AD-487F-A845-0FB0EBEDB753}" name="Column11754"/>
    <tableColumn id="11755" xr3:uid="{1FF1DD45-995A-4EBF-B615-D864ECBF3564}" name="Column11755"/>
    <tableColumn id="11756" xr3:uid="{8950FCA0-2E6F-4070-A28C-43B3AB8889E6}" name="Column11756"/>
    <tableColumn id="11757" xr3:uid="{2BD3BC9B-8D23-4FC3-917E-620D4BAC6325}" name="Column11757"/>
    <tableColumn id="11758" xr3:uid="{2638EEB5-CE9D-45CE-AAA4-97C079F4B8CB}" name="Column11758"/>
    <tableColumn id="11759" xr3:uid="{3A57734E-CFA9-45B8-B49C-8D17D23FB85E}" name="Column11759"/>
    <tableColumn id="11760" xr3:uid="{B477CEEB-4322-4D0D-B8C1-F966B96B43E0}" name="Column11760"/>
    <tableColumn id="11761" xr3:uid="{7EA6CC10-CF8B-4245-9565-3758A0D8136E}" name="Column11761"/>
    <tableColumn id="11762" xr3:uid="{C7E307FC-4BBC-4D89-B7CF-BD85E5D951AC}" name="Column11762"/>
    <tableColumn id="11763" xr3:uid="{D2F0452E-0364-4E7C-9FFB-4E91974A4073}" name="Column11763"/>
    <tableColumn id="11764" xr3:uid="{AC19A239-9643-497E-8EAA-BC90BB201F4A}" name="Column11764"/>
    <tableColumn id="11765" xr3:uid="{89BF3731-4F23-44BC-A246-AE661DDEBEF0}" name="Column11765"/>
    <tableColumn id="11766" xr3:uid="{33BFC188-6960-4D43-BDB1-9FB1B94998D6}" name="Column11766"/>
    <tableColumn id="11767" xr3:uid="{767E77EE-4787-4C6C-829F-B54B90F93F74}" name="Column11767"/>
    <tableColumn id="11768" xr3:uid="{3ED91103-2297-49FD-BE24-05EF4AE3F959}" name="Column11768"/>
    <tableColumn id="11769" xr3:uid="{C70A421B-316C-415A-B629-4F4976EEE251}" name="Column11769"/>
    <tableColumn id="11770" xr3:uid="{0CB3C7AC-CE99-4DB2-AF0F-7436EDBAC491}" name="Column11770"/>
    <tableColumn id="11771" xr3:uid="{7666C0F6-065B-486A-B370-7FED014FEA9C}" name="Column11771"/>
    <tableColumn id="11772" xr3:uid="{E2D24FDC-1243-4E8D-93C1-EDB090AFF126}" name="Column11772"/>
    <tableColumn id="11773" xr3:uid="{2DE7208E-7B73-4F15-980D-D3F145737C1F}" name="Column11773"/>
    <tableColumn id="11774" xr3:uid="{676B80B2-E6B3-4FA7-9879-A639D5DDBEB8}" name="Column11774"/>
    <tableColumn id="11775" xr3:uid="{071E0665-6211-408A-B6E5-803A6DBE0D6B}" name="Column11775"/>
    <tableColumn id="11776" xr3:uid="{25EAAE77-E540-4937-AEFF-40EBEE07A018}" name="Column11776"/>
    <tableColumn id="11777" xr3:uid="{3F3544DA-DA4C-4BC4-895A-CFCBC333918E}" name="Column11777"/>
    <tableColumn id="11778" xr3:uid="{D95F90E9-7D47-4E42-B4F2-FFA93170B05B}" name="Column11778"/>
    <tableColumn id="11779" xr3:uid="{D0870A07-CA64-458B-A1F0-D92E16ED3785}" name="Column11779"/>
    <tableColumn id="11780" xr3:uid="{5E5FCEB6-6EBB-47B7-8FF8-E1EA485DB656}" name="Column11780"/>
    <tableColumn id="11781" xr3:uid="{1AF5EE6C-A714-4C68-972A-A0D4968C16F1}" name="Column11781"/>
    <tableColumn id="11782" xr3:uid="{83F8190C-B296-45B1-936E-F136C1EE4FAD}" name="Column11782"/>
    <tableColumn id="11783" xr3:uid="{4A5B0074-9398-492F-AB38-0F9A0CBC9A6A}" name="Column11783"/>
    <tableColumn id="11784" xr3:uid="{9F25A82A-D12A-42D4-A3C5-B4D3AD5E8562}" name="Column11784"/>
    <tableColumn id="11785" xr3:uid="{51818079-DEE4-4AA2-835C-6CF6263E117A}" name="Column11785"/>
    <tableColumn id="11786" xr3:uid="{D7F8D92A-81B8-406B-8B81-7E706CE46C83}" name="Column11786"/>
    <tableColumn id="11787" xr3:uid="{FB5AA3A3-167E-4B0A-903E-AE1A75D78412}" name="Column11787"/>
    <tableColumn id="11788" xr3:uid="{062687F6-AD5D-4E44-84FA-99F7CE8AF11A}" name="Column11788"/>
    <tableColumn id="11789" xr3:uid="{B5C1E5C5-E25C-449B-B69F-5511936E5AE9}" name="Column11789"/>
    <tableColumn id="11790" xr3:uid="{2803696A-7F56-4577-85B5-EC29A392F37D}" name="Column11790"/>
    <tableColumn id="11791" xr3:uid="{3AEE84F9-3F8F-4D78-85A1-504FC9079925}" name="Column11791"/>
    <tableColumn id="11792" xr3:uid="{A9309B01-CDA8-43E8-A76C-4EA91F847F8C}" name="Column11792"/>
    <tableColumn id="11793" xr3:uid="{7C417CB9-D04E-40A5-A26A-E55352FF96AD}" name="Column11793"/>
    <tableColumn id="11794" xr3:uid="{80179834-CC13-4534-A0C1-7031004CFF55}" name="Column11794"/>
    <tableColumn id="11795" xr3:uid="{2812E862-7F40-4F0C-AE8F-CB4030D0E645}" name="Column11795"/>
    <tableColumn id="11796" xr3:uid="{783B2384-1D04-4EC7-AAE1-6CC31E24BA38}" name="Column11796"/>
    <tableColumn id="11797" xr3:uid="{766A050C-79CC-4525-8F53-A2AFB2358F1E}" name="Column11797"/>
    <tableColumn id="11798" xr3:uid="{D2E88EBA-E36A-4088-BBB3-C971393F6328}" name="Column11798"/>
    <tableColumn id="11799" xr3:uid="{63BE72A8-A7A3-4B91-9164-13E45507D165}" name="Column11799"/>
    <tableColumn id="11800" xr3:uid="{0DF33898-1362-4C10-B7EF-EA9E996E86D1}" name="Column11800"/>
    <tableColumn id="11801" xr3:uid="{0BEF3B64-4DC3-4D6E-A3BE-E9F261E0A825}" name="Column11801"/>
    <tableColumn id="11802" xr3:uid="{FDED5DD5-BADE-4235-B3D9-4BEB3A91E02E}" name="Column11802"/>
    <tableColumn id="11803" xr3:uid="{2A41F25E-7FE1-443A-90FE-6F3FA2F6576E}" name="Column11803"/>
    <tableColumn id="11804" xr3:uid="{0BF27382-8F62-4AC8-96EE-924B26EF956E}" name="Column11804"/>
    <tableColumn id="11805" xr3:uid="{B59145FC-1ED3-4CEF-A5A6-4D91A572ECCF}" name="Column11805"/>
    <tableColumn id="11806" xr3:uid="{06F9FA4B-CFFA-47D1-B54A-32963F1BFED1}" name="Column11806"/>
    <tableColumn id="11807" xr3:uid="{9DF85530-ECE1-4D9C-9613-820DD1D7DC8D}" name="Column11807"/>
    <tableColumn id="11808" xr3:uid="{1F868343-96C2-4C4D-A4DD-CB4B9F770BE6}" name="Column11808"/>
    <tableColumn id="11809" xr3:uid="{8D67A383-90D2-43BF-BADA-82FA6220A60D}" name="Column11809"/>
    <tableColumn id="11810" xr3:uid="{04959109-7767-4DB3-B563-FE6B2501EFAD}" name="Column11810"/>
    <tableColumn id="11811" xr3:uid="{BF2DBCC9-5CF7-400E-9BEE-DFF82BD9F8C5}" name="Column11811"/>
    <tableColumn id="11812" xr3:uid="{A99898FB-7127-415F-BB29-FC02CB21EC8A}" name="Column11812"/>
    <tableColumn id="11813" xr3:uid="{96573E99-E44C-4F2A-8764-B91A8FCA4613}" name="Column11813"/>
    <tableColumn id="11814" xr3:uid="{64667A59-C3B0-484C-9FF6-C680590D674A}" name="Column11814"/>
    <tableColumn id="11815" xr3:uid="{EB1BAA7F-F600-494A-941F-7A4D0376BBE3}" name="Column11815"/>
    <tableColumn id="11816" xr3:uid="{720A34A3-9EC5-4859-A163-4BEE29971FC8}" name="Column11816"/>
    <tableColumn id="11817" xr3:uid="{C189AF4E-D9EF-434C-9D86-E6C490998913}" name="Column11817"/>
    <tableColumn id="11818" xr3:uid="{AB937CCF-7820-4945-9DAE-61ADF3CAF312}" name="Column11818"/>
    <tableColumn id="11819" xr3:uid="{5D8A435D-2A26-41FB-942C-13E8EADA622E}" name="Column11819"/>
    <tableColumn id="11820" xr3:uid="{8A6FBFBD-232A-430F-B998-3B0A944481DA}" name="Column11820"/>
    <tableColumn id="11821" xr3:uid="{F3B7C75B-7D29-4FE6-969F-3C51C6512F2C}" name="Column11821"/>
    <tableColumn id="11822" xr3:uid="{C1D34C0A-68EF-41D9-A935-C2110E15BDA7}" name="Column11822"/>
    <tableColumn id="11823" xr3:uid="{4C5B7866-D3D1-495D-B06F-23EA7F7F4E41}" name="Column11823"/>
    <tableColumn id="11824" xr3:uid="{9E07AE85-D28D-4F66-9722-677A7EB1D9B3}" name="Column11824"/>
    <tableColumn id="11825" xr3:uid="{188CBABA-0142-46D9-BB3B-D72ACC571B26}" name="Column11825"/>
    <tableColumn id="11826" xr3:uid="{E73F856C-A754-412F-ACA1-000FC1C1E921}" name="Column11826"/>
    <tableColumn id="11827" xr3:uid="{5CE39CF6-F9AE-41BD-B623-79107B76771A}" name="Column11827"/>
    <tableColumn id="11828" xr3:uid="{B5915A71-40E4-45CE-B1C7-426685E55428}" name="Column11828"/>
    <tableColumn id="11829" xr3:uid="{8AD408BE-1C4C-4EAA-A961-748F5C597CB0}" name="Column11829"/>
    <tableColumn id="11830" xr3:uid="{B3D9E12B-6B6B-4264-B6E6-5B49AEAE4083}" name="Column11830"/>
    <tableColumn id="11831" xr3:uid="{7F1A2D9D-F8D4-4E35-8AB5-B5C329BE469C}" name="Column11831"/>
    <tableColumn id="11832" xr3:uid="{5FF70FB8-6F94-485F-B386-8F0D65ABF617}" name="Column11832"/>
    <tableColumn id="11833" xr3:uid="{D4F40033-D117-42AF-AF6F-D5ACEA0FE52C}" name="Column11833"/>
    <tableColumn id="11834" xr3:uid="{53C05859-9256-4798-AC24-D6A92E7A5EF6}" name="Column11834"/>
    <tableColumn id="11835" xr3:uid="{CE93845A-66A3-4E82-A488-EC011713B4B5}" name="Column11835"/>
    <tableColumn id="11836" xr3:uid="{07966591-A9B5-467D-93D0-7AF7BCDA5EB5}" name="Column11836"/>
    <tableColumn id="11837" xr3:uid="{DB875A6D-AB98-4F86-A9A3-F2B4A74060A5}" name="Column11837"/>
    <tableColumn id="11838" xr3:uid="{C804FD6E-03A0-474D-8FBD-B4159111D465}" name="Column11838"/>
    <tableColumn id="11839" xr3:uid="{9F7DE76E-FCBD-4347-B3CF-7706FF300E02}" name="Column11839"/>
    <tableColumn id="11840" xr3:uid="{0ADE8E43-B0FD-4A1B-A2AB-88EECE011ACF}" name="Column11840"/>
    <tableColumn id="11841" xr3:uid="{485DDC1F-9A56-43AF-B1FF-534D08399E48}" name="Column11841"/>
    <tableColumn id="11842" xr3:uid="{EFE7CC31-6ED8-4743-A786-E0C43D719D92}" name="Column11842"/>
    <tableColumn id="11843" xr3:uid="{37CDF74A-E55A-41FD-9086-56F1D87A26BE}" name="Column11843"/>
    <tableColumn id="11844" xr3:uid="{C0D3BF74-0BC6-48C6-BDD1-D9069EAA01A5}" name="Column11844"/>
    <tableColumn id="11845" xr3:uid="{95570FAE-95B4-44CB-BB79-47614A1608E0}" name="Column11845"/>
    <tableColumn id="11846" xr3:uid="{FC3503F1-2482-4B57-830C-A95C87D103F7}" name="Column11846"/>
    <tableColumn id="11847" xr3:uid="{4C6CBFD9-7BE9-406E-89CE-0E9517C192B3}" name="Column11847"/>
    <tableColumn id="11848" xr3:uid="{C84543B1-4319-4D69-887E-593CB2C92765}" name="Column11848"/>
    <tableColumn id="11849" xr3:uid="{3B330D80-F2EF-4A8A-87A3-97EF4DFA11D7}" name="Column11849"/>
    <tableColumn id="11850" xr3:uid="{1B020792-B059-4156-9532-5C464BF9E649}" name="Column11850"/>
    <tableColumn id="11851" xr3:uid="{81C0FDE0-0001-4B85-A3DB-E0F6ECC1D317}" name="Column11851"/>
    <tableColumn id="11852" xr3:uid="{6E448AC0-8AFD-4BA3-B2DB-BC576E9130E0}" name="Column11852"/>
    <tableColumn id="11853" xr3:uid="{E12CD84C-49E5-4C25-8F5E-95134CC3BD93}" name="Column11853"/>
    <tableColumn id="11854" xr3:uid="{E15083FF-D949-4C5B-894B-B1F4298A47EE}" name="Column11854"/>
    <tableColumn id="11855" xr3:uid="{A5B7B7DC-C201-4C88-B84C-CBEA81F317AF}" name="Column11855"/>
    <tableColumn id="11856" xr3:uid="{CF6BD6A3-BD9A-4638-A94D-506B394D3473}" name="Column11856"/>
    <tableColumn id="11857" xr3:uid="{BD21CEF6-E6EE-411E-93DF-4F3B489E96FB}" name="Column11857"/>
    <tableColumn id="11858" xr3:uid="{8742C647-50A3-4C2E-A0EA-8BB88345FDFA}" name="Column11858"/>
    <tableColumn id="11859" xr3:uid="{D811BC71-1AF1-453B-9B13-CD21C4A6FAB6}" name="Column11859"/>
    <tableColumn id="11860" xr3:uid="{E0ABC8EE-42DF-4E62-9C7E-1EAE3BE95B15}" name="Column11860"/>
    <tableColumn id="11861" xr3:uid="{59AB24D3-F8AD-4851-963E-C14695BD9EB3}" name="Column11861"/>
    <tableColumn id="11862" xr3:uid="{BCE64069-207B-437A-A9A7-54CC5E87FA67}" name="Column11862"/>
    <tableColumn id="11863" xr3:uid="{4386F8E6-37B4-489A-BC7B-C62FFF0EE894}" name="Column11863"/>
    <tableColumn id="11864" xr3:uid="{DFD2201E-1D9F-4AE4-8195-76B1B0F463E1}" name="Column11864"/>
    <tableColumn id="11865" xr3:uid="{A97EF24B-C5AF-4F47-89DE-2E9F030A4945}" name="Column11865"/>
    <tableColumn id="11866" xr3:uid="{57DEE620-13A4-45B0-8604-0D56D96E1705}" name="Column11866"/>
    <tableColumn id="11867" xr3:uid="{E83AA067-0FC6-4259-B508-07E6D46DBA82}" name="Column11867"/>
    <tableColumn id="11868" xr3:uid="{4AD8C117-3218-4209-8CC2-7E8B12023BCC}" name="Column11868"/>
    <tableColumn id="11869" xr3:uid="{643D46F2-9589-445D-BB81-B93ADBB1D0EF}" name="Column11869"/>
    <tableColumn id="11870" xr3:uid="{795D092C-0262-4B90-98BD-482E5ABAF946}" name="Column11870"/>
    <tableColumn id="11871" xr3:uid="{AD54829F-619C-4A36-A3E4-2B26F8E82F02}" name="Column11871"/>
    <tableColumn id="11872" xr3:uid="{EB20865E-9EA1-4529-841F-22C636C02244}" name="Column11872"/>
    <tableColumn id="11873" xr3:uid="{53A9B4FA-270B-4CD9-B663-518626C1D3F0}" name="Column11873"/>
    <tableColumn id="11874" xr3:uid="{392E6790-F7E4-42C3-88C0-9EC33752DBDD}" name="Column11874"/>
    <tableColumn id="11875" xr3:uid="{75C327A3-B4AB-4114-9824-08C007F3FC5F}" name="Column11875"/>
    <tableColumn id="11876" xr3:uid="{7F5C1283-1791-49F7-B72B-28384FA0BA52}" name="Column11876"/>
    <tableColumn id="11877" xr3:uid="{D6F89275-C229-46B0-AF61-6F56FEEB6E36}" name="Column11877"/>
    <tableColumn id="11878" xr3:uid="{C28E320E-EB09-462C-9908-8DAEF7219C6C}" name="Column11878"/>
    <tableColumn id="11879" xr3:uid="{178D55AD-F79A-427B-BED7-03EC77823293}" name="Column11879"/>
    <tableColumn id="11880" xr3:uid="{E907DF1A-683C-48CD-990A-F492A9360B95}" name="Column11880"/>
    <tableColumn id="11881" xr3:uid="{B2230E45-9F1B-451B-BD6F-6DCED5AA29E7}" name="Column11881"/>
    <tableColumn id="11882" xr3:uid="{51879599-FFE5-4192-A393-423793C6A76C}" name="Column11882"/>
    <tableColumn id="11883" xr3:uid="{4605E94C-6097-48D6-B2A6-12ABB1A97316}" name="Column11883"/>
    <tableColumn id="11884" xr3:uid="{21C2DBDE-EFF9-4B44-B801-C9A6433342F2}" name="Column11884"/>
    <tableColumn id="11885" xr3:uid="{8AC66555-168F-4B7C-B4A4-4C676B2BF460}" name="Column11885"/>
    <tableColumn id="11886" xr3:uid="{EAC8AEBE-6EEE-4C28-B739-58048FD39C14}" name="Column11886"/>
    <tableColumn id="11887" xr3:uid="{615A7B86-766E-4E8F-8546-68C59B5D34D3}" name="Column11887"/>
    <tableColumn id="11888" xr3:uid="{F49BDAB4-7B5D-4181-A179-0B9734E04F4C}" name="Column11888"/>
    <tableColumn id="11889" xr3:uid="{E92FAB64-3EF7-4DB2-90CD-91A21B3189B4}" name="Column11889"/>
    <tableColumn id="11890" xr3:uid="{B682978C-A11A-4EFB-9150-6871ED2EE8D1}" name="Column11890"/>
    <tableColumn id="11891" xr3:uid="{BD073D1C-E068-4D2B-9FFA-C56A0D10DD72}" name="Column11891"/>
    <tableColumn id="11892" xr3:uid="{F7CF5DBF-6313-4B74-ADE5-D520906F0EA8}" name="Column11892"/>
    <tableColumn id="11893" xr3:uid="{6F465BE0-D275-402E-880E-792D53DFDA70}" name="Column11893"/>
    <tableColumn id="11894" xr3:uid="{B007329B-5B32-4A19-A815-D7FEB6F6445C}" name="Column11894"/>
    <tableColumn id="11895" xr3:uid="{C1D8B220-CBB1-4F16-B3B7-09880B300CF9}" name="Column11895"/>
    <tableColumn id="11896" xr3:uid="{9D82A1A0-2B39-4056-9E9F-DAE9083EF469}" name="Column11896"/>
    <tableColumn id="11897" xr3:uid="{9B6E16CD-A4DB-4434-AB5E-A49B57318440}" name="Column11897"/>
    <tableColumn id="11898" xr3:uid="{CEF3800F-EDC4-4961-8E82-FEB0525FDCA2}" name="Column11898"/>
    <tableColumn id="11899" xr3:uid="{70398CFC-6D06-4C3E-A59E-18E6ADAB80F9}" name="Column11899"/>
    <tableColumn id="11900" xr3:uid="{C40C1D74-E957-416C-89D3-BD02427D38F1}" name="Column11900"/>
    <tableColumn id="11901" xr3:uid="{141A9447-2D3C-472A-9914-5B0C01521920}" name="Column11901"/>
    <tableColumn id="11902" xr3:uid="{55A33ACD-6ABE-4367-9F1A-4E30E313661D}" name="Column11902"/>
    <tableColumn id="11903" xr3:uid="{66834998-7E6B-451B-99DD-7D4E3ADF064F}" name="Column11903"/>
    <tableColumn id="11904" xr3:uid="{4BE8536D-73C1-4319-9490-F0B47DA2C667}" name="Column11904"/>
    <tableColumn id="11905" xr3:uid="{935A51D3-6C41-45D5-9D0B-AE7816A0BAC2}" name="Column11905"/>
    <tableColumn id="11906" xr3:uid="{9181DA58-A2BD-48E5-8075-C352CCCF199D}" name="Column11906"/>
    <tableColumn id="11907" xr3:uid="{33A68490-B9A8-4B3B-B084-52652646C988}" name="Column11907"/>
    <tableColumn id="11908" xr3:uid="{55F87AA0-5D9F-436D-B78A-3365DB8C2908}" name="Column11908"/>
    <tableColumn id="11909" xr3:uid="{2562BAF2-1C3E-4225-87C6-67414AB24E1D}" name="Column11909"/>
    <tableColumn id="11910" xr3:uid="{82E48401-E5DE-4EFF-9E7B-A1B0BAAD428F}" name="Column11910"/>
    <tableColumn id="11911" xr3:uid="{B200D6F6-A0BF-4456-AE36-AFA2BE07030A}" name="Column11911"/>
    <tableColumn id="11912" xr3:uid="{716391AD-43CD-4061-95C5-8AC1FA366333}" name="Column11912"/>
    <tableColumn id="11913" xr3:uid="{4A9A5346-4B0D-4009-9854-6B79B95C589E}" name="Column11913"/>
    <tableColumn id="11914" xr3:uid="{ED34AC31-B15E-4056-95B0-646688E9BA3A}" name="Column11914"/>
    <tableColumn id="11915" xr3:uid="{11AF8743-51A7-4567-89D5-FAB7AB4DE3E7}" name="Column11915"/>
    <tableColumn id="11916" xr3:uid="{1CC8E31B-084B-48EC-9D3A-832955419B41}" name="Column11916"/>
    <tableColumn id="11917" xr3:uid="{37D98670-0F18-41B1-9B9D-F72B013A05A0}" name="Column11917"/>
    <tableColumn id="11918" xr3:uid="{AB7CFEA9-B8C6-4839-8D8A-3E55984BCB70}" name="Column11918"/>
    <tableColumn id="11919" xr3:uid="{C542D0D2-9598-4727-91A8-F00CBD9C0301}" name="Column11919"/>
    <tableColumn id="11920" xr3:uid="{D382F215-2AB9-460C-B765-85C0D66FC774}" name="Column11920"/>
    <tableColumn id="11921" xr3:uid="{09EDC84F-6E11-4231-9DAE-68AC85599BAC}" name="Column11921"/>
    <tableColumn id="11922" xr3:uid="{DA311FE3-F44E-44B4-AABE-F01F8AD7DE71}" name="Column11922"/>
    <tableColumn id="11923" xr3:uid="{4D1EFA2A-8B7E-4E81-AEED-2060F47C6C5C}" name="Column11923"/>
    <tableColumn id="11924" xr3:uid="{19A6ECDA-D32E-4AA4-AF2D-02F9693721BE}" name="Column11924"/>
    <tableColumn id="11925" xr3:uid="{AA81EDAC-9D4C-4E6D-9053-5085FBED0180}" name="Column11925"/>
    <tableColumn id="11926" xr3:uid="{99494F62-1F2A-46CB-9017-9426C31AD89F}" name="Column11926"/>
    <tableColumn id="11927" xr3:uid="{BB82A5E0-111E-490E-AA17-F145E2821F41}" name="Column11927"/>
    <tableColumn id="11928" xr3:uid="{459B7FCA-22EE-4C31-A49F-998C0D6EA176}" name="Column11928"/>
    <tableColumn id="11929" xr3:uid="{D10E44F8-4F16-49F0-B826-6C8742F40A7E}" name="Column11929"/>
    <tableColumn id="11930" xr3:uid="{CC22ADA4-BED0-4DA5-BEE0-3C3CC92EE982}" name="Column11930"/>
    <tableColumn id="11931" xr3:uid="{694A150E-5119-45D3-BBB9-AF05CFBF1ED9}" name="Column11931"/>
    <tableColumn id="11932" xr3:uid="{2D1035FD-3FE3-4428-8BD9-CFAF2A0EEBC3}" name="Column11932"/>
    <tableColumn id="11933" xr3:uid="{849951C4-16DA-4CF4-AFB1-C0A780B7F3B7}" name="Column11933"/>
    <tableColumn id="11934" xr3:uid="{187A20BB-6F70-4AB7-9E2E-C74B0B2BCB88}" name="Column11934"/>
    <tableColumn id="11935" xr3:uid="{192478B7-E201-4E3F-AEFF-C8842E19648D}" name="Column11935"/>
    <tableColumn id="11936" xr3:uid="{7D801B33-6419-4ECC-AF03-02D03D68BE6F}" name="Column11936"/>
    <tableColumn id="11937" xr3:uid="{9144012C-9BC8-4333-9D6D-4BD77D83BDC4}" name="Column11937"/>
    <tableColumn id="11938" xr3:uid="{2AE64BC4-EB46-4EF7-AE6C-843EF52730AB}" name="Column11938"/>
    <tableColumn id="11939" xr3:uid="{667511D7-3BF6-4F1A-B995-068E80841AD3}" name="Column11939"/>
    <tableColumn id="11940" xr3:uid="{7FE186F1-D4C7-4E99-9638-950F23CBE8D6}" name="Column11940"/>
    <tableColumn id="11941" xr3:uid="{78D09967-EF6B-460A-AA7B-40D9EA853B2C}" name="Column11941"/>
    <tableColumn id="11942" xr3:uid="{501B35CA-CC16-43B0-80D7-BF48B9BDC82E}" name="Column11942"/>
    <tableColumn id="11943" xr3:uid="{7870EAA9-50F9-4634-B092-91CE64754654}" name="Column11943"/>
    <tableColumn id="11944" xr3:uid="{04FE0B6A-30AF-4E56-851C-BFB58160B336}" name="Column11944"/>
    <tableColumn id="11945" xr3:uid="{DC0CDA13-27BB-43D7-9A60-4D93C91775A2}" name="Column11945"/>
    <tableColumn id="11946" xr3:uid="{C81F156E-B0D6-4422-9795-46D2014E36FE}" name="Column11946"/>
    <tableColumn id="11947" xr3:uid="{C19AE875-6111-45DD-8D6F-F5834C7F791A}" name="Column11947"/>
    <tableColumn id="11948" xr3:uid="{C4AFBFBF-6FD9-40B2-B484-0A89022C823B}" name="Column11948"/>
    <tableColumn id="11949" xr3:uid="{98245EFC-FBE0-48FF-BAC2-93BAFC2D2A9E}" name="Column11949"/>
    <tableColumn id="11950" xr3:uid="{4F14603D-F7ED-4356-9437-C158F0C710BC}" name="Column11950"/>
    <tableColumn id="11951" xr3:uid="{D07E6367-8762-4A3C-94E2-01D435693460}" name="Column11951"/>
    <tableColumn id="11952" xr3:uid="{5C314B7D-A9AA-44BA-85C8-724550974A50}" name="Column11952"/>
    <tableColumn id="11953" xr3:uid="{E58454B5-6C94-4C78-AE81-A1467A57FDCB}" name="Column11953"/>
    <tableColumn id="11954" xr3:uid="{73C9C268-1FD6-403F-BD30-BA343DD885F2}" name="Column11954"/>
    <tableColumn id="11955" xr3:uid="{41C44B51-DED6-4492-9709-3C3E041AD651}" name="Column11955"/>
    <tableColumn id="11956" xr3:uid="{C855DABB-D991-41BD-8C77-B923C9C6A4A6}" name="Column11956"/>
    <tableColumn id="11957" xr3:uid="{528BDE82-C332-4059-B972-216C4A28761B}" name="Column11957"/>
    <tableColumn id="11958" xr3:uid="{2B2D0206-A33B-4E92-9199-37FD8BD3FA5E}" name="Column11958"/>
    <tableColumn id="11959" xr3:uid="{777FC222-469C-4F04-A5BD-7CA540493EB1}" name="Column11959"/>
    <tableColumn id="11960" xr3:uid="{B542C8F4-D88F-4C6A-A0A3-A444F41EA9D0}" name="Column11960"/>
    <tableColumn id="11961" xr3:uid="{EACA7D55-63E7-423E-93CF-FBC0A6A99C91}" name="Column11961"/>
    <tableColumn id="11962" xr3:uid="{8863BC55-30DA-4F94-8EAD-F8080CDD4007}" name="Column11962"/>
    <tableColumn id="11963" xr3:uid="{9E6ABD23-2B7C-47AF-B54D-156C2A186108}" name="Column11963"/>
    <tableColumn id="11964" xr3:uid="{C906968B-B878-4812-B23B-032C9F8A9398}" name="Column11964"/>
    <tableColumn id="11965" xr3:uid="{34628266-C202-44A3-B363-F3A2BD2D61C4}" name="Column11965"/>
    <tableColumn id="11966" xr3:uid="{248C9AC8-0764-42A6-8430-4A8C1E174EC9}" name="Column11966"/>
    <tableColumn id="11967" xr3:uid="{93B2E463-A29C-48E4-980D-50759466EB41}" name="Column11967"/>
    <tableColumn id="11968" xr3:uid="{1C2FF493-EF88-48F2-A9A2-3136D3D5E72D}" name="Column11968"/>
    <tableColumn id="11969" xr3:uid="{1A009721-27FC-4C06-9410-BBE22B2A1F7B}" name="Column11969"/>
    <tableColumn id="11970" xr3:uid="{DFEEA192-168E-41EC-8F8C-6A75E14C758D}" name="Column11970"/>
    <tableColumn id="11971" xr3:uid="{EDE515B6-2F8E-43C4-A981-7A52DD1C0880}" name="Column11971"/>
    <tableColumn id="11972" xr3:uid="{FC8E6A04-9C13-411A-A4B6-22D03AAF2C5D}" name="Column11972"/>
    <tableColumn id="11973" xr3:uid="{AB9A0D99-E291-4AE4-BC23-F18533659E8F}" name="Column11973"/>
    <tableColumn id="11974" xr3:uid="{0DAB33B5-C30E-4365-A05A-D529272E5CF6}" name="Column11974"/>
    <tableColumn id="11975" xr3:uid="{966A9F88-CE02-42BF-862E-E063B26BA340}" name="Column11975"/>
    <tableColumn id="11976" xr3:uid="{F3B5E865-2F96-4019-8594-C97F3E2A0765}" name="Column11976"/>
    <tableColumn id="11977" xr3:uid="{EACE019A-D55F-4B3C-BC13-AB3EF2F4177C}" name="Column11977"/>
    <tableColumn id="11978" xr3:uid="{B093576B-03B4-4728-A207-A28ABD494BE0}" name="Column11978"/>
    <tableColumn id="11979" xr3:uid="{6B3410B5-5F51-4625-9238-00FDFAA9C19F}" name="Column11979"/>
    <tableColumn id="11980" xr3:uid="{9B5F9340-977D-4B61-AB3B-3093DB8FDB18}" name="Column11980"/>
    <tableColumn id="11981" xr3:uid="{026E47EF-B13A-49DB-8869-34F6535A7CA4}" name="Column11981"/>
    <tableColumn id="11982" xr3:uid="{DA675A4A-B393-44C8-B33C-B6848BB43B14}" name="Column11982"/>
    <tableColumn id="11983" xr3:uid="{9C7E47E7-619A-40F4-BABF-724C052DD797}" name="Column11983"/>
    <tableColumn id="11984" xr3:uid="{D105EC71-DF32-404D-B103-60CA064D0308}" name="Column11984"/>
    <tableColumn id="11985" xr3:uid="{05787BCF-18CE-4B97-9BD4-9E97E2D95FFF}" name="Column11985"/>
    <tableColumn id="11986" xr3:uid="{25D29DDD-15B5-4FD9-8272-46ED79D894C2}" name="Column11986"/>
    <tableColumn id="11987" xr3:uid="{66A26139-3016-4D07-A4A5-65AE76B76C80}" name="Column11987"/>
    <tableColumn id="11988" xr3:uid="{07BEA21C-1D0E-482D-8EC4-E086C5FE5876}" name="Column11988"/>
    <tableColumn id="11989" xr3:uid="{1CBF91F8-15A0-46B9-859C-5ACCAD636F73}" name="Column11989"/>
    <tableColumn id="11990" xr3:uid="{D1DF8019-0250-4FE1-8CF5-1AF56A8F99C5}" name="Column11990"/>
    <tableColumn id="11991" xr3:uid="{35DA8F1F-0FC7-4E95-8E35-3736DDDF54AA}" name="Column11991"/>
    <tableColumn id="11992" xr3:uid="{A2DB1E78-3939-48DE-8E42-75162D321886}" name="Column11992"/>
    <tableColumn id="11993" xr3:uid="{87AC8DB6-7FA9-4FAC-9BD4-D49820EE5412}" name="Column11993"/>
    <tableColumn id="11994" xr3:uid="{77C2C147-DBE0-4E18-B667-A7C87B60288F}" name="Column11994"/>
    <tableColumn id="11995" xr3:uid="{01E3F54B-D57C-4134-A5C2-9A4E896C1EF0}" name="Column11995"/>
    <tableColumn id="11996" xr3:uid="{AAE1F570-2CCE-4B74-B279-834D22FA3FF3}" name="Column11996"/>
    <tableColumn id="11997" xr3:uid="{83FDF5EB-2908-4DF3-99C1-6C3236580AB0}" name="Column11997"/>
    <tableColumn id="11998" xr3:uid="{B875CD13-FAD2-4EC5-B986-9BE8D1454ABF}" name="Column11998"/>
    <tableColumn id="11999" xr3:uid="{67E75436-FEEF-4604-9602-ED593B148B67}" name="Column11999"/>
    <tableColumn id="12000" xr3:uid="{1EF2935F-6772-4A7B-AF6D-9F851BFE965C}" name="Column12000"/>
    <tableColumn id="12001" xr3:uid="{C19F0F34-B7E1-4A81-B012-0118AD6B54B8}" name="Column12001"/>
    <tableColumn id="12002" xr3:uid="{AFBB9C4A-D4B9-45EA-B314-E3F1F3344660}" name="Column12002"/>
    <tableColumn id="12003" xr3:uid="{42E0DEE4-50DD-41F1-95FA-7800CC20F875}" name="Column12003"/>
    <tableColumn id="12004" xr3:uid="{186D92A0-FF45-4FCA-9361-AF80ABECB96D}" name="Column12004"/>
    <tableColumn id="12005" xr3:uid="{09081EBF-06B0-474E-B44A-84CA7A510C79}" name="Column12005"/>
    <tableColumn id="12006" xr3:uid="{DFE883B8-1BE3-44E9-8D7C-A392B0CF0B52}" name="Column12006"/>
    <tableColumn id="12007" xr3:uid="{4D19A493-A774-4CF6-AA4B-921629B2C83A}" name="Column12007"/>
    <tableColumn id="12008" xr3:uid="{2EE1DC44-8C47-4AE7-9A00-6766B8062B50}" name="Column12008"/>
    <tableColumn id="12009" xr3:uid="{6E21C407-92C8-4DF5-ABB3-7002F4CC242E}" name="Column12009"/>
    <tableColumn id="12010" xr3:uid="{02292A8E-9AAD-459E-8CC8-8C8EAB601F7C}" name="Column12010"/>
    <tableColumn id="12011" xr3:uid="{68E8D11E-BEB8-4A50-A76A-2A27AC5C5982}" name="Column12011"/>
    <tableColumn id="12012" xr3:uid="{300B2D72-04EC-40C2-829A-885573F7B441}" name="Column12012"/>
    <tableColumn id="12013" xr3:uid="{94F338AB-65EB-4609-91F9-E33467A5C9C4}" name="Column12013"/>
    <tableColumn id="12014" xr3:uid="{6A3A01E3-5E22-4849-9220-C017BD1FCFC3}" name="Column12014"/>
    <tableColumn id="12015" xr3:uid="{A40B60DD-B413-4C83-B7CE-AC44D67C50A4}" name="Column12015"/>
    <tableColumn id="12016" xr3:uid="{B8A83A4A-1B6A-45BA-A1B2-7840B5592CA2}" name="Column12016"/>
    <tableColumn id="12017" xr3:uid="{6CF6EE4F-C053-4CA5-AAF4-006C05FD0F2E}" name="Column12017"/>
    <tableColumn id="12018" xr3:uid="{1F84A5B5-14A9-4858-AF93-499B7E690A80}" name="Column12018"/>
    <tableColumn id="12019" xr3:uid="{5949F51E-7241-4620-953D-E7EEC11EA1CD}" name="Column12019"/>
    <tableColumn id="12020" xr3:uid="{940AF657-8889-45C0-9137-8AF8552D9BED}" name="Column12020"/>
    <tableColumn id="12021" xr3:uid="{9B4A1D04-E96E-4538-8685-EA5B16652C1F}" name="Column12021"/>
    <tableColumn id="12022" xr3:uid="{E7036CB5-08E2-4CBB-9231-271DE86602CE}" name="Column12022"/>
    <tableColumn id="12023" xr3:uid="{9962B734-76DA-4C72-912A-B78E3189BF92}" name="Column12023"/>
    <tableColumn id="12024" xr3:uid="{AD57D830-3F74-487B-901D-EC22D8604575}" name="Column12024"/>
    <tableColumn id="12025" xr3:uid="{A56E64A0-ED7B-4715-BE41-862B9B0801FC}" name="Column12025"/>
    <tableColumn id="12026" xr3:uid="{3A14EA66-C0D0-4B12-AC00-058547CC0ED6}" name="Column12026"/>
    <tableColumn id="12027" xr3:uid="{05B57C3A-B0DC-4553-AC67-79135EE9CA58}" name="Column12027"/>
    <tableColumn id="12028" xr3:uid="{65D15264-84CF-4DD5-9C02-D57EE38DA138}" name="Column12028"/>
    <tableColumn id="12029" xr3:uid="{F32AE240-5C93-405E-9999-20F6EF1F0575}" name="Column12029"/>
    <tableColumn id="12030" xr3:uid="{52FF7FFA-86B5-4891-8632-4A9AE3278A90}" name="Column12030"/>
    <tableColumn id="12031" xr3:uid="{9FE75383-CA9F-4FEA-B13D-F5FEF9E5B7E0}" name="Column12031"/>
    <tableColumn id="12032" xr3:uid="{84D6C3DA-2106-4A66-B059-961375C63AD4}" name="Column12032"/>
    <tableColumn id="12033" xr3:uid="{E45B64E8-EFBD-4826-B244-F9818E9ED343}" name="Column12033"/>
    <tableColumn id="12034" xr3:uid="{E6223622-9BF9-43C1-8131-14CB126FA20C}" name="Column12034"/>
    <tableColumn id="12035" xr3:uid="{5FF5B816-1F5B-476C-AC8C-E2571BC40B73}" name="Column12035"/>
    <tableColumn id="12036" xr3:uid="{885C542C-C3DB-4AEF-8A76-4619FBE99A7C}" name="Column12036"/>
    <tableColumn id="12037" xr3:uid="{FDA52DBF-65D9-46A4-8963-E158DADCD3B3}" name="Column12037"/>
    <tableColumn id="12038" xr3:uid="{302EFFF3-C39C-469E-8EB0-4B89C518AE63}" name="Column12038"/>
    <tableColumn id="12039" xr3:uid="{E8A5B72F-D2BC-4F58-9C73-B57B1BB2CF7B}" name="Column12039"/>
    <tableColumn id="12040" xr3:uid="{13FF698E-10B9-49DF-914E-AD7509C5A87A}" name="Column12040"/>
    <tableColumn id="12041" xr3:uid="{3EF538C0-F6EC-475A-81A6-1307D15DB79F}" name="Column12041"/>
    <tableColumn id="12042" xr3:uid="{142B1DD2-7897-469D-BF81-72988FD1DBA6}" name="Column12042"/>
    <tableColumn id="12043" xr3:uid="{9572FA20-172F-4102-87F6-C98A4C07D7D4}" name="Column12043"/>
    <tableColumn id="12044" xr3:uid="{1EAA4F26-28EA-4680-9577-D9EE4626B506}" name="Column12044"/>
    <tableColumn id="12045" xr3:uid="{6FBF8122-0788-4792-99C4-F1A365F4022A}" name="Column12045"/>
    <tableColumn id="12046" xr3:uid="{E4CDD32F-53FA-49A2-A37E-D870E9E91379}" name="Column12046"/>
    <tableColumn id="12047" xr3:uid="{9CDB51A5-3F46-4E47-B426-419E7785B3F5}" name="Column12047"/>
    <tableColumn id="12048" xr3:uid="{F4B033CF-7A20-43B4-8A4B-BD50496B092F}" name="Column12048"/>
    <tableColumn id="12049" xr3:uid="{A23DAFB8-1392-4830-A1A0-AAAC8EF5BEDA}" name="Column12049"/>
    <tableColumn id="12050" xr3:uid="{9D6825D2-6A1E-4D1F-808A-60046F425D50}" name="Column12050"/>
    <tableColumn id="12051" xr3:uid="{61E4554B-648E-4A69-BA69-BEACE0D3E45E}" name="Column12051"/>
    <tableColumn id="12052" xr3:uid="{F0D39A17-8DE7-4596-8E5E-AEB10467535A}" name="Column12052"/>
    <tableColumn id="12053" xr3:uid="{2C621C6A-54BF-430D-A1AA-9B1388F72FBE}" name="Column12053"/>
    <tableColumn id="12054" xr3:uid="{7C75DDCB-A610-4A0C-9495-688CDB1B8AAD}" name="Column12054"/>
    <tableColumn id="12055" xr3:uid="{4C92CEEB-CF34-437A-8239-EE2F6C7647EB}" name="Column12055"/>
    <tableColumn id="12056" xr3:uid="{6A066E0E-ED83-4A94-8DAE-205AC385D780}" name="Column12056"/>
    <tableColumn id="12057" xr3:uid="{C2BD515A-BBA7-484B-96D4-ABD8F481394E}" name="Column12057"/>
    <tableColumn id="12058" xr3:uid="{1EF6FFD3-773F-4A86-B9F9-0731D3693543}" name="Column12058"/>
    <tableColumn id="12059" xr3:uid="{FAD64B9B-837C-4815-B715-05BEDFF960BD}" name="Column12059"/>
    <tableColumn id="12060" xr3:uid="{393F02C8-FA69-4729-9043-F782ABD13A98}" name="Column12060"/>
    <tableColumn id="12061" xr3:uid="{0A485FF7-BEDD-46EB-AD15-B4E640DDD29F}" name="Column12061"/>
    <tableColumn id="12062" xr3:uid="{A086C54D-7115-4B2F-83D9-6E78608CA5C7}" name="Column12062"/>
    <tableColumn id="12063" xr3:uid="{6C506011-C329-44A0-8EB1-507CD8AF9B44}" name="Column12063"/>
    <tableColumn id="12064" xr3:uid="{0B11D38A-CCAB-4CF1-9ADD-6431462894DC}" name="Column12064"/>
    <tableColumn id="12065" xr3:uid="{D36B4B7F-D80F-4242-BBEA-304AE3CFACE3}" name="Column12065"/>
    <tableColumn id="12066" xr3:uid="{FF291CA7-68A3-4B4F-B943-ECD0D2182B02}" name="Column12066"/>
    <tableColumn id="12067" xr3:uid="{79D518CB-2484-4008-8FE0-C234737FEE95}" name="Column12067"/>
    <tableColumn id="12068" xr3:uid="{2CEA8071-B0B0-4468-9821-747D31C8F3F8}" name="Column12068"/>
    <tableColumn id="12069" xr3:uid="{B3F01716-79A2-4E93-B53E-25B56215707D}" name="Column12069"/>
    <tableColumn id="12070" xr3:uid="{9C951588-59AB-4A09-85D6-6526933E2F2B}" name="Column12070"/>
    <tableColumn id="12071" xr3:uid="{90CE536B-CB11-4E70-B996-7DDD278C32F6}" name="Column12071"/>
    <tableColumn id="12072" xr3:uid="{C71ECE26-ADC8-4FE0-B414-06408E827A90}" name="Column12072"/>
    <tableColumn id="12073" xr3:uid="{73A9D104-3941-4275-BE6E-8F84F2563BD9}" name="Column12073"/>
    <tableColumn id="12074" xr3:uid="{1F98CA8C-BDA2-4FD0-AAD4-1236440CB661}" name="Column12074"/>
    <tableColumn id="12075" xr3:uid="{18F07EEA-BE65-452A-9ED8-692D40AEAAA8}" name="Column12075"/>
    <tableColumn id="12076" xr3:uid="{0B696258-0E8D-45F3-9FE3-8BAD6B3F12B7}" name="Column12076"/>
    <tableColumn id="12077" xr3:uid="{1635076E-29D1-40BD-8971-ED5616BACB2E}" name="Column12077"/>
    <tableColumn id="12078" xr3:uid="{6B3AC8FE-71AC-4838-9F27-ABE2B0358CC1}" name="Column12078"/>
    <tableColumn id="12079" xr3:uid="{399E8982-CA35-4AE1-8B6E-3BF8862FCAAC}" name="Column12079"/>
    <tableColumn id="12080" xr3:uid="{7F73FF70-C9B9-4F48-AF1B-662B18797858}" name="Column12080"/>
    <tableColumn id="12081" xr3:uid="{6FFAD62E-592D-441B-B319-41DC55634A82}" name="Column12081"/>
    <tableColumn id="12082" xr3:uid="{578D15E0-5512-44FE-BE24-7DFDED422DF0}" name="Column12082"/>
    <tableColumn id="12083" xr3:uid="{5D2E4558-834F-4DA7-9030-9E360C72D0C1}" name="Column12083"/>
    <tableColumn id="12084" xr3:uid="{2D385F49-82CF-4CE3-A348-7CC6D2CA8B1A}" name="Column12084"/>
    <tableColumn id="12085" xr3:uid="{70B00E1A-42CB-4246-A369-0CC9B16CF204}" name="Column12085"/>
    <tableColumn id="12086" xr3:uid="{DDA8BEAB-4B09-4309-8341-7F8830299505}" name="Column12086"/>
    <tableColumn id="12087" xr3:uid="{4557F140-35EB-41A2-B07C-D28EA4E0C569}" name="Column12087"/>
    <tableColumn id="12088" xr3:uid="{34B74479-CAC6-4F83-988C-9526A1288054}" name="Column12088"/>
    <tableColumn id="12089" xr3:uid="{493DE081-A9F9-475E-A4E7-788768A26491}" name="Column12089"/>
    <tableColumn id="12090" xr3:uid="{678B995A-4E5B-499D-AF6D-21BD25DD5820}" name="Column12090"/>
    <tableColumn id="12091" xr3:uid="{16AF9E9D-A464-4E2B-A67C-9BEC1A0A5849}" name="Column12091"/>
    <tableColumn id="12092" xr3:uid="{F2E005A2-7C1C-45CF-8A9C-7C7009341476}" name="Column12092"/>
    <tableColumn id="12093" xr3:uid="{1A8B7645-AAFD-4C2B-BDC7-F2D9F125CFDD}" name="Column12093"/>
    <tableColumn id="12094" xr3:uid="{6FE3AC86-A959-47A9-B8BB-DFA771464EF4}" name="Column12094"/>
    <tableColumn id="12095" xr3:uid="{3D5DF69C-9C6A-4211-B260-5AE7907A7D6E}" name="Column12095"/>
    <tableColumn id="12096" xr3:uid="{DB6C97F6-95E5-4614-8137-F8E5C2155338}" name="Column12096"/>
    <tableColumn id="12097" xr3:uid="{EA09FD12-42E9-45F9-8E8B-03F9D1B55BD4}" name="Column12097"/>
    <tableColumn id="12098" xr3:uid="{5A814335-26C8-4418-B6D1-8CC0BA08DD7D}" name="Column12098"/>
    <tableColumn id="12099" xr3:uid="{340609E5-1FB2-4113-A8DD-B43BB3357784}" name="Column12099"/>
    <tableColumn id="12100" xr3:uid="{8EF4EC01-ADD4-455C-A7D0-890DFC07F6FD}" name="Column12100"/>
    <tableColumn id="12101" xr3:uid="{28CAA949-E792-458C-AAB5-71DB1D674309}" name="Column12101"/>
    <tableColumn id="12102" xr3:uid="{6C719CD8-8BB8-4080-A56F-5F43FF0A3A44}" name="Column12102"/>
    <tableColumn id="12103" xr3:uid="{5292C2DC-0CCA-4124-838E-FE1A1DDA2EEB}" name="Column12103"/>
    <tableColumn id="12104" xr3:uid="{4AE9083B-E46C-489E-8E6E-37EEC91D0F25}" name="Column12104"/>
    <tableColumn id="12105" xr3:uid="{73A9FFA0-6D67-4F1C-903C-69EC114AC908}" name="Column12105"/>
    <tableColumn id="12106" xr3:uid="{FCA1E08C-C359-4C19-9D61-DE5BE2F45210}" name="Column12106"/>
    <tableColumn id="12107" xr3:uid="{D24A0DA1-EE73-4731-99C8-298EFB5ACE34}" name="Column12107"/>
    <tableColumn id="12108" xr3:uid="{67E0648D-A71D-4E25-9574-614D59EB38B1}" name="Column12108"/>
    <tableColumn id="12109" xr3:uid="{5FB89F1D-9D74-4493-8FF9-18E798E04CBB}" name="Column12109"/>
    <tableColumn id="12110" xr3:uid="{D9886D47-F7F2-4337-B512-9E5CCAD87208}" name="Column12110"/>
    <tableColumn id="12111" xr3:uid="{FDE611FA-B222-497E-B6EC-3CE4F3FBD4DD}" name="Column12111"/>
    <tableColumn id="12112" xr3:uid="{EC945F7A-E463-4277-A9CC-8EBEEA794265}" name="Column12112"/>
    <tableColumn id="12113" xr3:uid="{DC804B73-2C68-4E76-BD70-8249A19AF7EA}" name="Column12113"/>
    <tableColumn id="12114" xr3:uid="{FBC831B9-1E9E-4C72-82D9-36784F469B33}" name="Column12114"/>
    <tableColumn id="12115" xr3:uid="{4E7BA2C5-7B3B-4746-879D-D005DF164EFB}" name="Column12115"/>
    <tableColumn id="12116" xr3:uid="{9AD62911-F231-472E-8401-972839CAB6FB}" name="Column12116"/>
    <tableColumn id="12117" xr3:uid="{AED81EE5-BD9A-4D51-AABA-5AE4212D5D64}" name="Column12117"/>
    <tableColumn id="12118" xr3:uid="{8A26749E-C8AF-453D-B80F-167647F35FFE}" name="Column12118"/>
    <tableColumn id="12119" xr3:uid="{0EA5B1E7-C28A-4F82-A692-9CC3EADDCA56}" name="Column12119"/>
    <tableColumn id="12120" xr3:uid="{FF5D1E08-A3FC-4C0C-A17C-46636B5A1044}" name="Column12120"/>
    <tableColumn id="12121" xr3:uid="{26410239-78B3-4AEF-AFC0-A439A7804EE1}" name="Column12121"/>
    <tableColumn id="12122" xr3:uid="{4E378BCD-4ACA-4EFA-9B1C-B38CE88B32E5}" name="Column12122"/>
    <tableColumn id="12123" xr3:uid="{E7BBD95A-93BA-4383-83CD-0D79F5F3D652}" name="Column12123"/>
    <tableColumn id="12124" xr3:uid="{111A45AE-B72D-4CA8-AFF2-A2FE4030A3A1}" name="Column12124"/>
    <tableColumn id="12125" xr3:uid="{C6271EB6-BAB5-4F9F-8E97-18EC7F687B12}" name="Column12125"/>
    <tableColumn id="12126" xr3:uid="{B1EF0453-0123-4585-9561-EFEB323C2586}" name="Column12126"/>
    <tableColumn id="12127" xr3:uid="{E6073DD8-5D4E-4541-86E3-C36432FC300B}" name="Column12127"/>
    <tableColumn id="12128" xr3:uid="{0241B370-A858-44D2-B14A-7D334F599B50}" name="Column12128"/>
    <tableColumn id="12129" xr3:uid="{125F9D29-28C0-4C31-BA50-7CAC8DABD0A3}" name="Column12129"/>
    <tableColumn id="12130" xr3:uid="{1F22C68F-ECAE-4046-944F-65FF945D6B49}" name="Column12130"/>
    <tableColumn id="12131" xr3:uid="{122F160E-6ADE-47FA-A4F7-4A3F203DA309}" name="Column12131"/>
    <tableColumn id="12132" xr3:uid="{9C2BC1BA-DEC8-4F21-850C-7415BCAAFA90}" name="Column12132"/>
    <tableColumn id="12133" xr3:uid="{FA24B6B9-F7B1-42C7-8B57-0F01300BB52B}" name="Column12133"/>
    <tableColumn id="12134" xr3:uid="{60A27654-8EF8-48E8-A633-E3080C3E2977}" name="Column12134"/>
    <tableColumn id="12135" xr3:uid="{3DA1D460-A013-495B-81EF-DFCDC146912B}" name="Column12135"/>
    <tableColumn id="12136" xr3:uid="{8C913D92-A8A5-4797-BD37-33A5D9F2BAFC}" name="Column12136"/>
    <tableColumn id="12137" xr3:uid="{4D6F22ED-DDBE-452D-A860-10B3C47FF8AF}" name="Column12137"/>
    <tableColumn id="12138" xr3:uid="{346BC442-D66C-4D8A-8EC7-A4671A863573}" name="Column12138"/>
    <tableColumn id="12139" xr3:uid="{5FA225BB-01FF-4BE2-875F-3B3D053BC10B}" name="Column12139"/>
    <tableColumn id="12140" xr3:uid="{F5DB6CDA-6261-46B1-9047-91FFB7357FB8}" name="Column12140"/>
    <tableColumn id="12141" xr3:uid="{526150B1-FCF5-41FA-B9C0-4867FEA5DE39}" name="Column12141"/>
    <tableColumn id="12142" xr3:uid="{7C1A8E16-3DB4-4C3F-B1C2-1A3F12A435B4}" name="Column12142"/>
    <tableColumn id="12143" xr3:uid="{4E797D21-987A-41F9-A55B-74C92AE75511}" name="Column12143"/>
    <tableColumn id="12144" xr3:uid="{5F0A5A93-414D-46D5-936F-E3B076911D91}" name="Column12144"/>
    <tableColumn id="12145" xr3:uid="{4BC8CA51-D881-4435-A6AF-E28D01BEF9A8}" name="Column12145"/>
    <tableColumn id="12146" xr3:uid="{FB63D906-89D2-49A2-B863-91AC4D4A4C07}" name="Column12146"/>
    <tableColumn id="12147" xr3:uid="{9F111770-F961-4AE5-86E0-F939941BBC45}" name="Column12147"/>
    <tableColumn id="12148" xr3:uid="{2BF9D774-13D9-499A-9669-E317E787A972}" name="Column12148"/>
    <tableColumn id="12149" xr3:uid="{8BCE0A82-F20F-4EC2-8DB0-CE94872169C4}" name="Column12149"/>
    <tableColumn id="12150" xr3:uid="{F11759B8-96DD-4C06-A9EA-A04AFDCC5038}" name="Column12150"/>
    <tableColumn id="12151" xr3:uid="{CB213C2C-DBC4-44B6-839E-3F25499B5EE5}" name="Column12151"/>
    <tableColumn id="12152" xr3:uid="{F8B337DC-FA92-40AD-8027-518671E1811D}" name="Column12152"/>
    <tableColumn id="12153" xr3:uid="{CD6AA142-AF28-44F5-8C11-216E378FFA47}" name="Column12153"/>
    <tableColumn id="12154" xr3:uid="{05DACDAD-5733-49BE-818C-7B6138B78938}" name="Column12154"/>
    <tableColumn id="12155" xr3:uid="{1FD18AFD-66E4-4131-956F-9FE0C6A095DF}" name="Column12155"/>
    <tableColumn id="12156" xr3:uid="{CDB3FE93-259F-46BC-81A3-11BD9BEB2904}" name="Column12156"/>
    <tableColumn id="12157" xr3:uid="{FED23620-7F79-4D16-A188-C0BE6C302DF8}" name="Column12157"/>
    <tableColumn id="12158" xr3:uid="{C5B9DE37-EB73-49D5-A8E6-9FE6FC712E3F}" name="Column12158"/>
    <tableColumn id="12159" xr3:uid="{D7A99BAD-7AD2-4150-B779-369BBD2B3512}" name="Column12159"/>
    <tableColumn id="12160" xr3:uid="{4BD18CD7-AC8C-4CEB-AEA4-C6E8ED32DBF2}" name="Column12160"/>
    <tableColumn id="12161" xr3:uid="{22E8ADB2-0A16-4083-A5F6-3D2BF18268F3}" name="Column12161"/>
    <tableColumn id="12162" xr3:uid="{4E5859D7-D969-45F6-B03E-95B43C9D9AFF}" name="Column12162"/>
    <tableColumn id="12163" xr3:uid="{340189DF-857A-4B43-A48C-3D763015284B}" name="Column12163"/>
    <tableColumn id="12164" xr3:uid="{E0624774-0266-4E81-ADE7-4F2158122F76}" name="Column12164"/>
    <tableColumn id="12165" xr3:uid="{50E6685E-2F07-4D92-ACEE-7E1E5EF83508}" name="Column12165"/>
    <tableColumn id="12166" xr3:uid="{A0A2CEDB-9C4E-4184-8250-7BD21DA94EA3}" name="Column12166"/>
    <tableColumn id="12167" xr3:uid="{920F5C85-FAA4-45F1-ACE1-DA70E595B157}" name="Column12167"/>
    <tableColumn id="12168" xr3:uid="{5D502A62-2417-463E-BCC4-F63769E2DB2C}" name="Column12168"/>
    <tableColumn id="12169" xr3:uid="{1B1E4734-CB37-47A7-80DF-CA8869C62E50}" name="Column12169"/>
    <tableColumn id="12170" xr3:uid="{89DC0806-1E87-4B92-A7E2-650D8A6122A3}" name="Column12170"/>
    <tableColumn id="12171" xr3:uid="{15E39376-C1DF-49D7-87F7-FF7476B0DE1B}" name="Column12171"/>
    <tableColumn id="12172" xr3:uid="{2E21D501-165C-4AFD-ABB5-A539B1C8391C}" name="Column12172"/>
    <tableColumn id="12173" xr3:uid="{CC74FA49-379E-4156-9690-9E519EDCBA1E}" name="Column12173"/>
    <tableColumn id="12174" xr3:uid="{7A7A213F-F13C-4206-8F2B-83412C97B2EB}" name="Column12174"/>
    <tableColumn id="12175" xr3:uid="{E95CF073-67CE-43AC-9BB1-440C2DC81B5F}" name="Column12175"/>
    <tableColumn id="12176" xr3:uid="{9DB71BCA-963C-4B88-81D6-3395CF3FE766}" name="Column12176"/>
    <tableColumn id="12177" xr3:uid="{C9A1D0CF-0734-4D2E-82B0-57905BD11274}" name="Column12177"/>
    <tableColumn id="12178" xr3:uid="{590A6839-2C33-4F78-8F5D-7A1DBB519314}" name="Column12178"/>
    <tableColumn id="12179" xr3:uid="{E17D622C-7CAF-444E-B4BE-0AE2A4628FD8}" name="Column12179"/>
    <tableColumn id="12180" xr3:uid="{FB414C90-3916-4A17-9EEE-B1945D2C71D5}" name="Column12180"/>
    <tableColumn id="12181" xr3:uid="{37CA4EB7-9005-49DD-954B-4F6E66ED1E36}" name="Column12181"/>
    <tableColumn id="12182" xr3:uid="{B9803296-61A1-4BB7-A27E-ED4FB95544FE}" name="Column12182"/>
    <tableColumn id="12183" xr3:uid="{9A052AC0-77FF-405D-9580-F2C93294816D}" name="Column12183"/>
    <tableColumn id="12184" xr3:uid="{B9CCC1B1-7AB2-4B2E-83BE-3133F8616A9F}" name="Column12184"/>
    <tableColumn id="12185" xr3:uid="{A89B0D87-5B67-4B01-9C0C-2AF55A2A7D4A}" name="Column12185"/>
    <tableColumn id="12186" xr3:uid="{D5F35AD2-73D6-406F-9DFA-9F4569639F2D}" name="Column12186"/>
    <tableColumn id="12187" xr3:uid="{B2FBBD83-EC30-4FE4-B837-D38261611AA3}" name="Column12187"/>
    <tableColumn id="12188" xr3:uid="{C9C28622-03D1-4599-B82B-35B5E6474995}" name="Column12188"/>
    <tableColumn id="12189" xr3:uid="{7C6275D9-996A-4AD2-86C2-530D9C83C7B7}" name="Column12189"/>
    <tableColumn id="12190" xr3:uid="{F5FBB47E-3CA4-4FB7-B23D-7C2F2D68212D}" name="Column12190"/>
    <tableColumn id="12191" xr3:uid="{32B9E670-E44C-438F-9242-B812243233ED}" name="Column12191"/>
    <tableColumn id="12192" xr3:uid="{0858D9AA-81B6-482D-8DBE-863D82B09967}" name="Column12192"/>
    <tableColumn id="12193" xr3:uid="{6D376FF2-A9E3-48AB-AFC7-C4CCD69ED33B}" name="Column12193"/>
    <tableColumn id="12194" xr3:uid="{E88D6F8E-FF05-4D33-AD9C-B8209315885F}" name="Column12194"/>
    <tableColumn id="12195" xr3:uid="{502C4C01-768B-4B90-A997-D7E450C0BFDF}" name="Column12195"/>
    <tableColumn id="12196" xr3:uid="{DF283EDC-23E7-4F9D-AEAD-AF44636C529B}" name="Column12196"/>
    <tableColumn id="12197" xr3:uid="{4D82FAB5-AB2A-4DAD-AD7B-FE97FFA492B8}" name="Column12197"/>
    <tableColumn id="12198" xr3:uid="{F4337DE4-C9C4-4268-B9C4-A4F848D2F327}" name="Column12198"/>
    <tableColumn id="12199" xr3:uid="{C50862B7-5F2D-4F56-B89C-F3E4B76D0F8A}" name="Column12199"/>
    <tableColumn id="12200" xr3:uid="{F079812F-898E-4577-B6F2-D3BB7F6DFFE6}" name="Column12200"/>
    <tableColumn id="12201" xr3:uid="{569414AA-3B2D-447D-AB72-0082A5E422DB}" name="Column12201"/>
    <tableColumn id="12202" xr3:uid="{E71573EA-154E-4271-AA80-7F3535B6118B}" name="Column12202"/>
    <tableColumn id="12203" xr3:uid="{09EDCB7D-460F-4FBB-811E-F9D356A9D188}" name="Column12203"/>
    <tableColumn id="12204" xr3:uid="{2A7AFC79-A1EC-41FB-9AA4-463C5BDF10B1}" name="Column12204"/>
    <tableColumn id="12205" xr3:uid="{8E420676-3403-4532-A811-B654A85D1436}" name="Column12205"/>
    <tableColumn id="12206" xr3:uid="{D99EEF4B-1BF3-47DD-BC02-31FBD95BCCD1}" name="Column12206"/>
    <tableColumn id="12207" xr3:uid="{22A2F82A-D58F-4174-BEB9-95FB012032CA}" name="Column12207"/>
    <tableColumn id="12208" xr3:uid="{638A1D1D-9E0F-4299-9302-CA852F77C8F4}" name="Column12208"/>
    <tableColumn id="12209" xr3:uid="{1C9F2132-001A-4F18-AD38-1C76D19A0764}" name="Column12209"/>
    <tableColumn id="12210" xr3:uid="{778F781D-52F3-4640-8E37-3806828C3A22}" name="Column12210"/>
    <tableColumn id="12211" xr3:uid="{A6C49A8B-8649-4DC1-AE43-40C9CDB6C076}" name="Column12211"/>
    <tableColumn id="12212" xr3:uid="{8EE52404-9EDC-4424-9251-960EA8753F3C}" name="Column12212"/>
    <tableColumn id="12213" xr3:uid="{1AD96279-A4B0-45E4-9EA2-69FA07071568}" name="Column12213"/>
    <tableColumn id="12214" xr3:uid="{AA91EF31-5371-414F-BE2C-84B8FFECD0D4}" name="Column12214"/>
    <tableColumn id="12215" xr3:uid="{0E226F8D-5516-44EA-A8CB-CEB0E8A8B551}" name="Column12215"/>
    <tableColumn id="12216" xr3:uid="{C8B34425-7279-41C7-8E8C-BD40CDE10F15}" name="Column12216"/>
    <tableColumn id="12217" xr3:uid="{4A850BCB-F1E2-4524-8318-CCB5EE56D356}" name="Column12217"/>
    <tableColumn id="12218" xr3:uid="{8078ADCE-A9D8-4101-B9A3-8562E32E9661}" name="Column12218"/>
    <tableColumn id="12219" xr3:uid="{67A18320-239D-4E7A-9BCB-64F521B69CD2}" name="Column12219"/>
    <tableColumn id="12220" xr3:uid="{BFC615F3-445D-48BF-9A75-7AF20FF7762F}" name="Column12220"/>
    <tableColumn id="12221" xr3:uid="{1245502C-A956-4632-BAE0-7B69CF889EDC}" name="Column12221"/>
    <tableColumn id="12222" xr3:uid="{A3CC60FF-1886-414A-A1B5-58FD73E3F463}" name="Column12222"/>
    <tableColumn id="12223" xr3:uid="{D161E176-EF23-4273-8CBE-BA1483D415FD}" name="Column12223"/>
    <tableColumn id="12224" xr3:uid="{4006BB9B-6F12-4D47-ADB4-504C70B1103B}" name="Column12224"/>
    <tableColumn id="12225" xr3:uid="{ED133866-87D5-4A5D-B4D6-8462F966E31A}" name="Column12225"/>
    <tableColumn id="12226" xr3:uid="{E8B51B29-4388-4945-8A19-28C6EDDC551D}" name="Column12226"/>
    <tableColumn id="12227" xr3:uid="{A46C5C6E-63E3-4E69-8F09-C593592D9BD7}" name="Column12227"/>
    <tableColumn id="12228" xr3:uid="{EA95E9CF-146E-4592-BF73-E4ADEC3E3308}" name="Column12228"/>
    <tableColumn id="12229" xr3:uid="{7B00D44B-A234-49E7-BAF3-5A5FED59E8AD}" name="Column12229"/>
    <tableColumn id="12230" xr3:uid="{BB5CACA8-577E-44B5-A772-30AF48D31C3F}" name="Column12230"/>
    <tableColumn id="12231" xr3:uid="{C8FB5327-4B6F-43A5-9E52-6F541879226B}" name="Column12231"/>
    <tableColumn id="12232" xr3:uid="{8C885DDD-C70D-4882-A5D8-0E692A173B15}" name="Column12232"/>
    <tableColumn id="12233" xr3:uid="{A483A19A-9B63-4F3D-AC77-90FA80D55B52}" name="Column12233"/>
    <tableColumn id="12234" xr3:uid="{4874571A-6A62-4984-BD9C-7DD85E162D06}" name="Column12234"/>
    <tableColumn id="12235" xr3:uid="{295605ED-0A71-4AD4-A2DC-DE266CA478EC}" name="Column12235"/>
    <tableColumn id="12236" xr3:uid="{AAE4EA54-5522-4FB7-B90C-C49D4BA74A6D}" name="Column12236"/>
    <tableColumn id="12237" xr3:uid="{873A7208-FA64-486B-ACC8-203B39B7C6BE}" name="Column12237"/>
    <tableColumn id="12238" xr3:uid="{5F27B92E-F699-4E3B-9192-2900D7BB9B98}" name="Column12238"/>
    <tableColumn id="12239" xr3:uid="{DF0F6FA6-AA26-4DE3-868C-620BDBC3ACE3}" name="Column12239"/>
    <tableColumn id="12240" xr3:uid="{7CD95681-4E84-486F-A2E5-8A49A5DF5848}" name="Column12240"/>
    <tableColumn id="12241" xr3:uid="{0842C836-67DD-4E1B-90A9-99B955B17ECE}" name="Column12241"/>
    <tableColumn id="12242" xr3:uid="{73F197F4-907A-425A-B7D5-13A7CA0609C8}" name="Column12242"/>
    <tableColumn id="12243" xr3:uid="{F586F11B-FD4E-45D8-8621-6336C5D2FFA5}" name="Column12243"/>
    <tableColumn id="12244" xr3:uid="{405F88E6-186B-4AF0-AAB3-974E4B7BE11D}" name="Column12244"/>
    <tableColumn id="12245" xr3:uid="{D11A3B59-216E-49D1-A133-F5AE2F3021F1}" name="Column12245"/>
    <tableColumn id="12246" xr3:uid="{8340EC87-1E01-499B-A331-2EBB4E23F77C}" name="Column12246"/>
    <tableColumn id="12247" xr3:uid="{BA1C61A0-56B8-45BD-8CD4-114353E15D07}" name="Column12247"/>
    <tableColumn id="12248" xr3:uid="{F7C1CCDC-E98F-4122-9397-E43BE489A6A1}" name="Column12248"/>
    <tableColumn id="12249" xr3:uid="{189C8850-743B-415B-8692-978E9D7AE60B}" name="Column12249"/>
    <tableColumn id="12250" xr3:uid="{D63FDD6D-3F83-412C-B90D-64344FFDA6CD}" name="Column12250"/>
    <tableColumn id="12251" xr3:uid="{AC66B4A2-9FDE-4D67-828D-BBD162F73B00}" name="Column12251"/>
    <tableColumn id="12252" xr3:uid="{26EBF3EA-C256-471B-91B5-896834C9BD2D}" name="Column12252"/>
    <tableColumn id="12253" xr3:uid="{357A043E-2286-44C9-8A2E-E5AB79C75CDA}" name="Column12253"/>
    <tableColumn id="12254" xr3:uid="{AC7542F3-7802-4350-AC00-EB3B2EA5CD95}" name="Column12254"/>
    <tableColumn id="12255" xr3:uid="{821FD56C-5C0C-445A-AC2F-7811C2EC03EA}" name="Column12255"/>
    <tableColumn id="12256" xr3:uid="{CAC1DC31-F322-419D-BF23-79303B7DE9CF}" name="Column12256"/>
    <tableColumn id="12257" xr3:uid="{81C31494-9E70-4DB1-9191-2B83E6E63B70}" name="Column12257"/>
    <tableColumn id="12258" xr3:uid="{438ADC4C-AFE2-4A16-827A-AF5B0086F9FE}" name="Column12258"/>
    <tableColumn id="12259" xr3:uid="{04CDFEF6-0E24-4594-A1C9-E5FBABE469ED}" name="Column12259"/>
    <tableColumn id="12260" xr3:uid="{0048EC4E-27FC-4AEC-997D-4D6481DED743}" name="Column12260"/>
    <tableColumn id="12261" xr3:uid="{C7F6EC66-E147-4F71-8466-0A85618261AA}" name="Column12261"/>
    <tableColumn id="12262" xr3:uid="{F4A2F4D7-0ADE-4A66-88C2-0229FCBD1475}" name="Column12262"/>
    <tableColumn id="12263" xr3:uid="{FD621310-887B-475E-ACDF-3BD3650A37D7}" name="Column12263"/>
    <tableColumn id="12264" xr3:uid="{B1515F3C-16C4-45BF-B93C-CB53D21999AE}" name="Column12264"/>
    <tableColumn id="12265" xr3:uid="{E5235D25-EA71-4E83-9F41-E6028CE21D40}" name="Column12265"/>
    <tableColumn id="12266" xr3:uid="{438B99BB-94DF-4E47-B273-EB24B02BC027}" name="Column12266"/>
    <tableColumn id="12267" xr3:uid="{4910CD03-3652-4F55-8BCC-3A06DDCFCB40}" name="Column12267"/>
    <tableColumn id="12268" xr3:uid="{0E76FAEF-9E68-49B6-B0A1-68FD34ECF2A7}" name="Column12268"/>
    <tableColumn id="12269" xr3:uid="{CAE781DE-8B3F-47DD-A6C6-34A772F04298}" name="Column12269"/>
    <tableColumn id="12270" xr3:uid="{74E7DBA8-A188-4287-AB3C-BF30A08AB01C}" name="Column12270"/>
    <tableColumn id="12271" xr3:uid="{72F0D422-5E7E-4B3B-815D-529A3B5038FD}" name="Column12271"/>
    <tableColumn id="12272" xr3:uid="{50574735-7942-4387-8EA7-DE69FB0DFACE}" name="Column12272"/>
    <tableColumn id="12273" xr3:uid="{8C08FDE4-8BC8-4809-BE24-21135B68A664}" name="Column12273"/>
    <tableColumn id="12274" xr3:uid="{22C84625-0A07-451D-B17A-6E8622B017A4}" name="Column12274"/>
    <tableColumn id="12275" xr3:uid="{D12DFA5E-FDAE-4025-A817-58A5F6F51EA9}" name="Column12275"/>
    <tableColumn id="12276" xr3:uid="{9BE38FC2-A5FB-42E9-A92C-A2242AFB6BDC}" name="Column12276"/>
    <tableColumn id="12277" xr3:uid="{5823C911-58C3-4384-A6BF-8EC37FBE2088}" name="Column12277"/>
    <tableColumn id="12278" xr3:uid="{0B90ED0E-C883-4A15-B44E-ECE2DFE9A774}" name="Column12278"/>
    <tableColumn id="12279" xr3:uid="{A01D7332-E18C-4351-BD39-3B0D716D7E10}" name="Column12279"/>
    <tableColumn id="12280" xr3:uid="{6417D557-BD2C-44AF-84B9-79AC9F73462D}" name="Column12280"/>
    <tableColumn id="12281" xr3:uid="{964109FD-0270-4349-AC4D-02B4DF9729DC}" name="Column12281"/>
    <tableColumn id="12282" xr3:uid="{B8C95B37-F298-4F20-BB2B-4265F63BFBFA}" name="Column12282"/>
    <tableColumn id="12283" xr3:uid="{5B4FE576-72F4-45BB-B417-0BDD00140D8A}" name="Column12283"/>
    <tableColumn id="12284" xr3:uid="{E9561122-3831-4A0F-8436-2CEEDED6E234}" name="Column12284"/>
    <tableColumn id="12285" xr3:uid="{BDCE8D9E-FEAF-4107-AC53-3A5A05A22439}" name="Column12285"/>
    <tableColumn id="12286" xr3:uid="{5DCFDC61-F208-492C-AA46-F7335EA29C8A}" name="Column12286"/>
    <tableColumn id="12287" xr3:uid="{9339650E-07E9-46EA-A27F-AEECDB4E0269}" name="Column12287"/>
    <tableColumn id="12288" xr3:uid="{E3364A65-BA48-4D74-9740-5366B798BFCC}" name="Column12288"/>
    <tableColumn id="12289" xr3:uid="{09C3CE8E-8CAE-4982-9D97-52A3B4C32272}" name="Column12289"/>
    <tableColumn id="12290" xr3:uid="{11C44AC1-046E-4E22-850C-F05EE4264681}" name="Column12290"/>
    <tableColumn id="12291" xr3:uid="{7A513185-79B8-488B-A183-18110F9397B0}" name="Column12291"/>
    <tableColumn id="12292" xr3:uid="{955B7CFA-6107-43DD-B3BF-8995EBA9A086}" name="Column12292"/>
    <tableColumn id="12293" xr3:uid="{772ABA40-95C3-41DB-AF7F-DB2F88761FB2}" name="Column12293"/>
    <tableColumn id="12294" xr3:uid="{804B9CEA-249A-42E3-ABB9-0F2497EF9C9F}" name="Column12294"/>
    <tableColumn id="12295" xr3:uid="{E488FF95-1BFE-4ECE-9308-D744E0FCC4E4}" name="Column12295"/>
    <tableColumn id="12296" xr3:uid="{BF54E6F3-5C9A-4652-8806-FE73AF1F1F26}" name="Column12296"/>
    <tableColumn id="12297" xr3:uid="{1905BE49-0405-408D-BA7F-18FCA1824466}" name="Column12297"/>
    <tableColumn id="12298" xr3:uid="{783F5F0F-F745-421A-B645-B2ADC6CCC934}" name="Column12298"/>
    <tableColumn id="12299" xr3:uid="{DC3E99F9-4E85-4017-A9D7-3044AF553BD5}" name="Column12299"/>
    <tableColumn id="12300" xr3:uid="{94B827E1-E743-4070-95BC-6D1B0F6ECB67}" name="Column12300"/>
    <tableColumn id="12301" xr3:uid="{E00B6C77-624A-4948-96CC-6732C3877670}" name="Column12301"/>
    <tableColumn id="12302" xr3:uid="{970AB73B-5ED8-478E-97B6-10C140649023}" name="Column12302"/>
    <tableColumn id="12303" xr3:uid="{C1D1CEA0-0A88-445F-854C-7B0EF02F43F7}" name="Column12303"/>
    <tableColumn id="12304" xr3:uid="{6368034D-5F8C-4BC6-9C6C-CA4BCAB689DC}" name="Column12304"/>
    <tableColumn id="12305" xr3:uid="{CF9F953D-74CB-4F79-B490-3A1C54C0E396}" name="Column12305"/>
    <tableColumn id="12306" xr3:uid="{A624F8A7-F295-4AA3-9335-4777BAE1EA35}" name="Column12306"/>
    <tableColumn id="12307" xr3:uid="{0505C873-2232-40AF-B739-48782B21A906}" name="Column12307"/>
    <tableColumn id="12308" xr3:uid="{AC015BC6-DAD2-4645-BB84-AE51D69B61F4}" name="Column12308"/>
    <tableColumn id="12309" xr3:uid="{A0A5DEE8-4E48-47DA-B02E-3AC25CD54429}" name="Column12309"/>
    <tableColumn id="12310" xr3:uid="{8A35E264-51FB-452A-8B2D-201BA1F15409}" name="Column12310"/>
    <tableColumn id="12311" xr3:uid="{5837862D-5A9C-4780-A86B-E33BD4B3DE22}" name="Column12311"/>
    <tableColumn id="12312" xr3:uid="{3A73D270-82EC-4722-9F86-F71CF5F6DB4F}" name="Column12312"/>
    <tableColumn id="12313" xr3:uid="{75D4701E-3D26-46B8-9592-AAF7F64507BB}" name="Column12313"/>
    <tableColumn id="12314" xr3:uid="{18F25563-4B8B-4AE7-B151-B21966472EAE}" name="Column12314"/>
    <tableColumn id="12315" xr3:uid="{B89DB487-348B-408B-8C1B-ADC1F2693C3A}" name="Column12315"/>
    <tableColumn id="12316" xr3:uid="{6CF8C9EB-F16E-4E1A-88E6-99715E1DCF5A}" name="Column12316"/>
    <tableColumn id="12317" xr3:uid="{950DCC9D-2675-4612-AA22-621D96495EDF}" name="Column12317"/>
    <tableColumn id="12318" xr3:uid="{4B2A23AF-0B0D-4140-929C-E312F7A501D2}" name="Column12318"/>
    <tableColumn id="12319" xr3:uid="{C7AF5619-F6EB-448C-8101-509082B69E6E}" name="Column12319"/>
    <tableColumn id="12320" xr3:uid="{050429C7-30AB-4247-9073-E1EAF144E9F2}" name="Column12320"/>
    <tableColumn id="12321" xr3:uid="{C1D30B6F-0830-4AFE-AA71-54777AD12267}" name="Column12321"/>
    <tableColumn id="12322" xr3:uid="{977461AC-8955-405E-886B-EA03130150E4}" name="Column12322"/>
    <tableColumn id="12323" xr3:uid="{D47EC2A3-0FDE-4B9F-B4C1-BF5B0F5C1E64}" name="Column12323"/>
    <tableColumn id="12324" xr3:uid="{7DC94376-9CFA-4D37-B8B2-7169FCCA81C9}" name="Column12324"/>
    <tableColumn id="12325" xr3:uid="{70A79F4B-EAD1-409E-9A57-9DD3F798F39B}" name="Column12325"/>
    <tableColumn id="12326" xr3:uid="{1912F609-6907-4746-B103-C863384BE343}" name="Column12326"/>
    <tableColumn id="12327" xr3:uid="{49DF8EA7-F0A4-44E9-AC77-CE4E9430242E}" name="Column12327"/>
    <tableColumn id="12328" xr3:uid="{6988D1B4-BBA3-424E-929E-56CCE402C5F4}" name="Column12328"/>
    <tableColumn id="12329" xr3:uid="{CA46CF20-7D43-4526-B23E-0F13E119B276}" name="Column12329"/>
    <tableColumn id="12330" xr3:uid="{E6A7FE7D-C58F-4848-9F41-D68B41AB9A2E}" name="Column12330"/>
    <tableColumn id="12331" xr3:uid="{E5DCC1BA-9FA1-41DE-8B01-BCBBBBBECA77}" name="Column12331"/>
    <tableColumn id="12332" xr3:uid="{5CB8E965-CB63-4722-8049-8FB1DB4775A7}" name="Column12332"/>
    <tableColumn id="12333" xr3:uid="{FC495A90-211C-4CF2-A9BC-AC080452C4F6}" name="Column12333"/>
    <tableColumn id="12334" xr3:uid="{E26A7A0A-083B-4DB9-B06B-13F85A1BC825}" name="Column12334"/>
    <tableColumn id="12335" xr3:uid="{03DD2ED1-FE91-49E8-BDE8-22E9D504B5FE}" name="Column12335"/>
    <tableColumn id="12336" xr3:uid="{51AF16A1-7726-4260-9FEF-A24F6750B221}" name="Column12336"/>
    <tableColumn id="12337" xr3:uid="{E55780B5-0EF0-487C-9920-8D12B2B68A94}" name="Column12337"/>
    <tableColumn id="12338" xr3:uid="{A4F98602-C0FB-4940-9D0E-D1668F1BEED7}" name="Column12338"/>
    <tableColumn id="12339" xr3:uid="{6D806F3A-32A0-4892-B4C3-665330ACA0E0}" name="Column12339"/>
    <tableColumn id="12340" xr3:uid="{8E345FF0-0EF5-49C9-BC1F-08F50C4C9405}" name="Column12340"/>
    <tableColumn id="12341" xr3:uid="{0E37B625-B699-46A7-9117-E9D096598919}" name="Column12341"/>
    <tableColumn id="12342" xr3:uid="{C4B56E9A-45C2-4FE3-9656-970E1CFB5E21}" name="Column12342"/>
    <tableColumn id="12343" xr3:uid="{93097AA3-0C71-4652-91B2-8F0E25BD28E9}" name="Column12343"/>
    <tableColumn id="12344" xr3:uid="{58941BBD-BCC6-4A38-9FBA-5CB47F66BFA4}" name="Column12344"/>
    <tableColumn id="12345" xr3:uid="{24166983-EF64-4046-9CFB-771EB22FBF46}" name="Column12345"/>
    <tableColumn id="12346" xr3:uid="{34B82028-1226-41CF-A839-395BBEEF7BC7}" name="Column12346"/>
    <tableColumn id="12347" xr3:uid="{DC84425F-51B2-4DDD-B955-3B0B7F1E04C3}" name="Column12347"/>
    <tableColumn id="12348" xr3:uid="{ADA7FE6E-36C0-440E-8B8E-6B612F578E8E}" name="Column12348"/>
    <tableColumn id="12349" xr3:uid="{91D6E205-E651-4E8D-8FD1-F41B72372925}" name="Column12349"/>
    <tableColumn id="12350" xr3:uid="{CBD62897-C1B1-433A-A4EA-564B5EA99AEB}" name="Column12350"/>
    <tableColumn id="12351" xr3:uid="{B58C83C8-B531-428B-B1F3-5B8F4261AA95}" name="Column12351"/>
    <tableColumn id="12352" xr3:uid="{05F43549-969E-487C-A494-FE36DFC5ECD8}" name="Column12352"/>
    <tableColumn id="12353" xr3:uid="{B5827148-7AF7-4E9F-8A88-CBD2ECC19977}" name="Column12353"/>
    <tableColumn id="12354" xr3:uid="{3E3301DC-D2DB-4D17-94F3-3017052C7A3A}" name="Column12354"/>
    <tableColumn id="12355" xr3:uid="{3AB72E3A-0DE9-43F3-8888-5E5190AB0AE7}" name="Column12355"/>
    <tableColumn id="12356" xr3:uid="{9C0034F4-28D6-44CA-A4C1-80BBC2FA02DC}" name="Column12356"/>
    <tableColumn id="12357" xr3:uid="{E861EA32-B9E9-41A6-A8A9-401A7CF972AE}" name="Column12357"/>
    <tableColumn id="12358" xr3:uid="{14E661E2-2D52-441F-B4EC-D0A06CBFBD12}" name="Column12358"/>
    <tableColumn id="12359" xr3:uid="{2D520CD7-02D0-4460-88C5-4507EBC157F0}" name="Column12359"/>
    <tableColumn id="12360" xr3:uid="{0058F372-4EE3-4641-8E2B-2622E29B0C00}" name="Column12360"/>
    <tableColumn id="12361" xr3:uid="{9E9C1163-31AF-4AEF-B6DE-932BA9B78595}" name="Column12361"/>
    <tableColumn id="12362" xr3:uid="{82E97971-381E-45DE-80CB-42CE17B8B8DC}" name="Column12362"/>
    <tableColumn id="12363" xr3:uid="{4E17AADF-0DB8-4047-A865-5EF71A477499}" name="Column12363"/>
    <tableColumn id="12364" xr3:uid="{909E4741-68AB-4512-B25E-9FF259969F04}" name="Column12364"/>
    <tableColumn id="12365" xr3:uid="{EB00FFEF-9EA3-4AC6-A04F-8FA47FF015AF}" name="Column12365"/>
    <tableColumn id="12366" xr3:uid="{3E85E83E-62B8-4106-943A-EDC0CA95EA53}" name="Column12366"/>
    <tableColumn id="12367" xr3:uid="{C9949ADF-7711-440F-A225-252251C159A4}" name="Column12367"/>
    <tableColumn id="12368" xr3:uid="{8B08D94C-12FD-417B-AABF-9BC2345C6561}" name="Column12368"/>
    <tableColumn id="12369" xr3:uid="{2C30127A-BE77-435B-9E55-C1CCBD1E896C}" name="Column12369"/>
    <tableColumn id="12370" xr3:uid="{0A751922-B344-4CD3-89BD-09A5106D6681}" name="Column12370"/>
    <tableColumn id="12371" xr3:uid="{B8E18DB3-C628-4C28-90C2-03ED66EECC8F}" name="Column12371"/>
    <tableColumn id="12372" xr3:uid="{217EE289-108C-42A2-B001-0B5D15A1D520}" name="Column12372"/>
    <tableColumn id="12373" xr3:uid="{71FAB81E-85B5-4C94-B978-639F37B07EEA}" name="Column12373"/>
    <tableColumn id="12374" xr3:uid="{5F1BC091-9B9A-44DF-B92A-307DA03C59A9}" name="Column12374"/>
    <tableColumn id="12375" xr3:uid="{DD55A7A7-8C40-4608-95AB-CF7AEFD178B5}" name="Column12375"/>
    <tableColumn id="12376" xr3:uid="{84795F38-C4B8-4E7F-916B-93BE1DB002F8}" name="Column12376"/>
    <tableColumn id="12377" xr3:uid="{756A7F12-2A28-4F90-854C-2B370EBD2369}" name="Column12377"/>
    <tableColumn id="12378" xr3:uid="{48758FF2-1318-4788-8491-CA68F4134134}" name="Column12378"/>
    <tableColumn id="12379" xr3:uid="{3E5809F1-B5AD-4C5B-8EE3-4D7519826E55}" name="Column12379"/>
    <tableColumn id="12380" xr3:uid="{754873C3-699E-4FDE-8D52-218C920C16CA}" name="Column12380"/>
    <tableColumn id="12381" xr3:uid="{8C768F5F-22EB-4996-BE57-24630E53ACB1}" name="Column12381"/>
    <tableColumn id="12382" xr3:uid="{33D70258-6F58-44A3-B722-D95FEF9148AE}" name="Column12382"/>
    <tableColumn id="12383" xr3:uid="{B7F3F7D3-8C46-4FB9-80E9-56894583F7BB}" name="Column12383"/>
    <tableColumn id="12384" xr3:uid="{A28F64D3-AB45-4BB5-A7BF-B806987E59F4}" name="Column12384"/>
    <tableColumn id="12385" xr3:uid="{BF6F49F3-4A39-4068-A2B8-E4A4AC0A88CC}" name="Column12385"/>
    <tableColumn id="12386" xr3:uid="{37076276-0390-4D56-9552-0F78ABE5C7C4}" name="Column12386"/>
    <tableColumn id="12387" xr3:uid="{4EAB9CFB-514D-4C7A-8436-3D37273C331F}" name="Column12387"/>
    <tableColumn id="12388" xr3:uid="{420BB52C-71D5-468E-B121-9241390D743D}" name="Column12388"/>
    <tableColumn id="12389" xr3:uid="{25554CFD-3C49-4E5E-866B-C2F34FC1CEEA}" name="Column12389"/>
    <tableColumn id="12390" xr3:uid="{63CF95D6-CD4B-4EB0-9DA4-3E8FCCFADE87}" name="Column12390"/>
    <tableColumn id="12391" xr3:uid="{05F478A8-274F-4D1D-A4B1-29E8D7F69136}" name="Column12391"/>
    <tableColumn id="12392" xr3:uid="{4150356B-3F11-4323-8922-E66B76926A5A}" name="Column12392"/>
    <tableColumn id="12393" xr3:uid="{1C10776C-E4E4-455E-9EBD-D44AE6820F16}" name="Column12393"/>
    <tableColumn id="12394" xr3:uid="{19FFFE9E-24EB-442F-B6E6-B8126F06E39D}" name="Column12394"/>
    <tableColumn id="12395" xr3:uid="{AF128B4A-3009-463C-92D6-705ECC0CEDB4}" name="Column12395"/>
    <tableColumn id="12396" xr3:uid="{468C52C1-3351-417C-8A79-0DFF917D2262}" name="Column12396"/>
    <tableColumn id="12397" xr3:uid="{6CE30643-6CAD-4034-AECB-CD587C2CCC90}" name="Column12397"/>
    <tableColumn id="12398" xr3:uid="{ECABC4CE-8CAC-46F1-87C3-AAF485FF3FF1}" name="Column12398"/>
    <tableColumn id="12399" xr3:uid="{C8CC941C-1063-4D3D-925E-D8F25008E104}" name="Column12399"/>
    <tableColumn id="12400" xr3:uid="{7E94B44E-9D3A-4C73-9CEA-FC9880B8AA33}" name="Column12400"/>
    <tableColumn id="12401" xr3:uid="{2F73FECA-125F-43F9-B4AD-D5AD6B632328}" name="Column12401"/>
    <tableColumn id="12402" xr3:uid="{FA12A411-59C5-49AD-82AE-F6CFB08FAB38}" name="Column12402"/>
    <tableColumn id="12403" xr3:uid="{8CD0373A-FA00-4FCF-8788-4AB96B8AEB3B}" name="Column12403"/>
    <tableColumn id="12404" xr3:uid="{880611ED-4CB5-4EF2-A87B-87AC1C901F3A}" name="Column12404"/>
    <tableColumn id="12405" xr3:uid="{04BFD6D5-D8DF-4FCC-8DEF-601DC5D7A6F9}" name="Column12405"/>
    <tableColumn id="12406" xr3:uid="{4217E277-98DF-428B-ADE7-9B42E05A4FC4}" name="Column12406"/>
    <tableColumn id="12407" xr3:uid="{52F1D40E-F3DE-4C86-B3C9-BE5778EF762F}" name="Column12407"/>
    <tableColumn id="12408" xr3:uid="{08A948FF-FBA0-4E75-A240-A1D47DCF014B}" name="Column12408"/>
    <tableColumn id="12409" xr3:uid="{69878AF5-85E6-4C08-878C-D79A028315CB}" name="Column12409"/>
    <tableColumn id="12410" xr3:uid="{95FBAC1C-5084-4AAC-A14A-0BF22157EEAA}" name="Column12410"/>
    <tableColumn id="12411" xr3:uid="{146B53C1-AD87-454D-A122-4B09782995DC}" name="Column12411"/>
    <tableColumn id="12412" xr3:uid="{10B268BA-C910-4505-A458-72ED1173BFAC}" name="Column12412"/>
    <tableColumn id="12413" xr3:uid="{0C9EB299-2B14-4950-9F6E-A433EB47ECC2}" name="Column12413"/>
    <tableColumn id="12414" xr3:uid="{5A257745-9E2F-4AEA-AEF2-F6A582B9C25F}" name="Column12414"/>
    <tableColumn id="12415" xr3:uid="{0BB64858-8D14-4C36-8CF3-101B50CB2581}" name="Column12415"/>
    <tableColumn id="12416" xr3:uid="{B6245F6D-37BF-40E3-A12E-257D150BA9BD}" name="Column12416"/>
    <tableColumn id="12417" xr3:uid="{6262C3D8-F713-46C3-B287-4D4F94702C81}" name="Column12417"/>
    <tableColumn id="12418" xr3:uid="{43C185D6-76DB-4C5F-B3EE-431D953A2D5C}" name="Column12418"/>
    <tableColumn id="12419" xr3:uid="{C5AF6CCB-2D19-4984-BC49-46621390A41C}" name="Column12419"/>
    <tableColumn id="12420" xr3:uid="{F4DDD0ED-AE71-4B92-946B-B2C427548D71}" name="Column12420"/>
    <tableColumn id="12421" xr3:uid="{4DC4FC2C-E105-42C1-AEF7-0B42173D1A4B}" name="Column12421"/>
    <tableColumn id="12422" xr3:uid="{CA6A867F-4FF6-463A-BB0B-6B94F30759AF}" name="Column12422"/>
    <tableColumn id="12423" xr3:uid="{F557C67D-398F-4438-B1E0-F85342E489C7}" name="Column12423"/>
    <tableColumn id="12424" xr3:uid="{4ADA5780-49E6-4999-BD93-A01100FD718D}" name="Column12424"/>
    <tableColumn id="12425" xr3:uid="{56D40177-5E59-44C9-93F7-EA071C117F3D}" name="Column12425"/>
    <tableColumn id="12426" xr3:uid="{2DD41C79-3378-4878-B5B6-E97EA60D8C87}" name="Column12426"/>
    <tableColumn id="12427" xr3:uid="{183C552F-4350-4E75-A193-14028967B9E8}" name="Column12427"/>
    <tableColumn id="12428" xr3:uid="{A9984CB0-FE69-4D0F-9167-F8B69FD98872}" name="Column12428"/>
    <tableColumn id="12429" xr3:uid="{B28BF36E-A86A-4702-BD66-2AB3BEA0DB8C}" name="Column12429"/>
    <tableColumn id="12430" xr3:uid="{2EC425D3-DCF2-4FB4-8A74-FB2919630F07}" name="Column12430"/>
    <tableColumn id="12431" xr3:uid="{D08FE4C5-4765-41D6-94DA-BAF1F4E07537}" name="Column12431"/>
    <tableColumn id="12432" xr3:uid="{98E0E6BB-049E-4CB2-A243-E80887299BEB}" name="Column12432"/>
    <tableColumn id="12433" xr3:uid="{95C03C7E-A81D-4980-9865-8814BFE96D1C}" name="Column12433"/>
    <tableColumn id="12434" xr3:uid="{3A6E3B2C-96E7-4326-A204-FEDF92C0A963}" name="Column12434"/>
    <tableColumn id="12435" xr3:uid="{0126685F-6071-489D-9F4B-F3070332EF84}" name="Column12435"/>
    <tableColumn id="12436" xr3:uid="{1FCE7911-11B9-49CC-BCFA-9B3CC765B9EF}" name="Column12436"/>
    <tableColumn id="12437" xr3:uid="{0B7C82D0-760F-42F3-93CC-4C3C5F09C610}" name="Column12437"/>
    <tableColumn id="12438" xr3:uid="{2F27EF52-91F0-4C23-9C50-B7DCD55DA729}" name="Column12438"/>
    <tableColumn id="12439" xr3:uid="{7954D3F1-B40A-441F-BA8A-B4504582EEA9}" name="Column12439"/>
    <tableColumn id="12440" xr3:uid="{38350A4C-E2B5-4737-9593-59FBC583F684}" name="Column12440"/>
    <tableColumn id="12441" xr3:uid="{AFAE0758-6EA1-41E2-B916-BDCDFE15E5B7}" name="Column12441"/>
    <tableColumn id="12442" xr3:uid="{E357D131-F13B-467F-8B0A-3C476485DFAF}" name="Column12442"/>
    <tableColumn id="12443" xr3:uid="{D69FB45F-5AE2-4FBD-84A2-C90DC22739DC}" name="Column12443"/>
    <tableColumn id="12444" xr3:uid="{EF63D41D-E749-4CD1-B82E-285488C40E96}" name="Column12444"/>
    <tableColumn id="12445" xr3:uid="{632A2C6D-5893-43A6-B09B-1F7B21595144}" name="Column12445"/>
    <tableColumn id="12446" xr3:uid="{EA667243-DB1A-475D-B28A-CE99833A8186}" name="Column12446"/>
    <tableColumn id="12447" xr3:uid="{41EAE740-9BD2-4CB7-BF51-282FE78ECE24}" name="Column12447"/>
    <tableColumn id="12448" xr3:uid="{84C4B83B-8FB2-4245-9317-DCF19027A8F9}" name="Column12448"/>
    <tableColumn id="12449" xr3:uid="{BC9E8B8F-DEFE-43FE-BEC9-377BB89266C5}" name="Column12449"/>
    <tableColumn id="12450" xr3:uid="{D45D81FB-1853-4EEB-B0FA-ABFA9CB6801B}" name="Column12450"/>
    <tableColumn id="12451" xr3:uid="{9A756F6F-E019-4001-AFCF-2C23B9172B3D}" name="Column12451"/>
    <tableColumn id="12452" xr3:uid="{B1AFC0F3-FA01-4307-9C70-36047B202B6B}" name="Column12452"/>
    <tableColumn id="12453" xr3:uid="{47C198C1-F228-43F8-9F27-3090D88E38FC}" name="Column12453"/>
    <tableColumn id="12454" xr3:uid="{4EC03A4F-C388-4627-A7CA-406B7368A543}" name="Column12454"/>
    <tableColumn id="12455" xr3:uid="{FF64EA46-2C27-4B39-83FF-1F2D07096C9E}" name="Column12455"/>
    <tableColumn id="12456" xr3:uid="{B4CAA2C6-80E5-4CCE-84A2-FC296E07174C}" name="Column12456"/>
    <tableColumn id="12457" xr3:uid="{A644DC40-6AC0-4D22-94E2-DC1D72ABAC42}" name="Column12457"/>
    <tableColumn id="12458" xr3:uid="{2D898438-89E1-4FDC-B11E-ABAD1E2732CC}" name="Column12458"/>
    <tableColumn id="12459" xr3:uid="{FA9A0073-932B-48FC-ADF5-EAEDF15767E1}" name="Column12459"/>
    <tableColumn id="12460" xr3:uid="{4FB012DC-A7C9-40E0-BEF2-24057D440B09}" name="Column12460"/>
    <tableColumn id="12461" xr3:uid="{A103CDA9-0D07-402D-B390-6BD2BD3BD57A}" name="Column12461"/>
    <tableColumn id="12462" xr3:uid="{1FC14F5F-93E3-4B42-9681-A620B3D59BCB}" name="Column12462"/>
    <tableColumn id="12463" xr3:uid="{815918B7-F9E6-42F9-99F2-CD9A8CA01AEB}" name="Column12463"/>
    <tableColumn id="12464" xr3:uid="{F1772BFF-639F-46AA-85F3-2475FA22282F}" name="Column12464"/>
    <tableColumn id="12465" xr3:uid="{3EDD4238-764D-4E8F-9383-55015F383DE6}" name="Column12465"/>
    <tableColumn id="12466" xr3:uid="{E153E725-EDF8-4654-BB40-BDAB3926F341}" name="Column12466"/>
    <tableColumn id="12467" xr3:uid="{C7359EFF-A874-49CD-B4F8-8BEBB977F209}" name="Column12467"/>
    <tableColumn id="12468" xr3:uid="{B5928CAF-E202-4D51-8E2F-FE290BEAFE86}" name="Column12468"/>
    <tableColumn id="12469" xr3:uid="{D9DF7AB4-8958-45E4-8718-74FE99D40464}" name="Column12469"/>
    <tableColumn id="12470" xr3:uid="{E4BD8A09-1C72-4548-B0F1-0A47883C74FE}" name="Column12470"/>
    <tableColumn id="12471" xr3:uid="{2518A254-3D11-4E3F-98EA-6E65AD73895C}" name="Column12471"/>
    <tableColumn id="12472" xr3:uid="{4CEBD74B-5182-4CA4-9DCF-FC1336EBE6F5}" name="Column12472"/>
    <tableColumn id="12473" xr3:uid="{FA418E6D-3F77-4010-818E-832AC9DB3B37}" name="Column12473"/>
    <tableColumn id="12474" xr3:uid="{6F2D3597-3F2D-45FB-BC8D-5F23BFE84497}" name="Column12474"/>
    <tableColumn id="12475" xr3:uid="{C55AC6E4-F845-48A8-AA87-B37AE61A4FD8}" name="Column12475"/>
    <tableColumn id="12476" xr3:uid="{47B85726-8EEC-45EF-9330-2A4901A0ECF7}" name="Column12476"/>
    <tableColumn id="12477" xr3:uid="{B4F7F868-CE90-41E0-A813-D7B3EE212093}" name="Column12477"/>
    <tableColumn id="12478" xr3:uid="{25B5D9F4-FB5F-4A99-9D9E-7BC4F26D71E6}" name="Column12478"/>
    <tableColumn id="12479" xr3:uid="{0E20EB87-178A-4680-A8C1-29417FA326AD}" name="Column12479"/>
    <tableColumn id="12480" xr3:uid="{A7C7E94D-7F26-4043-8527-3DB3C77E2E56}" name="Column12480"/>
    <tableColumn id="12481" xr3:uid="{BAA4FD75-D7F5-4F34-AA74-6AF01FD0F6BE}" name="Column12481"/>
    <tableColumn id="12482" xr3:uid="{CBA0ECDE-5141-4B4A-BCBC-C675D62ED2CD}" name="Column12482"/>
    <tableColumn id="12483" xr3:uid="{87F149E1-D329-455C-A279-383E73600299}" name="Column12483"/>
    <tableColumn id="12484" xr3:uid="{8F90D738-F104-467F-94B9-0664D71C593A}" name="Column12484"/>
    <tableColumn id="12485" xr3:uid="{15E0569B-BAE4-4A2E-8FA9-9C93CF009764}" name="Column12485"/>
    <tableColumn id="12486" xr3:uid="{5931D03C-56A1-4C54-BCEC-ABDB5123F125}" name="Column12486"/>
    <tableColumn id="12487" xr3:uid="{2CFE3BF1-D0CC-4327-A540-00D710041B00}" name="Column12487"/>
    <tableColumn id="12488" xr3:uid="{E4DF4756-0952-4997-8FDE-54A2DF534C9E}" name="Column12488"/>
    <tableColumn id="12489" xr3:uid="{7B96E2FD-E7B4-4E3E-A3CA-5B39C737B62F}" name="Column12489"/>
    <tableColumn id="12490" xr3:uid="{5F5F13F4-FB03-48FF-AEDD-883055FC7A36}" name="Column12490"/>
    <tableColumn id="12491" xr3:uid="{7C29F046-48F3-426C-BCFD-543BC00E5926}" name="Column12491"/>
    <tableColumn id="12492" xr3:uid="{B3AA5D84-0D6F-457D-9A3C-7D8C95A19FBE}" name="Column12492"/>
    <tableColumn id="12493" xr3:uid="{75939B94-8304-4BC5-B16D-8A9DCACA49C3}" name="Column12493"/>
    <tableColumn id="12494" xr3:uid="{8305C101-D76B-4FB3-AC22-B74F241F4E12}" name="Column12494"/>
    <tableColumn id="12495" xr3:uid="{EF7A4678-52A3-4236-B2CD-28687F6CAD55}" name="Column12495"/>
    <tableColumn id="12496" xr3:uid="{586B6DE4-3293-4D8B-BA50-42DEA6006787}" name="Column12496"/>
    <tableColumn id="12497" xr3:uid="{F432C599-5C9A-4306-AABE-E09BE367F7BD}" name="Column12497"/>
    <tableColumn id="12498" xr3:uid="{924DA19F-1FF7-46DD-9537-342564500D63}" name="Column12498"/>
    <tableColumn id="12499" xr3:uid="{0B37047E-E8E9-41FE-83CA-94B4FEECEC88}" name="Column12499"/>
    <tableColumn id="12500" xr3:uid="{CAAEBF8B-14D8-44B9-888E-B3B6524668D3}" name="Column12500"/>
    <tableColumn id="12501" xr3:uid="{9E8F2AD9-C8AF-4DB4-9353-156CA1F5834B}" name="Column12501"/>
    <tableColumn id="12502" xr3:uid="{BAA236B6-A692-4B3A-8FFB-407485935765}" name="Column12502"/>
    <tableColumn id="12503" xr3:uid="{2709882A-5C06-4BE3-9D5C-F0171D5023E1}" name="Column12503"/>
    <tableColumn id="12504" xr3:uid="{00F124DE-A922-4DA5-ABE6-A466248DB3FF}" name="Column12504"/>
    <tableColumn id="12505" xr3:uid="{246DE741-D70E-4E6D-AE06-289F60E294B0}" name="Column12505"/>
    <tableColumn id="12506" xr3:uid="{68ACE062-1ADD-4A05-AAC5-122750C69C20}" name="Column12506"/>
    <tableColumn id="12507" xr3:uid="{556EA30B-0691-492C-B3C3-501B62636D41}" name="Column12507"/>
    <tableColumn id="12508" xr3:uid="{960DF729-7DDC-4040-A26D-F849E0B713F4}" name="Column12508"/>
    <tableColumn id="12509" xr3:uid="{DD15D826-AD27-4EC0-875D-F4823B218B68}" name="Column12509"/>
    <tableColumn id="12510" xr3:uid="{7C5A8148-3758-41FE-AE0A-05DBE7DBAD19}" name="Column12510"/>
    <tableColumn id="12511" xr3:uid="{6E22D0F0-AD9E-4364-ACA9-C18064D1462F}" name="Column12511"/>
    <tableColumn id="12512" xr3:uid="{A451268B-7B29-4066-80E3-17AEE3A5F95F}" name="Column12512"/>
    <tableColumn id="12513" xr3:uid="{16418C5C-9509-4330-A586-AC024E20E573}" name="Column12513"/>
    <tableColumn id="12514" xr3:uid="{C73BEF5D-390C-4793-BB61-01C664E32472}" name="Column12514"/>
    <tableColumn id="12515" xr3:uid="{E9F981E8-2E07-4EF4-AD86-6D1A33EB7354}" name="Column12515"/>
    <tableColumn id="12516" xr3:uid="{4CD044EF-5F1D-4C07-BA93-B1C2F5398247}" name="Column12516"/>
    <tableColumn id="12517" xr3:uid="{0F53984B-710B-424A-B971-E3F286162319}" name="Column12517"/>
    <tableColumn id="12518" xr3:uid="{DDA6E190-0B7E-4822-A3B5-C6A3D800FBF3}" name="Column12518"/>
    <tableColumn id="12519" xr3:uid="{2F6F0457-A6C3-4A99-9C79-F831E9998899}" name="Column12519"/>
    <tableColumn id="12520" xr3:uid="{5B8E6EE0-D401-41A5-ACEE-898D8DBEA2AD}" name="Column12520"/>
    <tableColumn id="12521" xr3:uid="{4C9A67D5-91AB-468A-9FCC-DA5DE89E4664}" name="Column12521"/>
    <tableColumn id="12522" xr3:uid="{9DC9AB1D-5DC8-4791-B6AF-28A82408720A}" name="Column12522"/>
    <tableColumn id="12523" xr3:uid="{66C52125-3B76-4DC9-9DF8-B3B5E15E12BF}" name="Column12523"/>
    <tableColumn id="12524" xr3:uid="{27F37C20-5098-4578-9325-09FDDF2EB3A4}" name="Column12524"/>
    <tableColumn id="12525" xr3:uid="{7EA5F24F-D42C-4AEA-8C1E-AF055E6543E7}" name="Column12525"/>
    <tableColumn id="12526" xr3:uid="{CF219CE0-B61A-4470-9A8E-336272E9FF75}" name="Column12526"/>
    <tableColumn id="12527" xr3:uid="{819ECAA9-E07D-46A9-86EE-7116DC4D9D1C}" name="Column12527"/>
    <tableColumn id="12528" xr3:uid="{49AE4248-3EB5-4421-B6DF-9A689A122C07}" name="Column12528"/>
    <tableColumn id="12529" xr3:uid="{03B4DEA3-67D9-493A-B067-6BA1A9177032}" name="Column12529"/>
    <tableColumn id="12530" xr3:uid="{B844EEFB-9909-4760-B0AD-2CD7907AAC61}" name="Column12530"/>
    <tableColumn id="12531" xr3:uid="{9AAB4930-8B0F-453E-9430-36E7A39F9D33}" name="Column12531"/>
    <tableColumn id="12532" xr3:uid="{1F465E2F-28CA-4147-969C-D2393BFF7158}" name="Column12532"/>
    <tableColumn id="12533" xr3:uid="{557B4D88-5A8B-455E-8173-CD5C3E89341A}" name="Column12533"/>
    <tableColumn id="12534" xr3:uid="{C6A924F0-71B3-4B12-8939-A2CF8E3B65B4}" name="Column12534"/>
    <tableColumn id="12535" xr3:uid="{427A8FE1-6065-442B-9DFC-F1055E9D79D0}" name="Column12535"/>
    <tableColumn id="12536" xr3:uid="{E408C9E8-6A28-4BD8-AF2A-767408444668}" name="Column12536"/>
    <tableColumn id="12537" xr3:uid="{F93319D5-B8B9-47E9-BA95-1207C8EF79D0}" name="Column12537"/>
    <tableColumn id="12538" xr3:uid="{995001A9-E577-4729-B01A-AF8048E9DE5F}" name="Column12538"/>
    <tableColumn id="12539" xr3:uid="{0745AC72-AA1C-4F62-8F3F-A770C7C3F654}" name="Column12539"/>
    <tableColumn id="12540" xr3:uid="{2E2AA57A-9700-4F8D-9E35-788090725494}" name="Column12540"/>
    <tableColumn id="12541" xr3:uid="{BE47E383-2CC9-4071-AA06-E33F43E1D379}" name="Column12541"/>
    <tableColumn id="12542" xr3:uid="{3DB290DA-447B-4068-A796-7D756928DC34}" name="Column12542"/>
    <tableColumn id="12543" xr3:uid="{B10B45A6-1161-41A9-A5BA-A3C7F7E6F136}" name="Column12543"/>
    <tableColumn id="12544" xr3:uid="{6A6D77D7-4A7B-4A59-9D93-E13607359575}" name="Column12544"/>
    <tableColumn id="12545" xr3:uid="{333C847A-4195-4697-9D46-56BDC2521C59}" name="Column12545"/>
    <tableColumn id="12546" xr3:uid="{85A444E4-C488-42A9-BE5E-42A9C59E75AA}" name="Column12546"/>
    <tableColumn id="12547" xr3:uid="{F0AAD719-DE97-41FB-8EFA-CFE1667230F4}" name="Column12547"/>
    <tableColumn id="12548" xr3:uid="{C0E03DE6-8399-4FE4-8500-2EBDA4169A97}" name="Column12548"/>
    <tableColumn id="12549" xr3:uid="{95EF999A-7698-43A3-ADAF-136C7A0895BA}" name="Column12549"/>
    <tableColumn id="12550" xr3:uid="{97E2E81E-0682-4215-9946-48258F55FB9A}" name="Column12550"/>
    <tableColumn id="12551" xr3:uid="{6192BA14-4BE2-41F8-BDB6-9A669367B068}" name="Column12551"/>
    <tableColumn id="12552" xr3:uid="{94F19AB6-ED02-42B2-B35E-F980F4E1438D}" name="Column12552"/>
    <tableColumn id="12553" xr3:uid="{A4C81742-8342-4F7A-A073-BAAB0FA8655A}" name="Column12553"/>
    <tableColumn id="12554" xr3:uid="{EC86D485-DDF6-4AF1-AC71-E81A7B0D1AFB}" name="Column12554"/>
    <tableColumn id="12555" xr3:uid="{1F258D7E-36AE-4D87-9B91-D291D2CB3D25}" name="Column12555"/>
    <tableColumn id="12556" xr3:uid="{0CD5B9AD-9C24-4B22-834D-313C9344ED7A}" name="Column12556"/>
    <tableColumn id="12557" xr3:uid="{F05E25FE-6EA7-4EF7-82D1-5C608D1EA4A3}" name="Column12557"/>
    <tableColumn id="12558" xr3:uid="{87BB7205-4F9A-4D34-A291-550AED603A10}" name="Column12558"/>
    <tableColumn id="12559" xr3:uid="{18C5796A-E93B-4C58-8821-440BBB5E158A}" name="Column12559"/>
    <tableColumn id="12560" xr3:uid="{E64CC294-E72C-4545-A484-EF0974680614}" name="Column12560"/>
    <tableColumn id="12561" xr3:uid="{62A4C57D-E6D3-4AD0-85D4-BF60C2C4BAB3}" name="Column12561"/>
    <tableColumn id="12562" xr3:uid="{5EA9263B-7F54-4015-A61F-12D38143A84E}" name="Column12562"/>
    <tableColumn id="12563" xr3:uid="{EE9ADAA0-0F9A-43C9-B071-4B2372B41D5B}" name="Column12563"/>
    <tableColumn id="12564" xr3:uid="{91651A4E-2B18-46F5-AE98-A04C3B925B6D}" name="Column12564"/>
    <tableColumn id="12565" xr3:uid="{D2DAF9B5-1079-469D-ADBE-7FC7A3F706C5}" name="Column12565"/>
    <tableColumn id="12566" xr3:uid="{ED14E382-C1E1-4CEC-8D8D-38A5904391EA}" name="Column12566"/>
    <tableColumn id="12567" xr3:uid="{095EFE00-632C-4A9F-990A-3293EFA8A075}" name="Column12567"/>
    <tableColumn id="12568" xr3:uid="{5F802740-7711-429B-88F3-614EAD2AC60A}" name="Column12568"/>
    <tableColumn id="12569" xr3:uid="{06DE480D-B468-4DB8-9E1C-9C8A6102BA4A}" name="Column12569"/>
    <tableColumn id="12570" xr3:uid="{92C9C262-B5FC-46AE-AD0F-FEDA7F00A8B9}" name="Column12570"/>
    <tableColumn id="12571" xr3:uid="{74ABD228-206E-4108-9A4C-10B4436EF939}" name="Column12571"/>
    <tableColumn id="12572" xr3:uid="{22BCE0C5-5C48-4B17-8820-D32EEFA3E47F}" name="Column12572"/>
    <tableColumn id="12573" xr3:uid="{090DA117-8E46-44D7-872B-25333ACB301F}" name="Column12573"/>
    <tableColumn id="12574" xr3:uid="{70D517D0-6E9B-4DB6-AC19-C50E6D4CAC53}" name="Column12574"/>
    <tableColumn id="12575" xr3:uid="{4EDB4AB7-1B67-41E1-AF50-CA2855095737}" name="Column12575"/>
    <tableColumn id="12576" xr3:uid="{88AB44C4-9F30-4CA6-BF0F-736EAD24A666}" name="Column12576"/>
    <tableColumn id="12577" xr3:uid="{A12C60FF-0E79-4717-8151-DB6644C882E2}" name="Column12577"/>
    <tableColumn id="12578" xr3:uid="{37FFAE66-7377-4816-859A-A0C7F87F4DE6}" name="Column12578"/>
    <tableColumn id="12579" xr3:uid="{F7E53B4F-0F1D-4753-86CA-674EAA9D3F3F}" name="Column12579"/>
    <tableColumn id="12580" xr3:uid="{8E6C6AAD-B6A0-4322-A84D-145F0B604DCE}" name="Column12580"/>
    <tableColumn id="12581" xr3:uid="{A691F1B2-30AC-484F-A56E-1C278051C9C5}" name="Column12581"/>
    <tableColumn id="12582" xr3:uid="{7C822BB3-19D0-4467-BC3B-D25E65D1C1D8}" name="Column12582"/>
    <tableColumn id="12583" xr3:uid="{0141EFA5-0616-4197-8803-62991B724626}" name="Column12583"/>
    <tableColumn id="12584" xr3:uid="{ED94BAF9-8111-41A8-BE39-D2C5F4EFFCF1}" name="Column12584"/>
    <tableColumn id="12585" xr3:uid="{2B05E414-B831-4376-8EDE-8DDD7ABCCA52}" name="Column12585"/>
    <tableColumn id="12586" xr3:uid="{0014CE9C-F9BB-43CE-B6B6-8853A479AA6C}" name="Column12586"/>
    <tableColumn id="12587" xr3:uid="{150BCBD0-F52A-41FB-AF21-CAF975E67741}" name="Column12587"/>
    <tableColumn id="12588" xr3:uid="{CC07517F-8EA8-46A1-8FC8-12C2F6ECECA5}" name="Column12588"/>
    <tableColumn id="12589" xr3:uid="{562BD552-27AD-4D95-8228-A84E4790C1C3}" name="Column12589"/>
    <tableColumn id="12590" xr3:uid="{57DE8344-5F4F-4FCF-A034-BF9FEBD5C076}" name="Column12590"/>
    <tableColumn id="12591" xr3:uid="{082E82A9-49DB-40AD-8A55-42A062F792CA}" name="Column12591"/>
    <tableColumn id="12592" xr3:uid="{EB72EFA4-046C-408D-8B1C-C5D6D9BDE969}" name="Column12592"/>
    <tableColumn id="12593" xr3:uid="{761A2BF7-5800-4054-B70E-45E40F486762}" name="Column12593"/>
    <tableColumn id="12594" xr3:uid="{86A98061-C303-4D54-93B8-019724C21A94}" name="Column12594"/>
    <tableColumn id="12595" xr3:uid="{77E24045-94BB-4896-AD7B-14A3CFB11EBD}" name="Column12595"/>
    <tableColumn id="12596" xr3:uid="{623E3523-9631-4C4A-BC21-D4D67F10284D}" name="Column12596"/>
    <tableColumn id="12597" xr3:uid="{944F8D16-C734-4100-AAA3-9F002BB43185}" name="Column12597"/>
    <tableColumn id="12598" xr3:uid="{F6457311-4518-4751-9139-16250B11E833}" name="Column12598"/>
    <tableColumn id="12599" xr3:uid="{EEA59ECC-FBCD-4D42-A5E8-6D6323725F73}" name="Column12599"/>
    <tableColumn id="12600" xr3:uid="{17F21E21-8D9B-471E-9068-C34F81DCE496}" name="Column12600"/>
    <tableColumn id="12601" xr3:uid="{7E473650-95D6-4E73-BB14-358AA287253B}" name="Column12601"/>
    <tableColumn id="12602" xr3:uid="{CE538B48-E482-425F-9D05-643AF6120527}" name="Column12602"/>
    <tableColumn id="12603" xr3:uid="{6F1D6D9E-C007-42CF-899D-5C77CA0ED324}" name="Column12603"/>
    <tableColumn id="12604" xr3:uid="{0A00F9B4-C2DC-49C4-A5AE-E18395D30C2B}" name="Column12604"/>
    <tableColumn id="12605" xr3:uid="{C207705A-0C02-489A-9E5B-A42103E791D1}" name="Column12605"/>
    <tableColumn id="12606" xr3:uid="{99B60211-BC1E-43B3-94EF-DF6D3BA7900D}" name="Column12606"/>
    <tableColumn id="12607" xr3:uid="{9D6C2EB1-2EF1-4CFB-9855-B06CB638B6C1}" name="Column12607"/>
    <tableColumn id="12608" xr3:uid="{8B2BD5E3-CC26-439D-91BF-DB9AB9B2A730}" name="Column12608"/>
    <tableColumn id="12609" xr3:uid="{CFC30D1A-0A38-4818-8C0D-4CC4B662CD3C}" name="Column12609"/>
    <tableColumn id="12610" xr3:uid="{6DDB0273-525E-481D-8998-FEC4C1DF477E}" name="Column12610"/>
    <tableColumn id="12611" xr3:uid="{ABECC373-DB9D-47CE-8E1F-8687E29056E3}" name="Column12611"/>
    <tableColumn id="12612" xr3:uid="{20B39296-1BDB-4B3C-B452-A8AF1224B6C1}" name="Column12612"/>
    <tableColumn id="12613" xr3:uid="{9C615901-71BF-4C53-89CF-332D2173B640}" name="Column12613"/>
    <tableColumn id="12614" xr3:uid="{679877F0-8119-4104-942A-919FACDA7088}" name="Column12614"/>
    <tableColumn id="12615" xr3:uid="{BD397898-DBAC-4252-A33F-ABA22B889EA3}" name="Column12615"/>
    <tableColumn id="12616" xr3:uid="{81723595-01DD-41CF-B6E7-51A5198E8308}" name="Column12616"/>
    <tableColumn id="12617" xr3:uid="{1B193258-ADEE-4200-81FE-398E026CE684}" name="Column12617"/>
    <tableColumn id="12618" xr3:uid="{59EE786E-7E3E-48FE-A2EF-525EB1EEFA35}" name="Column12618"/>
    <tableColumn id="12619" xr3:uid="{BF64F0CA-266D-417C-98A9-50201F22C203}" name="Column12619"/>
    <tableColumn id="12620" xr3:uid="{017B5321-8453-4541-9EBA-CFF322170CDA}" name="Column12620"/>
    <tableColumn id="12621" xr3:uid="{1DAC08BF-B358-4CE5-9BE3-777D04E0F789}" name="Column12621"/>
    <tableColumn id="12622" xr3:uid="{D44AEFA8-2D9F-44C7-B796-EBB4E8BD0183}" name="Column12622"/>
    <tableColumn id="12623" xr3:uid="{0F4F5E2E-7B91-4A90-8B39-65D8CBF24CE4}" name="Column12623"/>
    <tableColumn id="12624" xr3:uid="{A2FB2CA0-568E-4D52-9C41-27243034D7B7}" name="Column12624"/>
    <tableColumn id="12625" xr3:uid="{BE98ECCC-D850-4047-97CE-BF1A82500D29}" name="Column12625"/>
    <tableColumn id="12626" xr3:uid="{822D6B3E-8960-46A8-8779-D5849A78D33B}" name="Column12626"/>
    <tableColumn id="12627" xr3:uid="{E6C05D86-A14E-4F44-8C28-9C8A9ED6DE58}" name="Column12627"/>
    <tableColumn id="12628" xr3:uid="{DCE96171-F1A7-49BA-8A11-9C8EBC44AFA3}" name="Column12628"/>
    <tableColumn id="12629" xr3:uid="{82269A1E-03AF-41ED-B86D-71D2399E4AAF}" name="Column12629"/>
    <tableColumn id="12630" xr3:uid="{2DC7E128-65E0-4DF6-80CE-96D16CAA35AD}" name="Column12630"/>
    <tableColumn id="12631" xr3:uid="{86409990-07AB-4455-9CEB-FDDD164AA35F}" name="Column12631"/>
    <tableColumn id="12632" xr3:uid="{6E5CE34E-98B8-4CE9-A6FC-B15D6E5EE6E7}" name="Column12632"/>
    <tableColumn id="12633" xr3:uid="{07516BE2-DB64-4F66-8146-70885968E816}" name="Column12633"/>
    <tableColumn id="12634" xr3:uid="{4B15CD30-7B5F-4BF9-9E39-D978F12D7C72}" name="Column12634"/>
    <tableColumn id="12635" xr3:uid="{BD5D136D-6CA5-4E93-9247-38F04FF1F734}" name="Column12635"/>
    <tableColumn id="12636" xr3:uid="{E0370B32-4C01-492A-8A12-85FC325A962C}" name="Column12636"/>
    <tableColumn id="12637" xr3:uid="{D9F67727-D692-4D7D-86F3-30D594E16EE4}" name="Column12637"/>
    <tableColumn id="12638" xr3:uid="{ACAC6ED9-E757-4197-AC57-550D359AAFD6}" name="Column12638"/>
    <tableColumn id="12639" xr3:uid="{A581D742-7FC6-4E8E-96F9-60A75C6AE355}" name="Column12639"/>
    <tableColumn id="12640" xr3:uid="{5EE87EA3-55AB-437A-94C6-015138504A12}" name="Column12640"/>
    <tableColumn id="12641" xr3:uid="{92CB5F42-2954-4A2F-93D9-A5F02A53C571}" name="Column12641"/>
    <tableColumn id="12642" xr3:uid="{9755A104-C3FD-4310-90FF-9592EA6334CC}" name="Column12642"/>
    <tableColumn id="12643" xr3:uid="{E47B441E-D277-4AF3-835F-5C3DAF355168}" name="Column12643"/>
    <tableColumn id="12644" xr3:uid="{2FFBE98A-1342-4107-8122-B38D45F98FC5}" name="Column12644"/>
    <tableColumn id="12645" xr3:uid="{C807D35D-C12A-4DB9-B404-9AC253FB796E}" name="Column12645"/>
    <tableColumn id="12646" xr3:uid="{450CD670-6DDA-46BE-BF5C-7527ADD0D9AD}" name="Column12646"/>
    <tableColumn id="12647" xr3:uid="{FB02134A-DF5E-46B3-86CC-FA02E83829FF}" name="Column12647"/>
    <tableColumn id="12648" xr3:uid="{5D46E6F5-DAE4-4042-BEF7-0AB5D6331307}" name="Column12648"/>
    <tableColumn id="12649" xr3:uid="{E4AC9BE2-B972-4C7A-A16F-9B2B9EFC63E4}" name="Column12649"/>
    <tableColumn id="12650" xr3:uid="{413A9D0B-434E-4ECC-AD16-7A2E6B1C9FE4}" name="Column12650"/>
    <tableColumn id="12651" xr3:uid="{DB57C134-B649-4160-9696-B64EE371396D}" name="Column12651"/>
    <tableColumn id="12652" xr3:uid="{73BECE5B-61D8-41A4-B15C-02383CA62C2A}" name="Column12652"/>
    <tableColumn id="12653" xr3:uid="{F14C49D5-8A70-4091-BBAB-E1726AB99257}" name="Column12653"/>
    <tableColumn id="12654" xr3:uid="{093ACFA0-A828-4A94-9809-72C06A682149}" name="Column12654"/>
    <tableColumn id="12655" xr3:uid="{699BDD78-7D57-4356-9F78-D5AA4F1714BD}" name="Column12655"/>
    <tableColumn id="12656" xr3:uid="{720B3BC2-E0A4-41D2-867B-EC0896CAD02F}" name="Column12656"/>
    <tableColumn id="12657" xr3:uid="{DFC9BEA6-CF55-4DF3-AE0C-7427E44D8960}" name="Column12657"/>
    <tableColumn id="12658" xr3:uid="{C46BF455-3FE3-4EAD-BDEC-CDA16C696705}" name="Column12658"/>
    <tableColumn id="12659" xr3:uid="{12A279F6-6AAA-4E04-A317-0A8C46BD1A74}" name="Column12659"/>
    <tableColumn id="12660" xr3:uid="{EEA3DA62-0A44-429F-8EFD-DA3E2BC04AFA}" name="Column12660"/>
    <tableColumn id="12661" xr3:uid="{6D029265-8CC4-4D14-A225-2823969BB43E}" name="Column12661"/>
    <tableColumn id="12662" xr3:uid="{DEBF5640-3601-4C4A-B5D7-F691D5ABFB73}" name="Column12662"/>
    <tableColumn id="12663" xr3:uid="{EB8B23F2-1F83-4180-B07B-219C96C0EB63}" name="Column12663"/>
    <tableColumn id="12664" xr3:uid="{D9062A67-AE8A-4382-A9EC-1BBE8DCFE70C}" name="Column12664"/>
    <tableColumn id="12665" xr3:uid="{8A3C5E7D-DA24-4D5C-856B-CCABFAC642FE}" name="Column12665"/>
    <tableColumn id="12666" xr3:uid="{DCF97F3E-D670-4D57-A349-4A1E8C225D9B}" name="Column12666"/>
    <tableColumn id="12667" xr3:uid="{F35D7DC5-E2B6-4A49-9E92-4A46926C5DE7}" name="Column12667"/>
    <tableColumn id="12668" xr3:uid="{08C4E8CF-45FE-4BF9-8A95-7C8DE1E59025}" name="Column12668"/>
    <tableColumn id="12669" xr3:uid="{DDBFC4CE-C4DD-4AEB-9B36-6C958A695369}" name="Column12669"/>
    <tableColumn id="12670" xr3:uid="{D802679E-2348-4576-97AF-085C900D435B}" name="Column12670"/>
    <tableColumn id="12671" xr3:uid="{B4C2F6A7-46B6-4158-98B4-A53E9D333776}" name="Column12671"/>
    <tableColumn id="12672" xr3:uid="{138E081B-0AE5-4CD2-AC80-69B7E5883706}" name="Column12672"/>
    <tableColumn id="12673" xr3:uid="{6DDF781D-57D2-4934-B9F7-82B971EB7155}" name="Column12673"/>
    <tableColumn id="12674" xr3:uid="{F3747560-5B73-4EA0-AEC8-C79BDAAD23AB}" name="Column12674"/>
    <tableColumn id="12675" xr3:uid="{664FFE58-9396-41BF-83CA-3A8E47DEFD23}" name="Column12675"/>
    <tableColumn id="12676" xr3:uid="{7304F351-7EF3-425D-879C-2D21DBAACAEA}" name="Column12676"/>
    <tableColumn id="12677" xr3:uid="{305DA2DC-66DC-4804-BAD2-1C62AC78587E}" name="Column12677"/>
    <tableColumn id="12678" xr3:uid="{9A78C39E-30BF-4908-A2A2-51ED6836E6FF}" name="Column12678"/>
    <tableColumn id="12679" xr3:uid="{A08DD370-E2ED-4130-B4D5-0EF3C903D476}" name="Column12679"/>
    <tableColumn id="12680" xr3:uid="{92F80851-C107-4E26-924E-1F07EB38DDEB}" name="Column12680"/>
    <tableColumn id="12681" xr3:uid="{F6CF4F92-CA49-4430-ACFE-6D6A1D51D26D}" name="Column12681"/>
    <tableColumn id="12682" xr3:uid="{514B01BB-74DD-4FF8-B022-702926361D6E}" name="Column12682"/>
    <tableColumn id="12683" xr3:uid="{94678202-08F6-4770-A465-25174EE0C5DB}" name="Column12683"/>
    <tableColumn id="12684" xr3:uid="{2F1FADC2-1C2B-432E-81B8-41DD374A7335}" name="Column12684"/>
    <tableColumn id="12685" xr3:uid="{F1785971-0F80-4CBA-9BF7-1A5370D56F04}" name="Column12685"/>
    <tableColumn id="12686" xr3:uid="{C87801F2-1DA4-4F5A-9B15-6F9F4E0E9CE1}" name="Column12686"/>
    <tableColumn id="12687" xr3:uid="{90A1895E-F720-490D-A089-DBB0C7559740}" name="Column12687"/>
    <tableColumn id="12688" xr3:uid="{EE6FE0F6-6C56-4307-B78D-CCB85C89AEB7}" name="Column12688"/>
    <tableColumn id="12689" xr3:uid="{8316E29C-DBB6-4780-B94F-7686BE3F4B76}" name="Column12689"/>
    <tableColumn id="12690" xr3:uid="{7B481708-0757-4B9D-9B16-E75234EBF230}" name="Column12690"/>
    <tableColumn id="12691" xr3:uid="{CA12AF49-D2D9-4921-AA2F-49F38D7E7C6F}" name="Column12691"/>
    <tableColumn id="12692" xr3:uid="{40839013-2FBD-419C-9CD2-33E97877F628}" name="Column12692"/>
    <tableColumn id="12693" xr3:uid="{67DA46F7-4C27-40D9-9A86-D4B402210CB4}" name="Column12693"/>
    <tableColumn id="12694" xr3:uid="{9922D155-9919-4A1E-9A5D-12FF70AE9730}" name="Column12694"/>
    <tableColumn id="12695" xr3:uid="{606B91DA-AA24-45ED-96CF-799425C54706}" name="Column12695"/>
    <tableColumn id="12696" xr3:uid="{570F4D1C-7F81-4C4D-A6A2-DC65D5EE717B}" name="Column12696"/>
    <tableColumn id="12697" xr3:uid="{A9A98D49-F3F8-4B56-8466-C2B14BD10C12}" name="Column12697"/>
    <tableColumn id="12698" xr3:uid="{5E9274A6-118A-44D0-860C-269099A3482C}" name="Column12698"/>
    <tableColumn id="12699" xr3:uid="{03EE7D23-5AB6-497C-B3E5-0D7EDA21D9C6}" name="Column12699"/>
    <tableColumn id="12700" xr3:uid="{403815EB-2ED6-4083-B951-CC6E2D73A5EC}" name="Column12700"/>
    <tableColumn id="12701" xr3:uid="{305D19FE-BF12-4117-8381-728436B5A839}" name="Column12701"/>
    <tableColumn id="12702" xr3:uid="{6B582AF0-AC30-4874-8C4E-84DB0ABCCE98}" name="Column12702"/>
    <tableColumn id="12703" xr3:uid="{0D329B75-36B8-444A-B55F-FD7E050ECCCA}" name="Column12703"/>
    <tableColumn id="12704" xr3:uid="{6CA5A1A4-44A7-4037-9959-15E2051538F5}" name="Column12704"/>
    <tableColumn id="12705" xr3:uid="{94238669-9AED-4F85-B768-89F34ADB2F99}" name="Column12705"/>
    <tableColumn id="12706" xr3:uid="{A5807800-29FA-4220-94C6-763A5AE6A0E0}" name="Column12706"/>
    <tableColumn id="12707" xr3:uid="{22858188-9F07-41EC-8055-08DFC276D826}" name="Column12707"/>
    <tableColumn id="12708" xr3:uid="{E1ADB862-8E80-45E9-BD39-6BCD81775712}" name="Column12708"/>
    <tableColumn id="12709" xr3:uid="{E7C06942-98AA-45E5-ACBB-D87E1B2A1D1B}" name="Column12709"/>
    <tableColumn id="12710" xr3:uid="{842D3290-ADE9-4D14-9B23-7555DC0D046E}" name="Column12710"/>
    <tableColumn id="12711" xr3:uid="{63E3ACDD-E026-4DF6-8D07-AE99EA1D0D53}" name="Column12711"/>
    <tableColumn id="12712" xr3:uid="{85ACBCAE-E1EE-4883-A611-820E0DB130D9}" name="Column12712"/>
    <tableColumn id="12713" xr3:uid="{C4198D5C-8BF7-44C1-B464-3C021B011043}" name="Column12713"/>
    <tableColumn id="12714" xr3:uid="{00F89F75-1FA5-4293-B717-59794654EAB7}" name="Column12714"/>
    <tableColumn id="12715" xr3:uid="{D92626E3-81CF-45BC-BDC8-A814FCD1DBAD}" name="Column12715"/>
    <tableColumn id="12716" xr3:uid="{014F1733-01FE-4C52-8228-2483C24D255D}" name="Column12716"/>
    <tableColumn id="12717" xr3:uid="{741F5127-1294-480F-A69A-DC0373F873D7}" name="Column12717"/>
    <tableColumn id="12718" xr3:uid="{2ADB585A-5B07-4C3B-A7AF-5157BE632AB0}" name="Column12718"/>
    <tableColumn id="12719" xr3:uid="{2AB09E74-3237-45F9-BE23-86BA76C540DF}" name="Column12719"/>
    <tableColumn id="12720" xr3:uid="{6F27215F-56C3-4CD4-B012-CD6A82D41265}" name="Column12720"/>
    <tableColumn id="12721" xr3:uid="{F0AE6CE5-098A-4861-A939-3FDCEF513FFD}" name="Column12721"/>
    <tableColumn id="12722" xr3:uid="{972D37C5-8EEC-45DC-B4A8-92C2BDEA9964}" name="Column12722"/>
    <tableColumn id="12723" xr3:uid="{533BFD4B-2665-444F-94A7-3B9A75298053}" name="Column12723"/>
    <tableColumn id="12724" xr3:uid="{0F3B3CA4-B6DF-4D57-A424-BCF1E6BC898D}" name="Column12724"/>
    <tableColumn id="12725" xr3:uid="{BF2393C7-4AF4-464A-9136-009E3F8F63EF}" name="Column12725"/>
    <tableColumn id="12726" xr3:uid="{67ADAB6F-94DD-405C-BE83-49ED50FC2938}" name="Column12726"/>
    <tableColumn id="12727" xr3:uid="{9A71F80F-B1A5-4278-A949-4D5ABA67EFC6}" name="Column12727"/>
    <tableColumn id="12728" xr3:uid="{6DD8F04F-E01F-4BA5-A4BE-BFC1ADE50196}" name="Column12728"/>
    <tableColumn id="12729" xr3:uid="{A98F9BD5-2B05-4AF5-BD5D-9DAA924A15D5}" name="Column12729"/>
    <tableColumn id="12730" xr3:uid="{80C744F3-9425-4F53-908D-219DD29D0EEB}" name="Column12730"/>
    <tableColumn id="12731" xr3:uid="{BEC06C32-E018-483E-9EBA-3FBE34CEE8BB}" name="Column12731"/>
    <tableColumn id="12732" xr3:uid="{B22E1060-0E97-47B1-8D0C-8639B822AD4F}" name="Column12732"/>
    <tableColumn id="12733" xr3:uid="{7A34867E-EE08-4245-905A-B43922717D12}" name="Column12733"/>
    <tableColumn id="12734" xr3:uid="{B56CCE97-EBAB-45B6-A9F8-3B4AAAAD198F}" name="Column12734"/>
    <tableColumn id="12735" xr3:uid="{E07C178C-AF8C-4558-AFEF-AEE5367862B9}" name="Column12735"/>
    <tableColumn id="12736" xr3:uid="{99973136-09AC-42E1-BFA4-5F65BE02EE3F}" name="Column12736"/>
    <tableColumn id="12737" xr3:uid="{D17156CF-D23F-40D4-B513-88F92A24A421}" name="Column12737"/>
    <tableColumn id="12738" xr3:uid="{50B6979E-E419-4C5A-84B6-4E26D7606FFB}" name="Column12738"/>
    <tableColumn id="12739" xr3:uid="{98F1CA58-910F-4ABF-8AC9-AD6351AE21F3}" name="Column12739"/>
    <tableColumn id="12740" xr3:uid="{BA098BF0-2F02-41A2-855D-052F1EF7E1F4}" name="Column12740"/>
    <tableColumn id="12741" xr3:uid="{7F3C9C64-76E7-439C-A91C-516E26960F4C}" name="Column12741"/>
    <tableColumn id="12742" xr3:uid="{8CC5F979-8C33-4B5A-915E-80A3568AC1B0}" name="Column12742"/>
    <tableColumn id="12743" xr3:uid="{27E589D7-8FA4-45CA-A272-A117BA983785}" name="Column12743"/>
    <tableColumn id="12744" xr3:uid="{577875C7-716C-4D95-9084-94BDCD667F67}" name="Column12744"/>
    <tableColumn id="12745" xr3:uid="{9AF265D1-DC82-4719-B2B1-8A974EFEB786}" name="Column12745"/>
    <tableColumn id="12746" xr3:uid="{C81988BB-7D83-4CF7-AB7A-BE596FAA8227}" name="Column12746"/>
    <tableColumn id="12747" xr3:uid="{5B2CF56D-138C-475F-ABE7-BDF9407696B1}" name="Column12747"/>
    <tableColumn id="12748" xr3:uid="{B0542BBE-DB81-4B44-8A5D-1ACF718FAB7A}" name="Column12748"/>
    <tableColumn id="12749" xr3:uid="{AEC487BE-EB5C-43D1-88AA-62801BA9B608}" name="Column12749"/>
    <tableColumn id="12750" xr3:uid="{A1C65DDB-B3C7-4B61-9F1F-B836595FF577}" name="Column12750"/>
    <tableColumn id="12751" xr3:uid="{12EE50DE-CACF-494A-9985-7CBDFBFA0924}" name="Column12751"/>
    <tableColumn id="12752" xr3:uid="{C0B99DF8-9332-4341-BB51-828EFC01E3D9}" name="Column12752"/>
    <tableColumn id="12753" xr3:uid="{4E74289E-F202-460B-956E-F50FF2D44A25}" name="Column12753"/>
    <tableColumn id="12754" xr3:uid="{E99FC6CE-A056-4979-98B5-D38DEFE4610B}" name="Column12754"/>
    <tableColumn id="12755" xr3:uid="{5EE3A4A8-8979-4B8B-A830-F3A07496E69B}" name="Column12755"/>
    <tableColumn id="12756" xr3:uid="{0034CA81-8BF2-47E3-8C9A-92D38F25CC60}" name="Column12756"/>
    <tableColumn id="12757" xr3:uid="{65263C82-76CE-4975-B29D-B00E5697E524}" name="Column12757"/>
    <tableColumn id="12758" xr3:uid="{DEB0C127-B38E-4518-818B-9A12E152B2A3}" name="Column12758"/>
    <tableColumn id="12759" xr3:uid="{4BC3F469-A834-43DF-ABA1-033D804AA3D0}" name="Column12759"/>
    <tableColumn id="12760" xr3:uid="{B6B098E8-6C4A-4345-8DE2-D756665A91CD}" name="Column12760"/>
    <tableColumn id="12761" xr3:uid="{83F19CF2-04D5-49B9-8752-861E5B096535}" name="Column12761"/>
    <tableColumn id="12762" xr3:uid="{6B435A00-A739-45F4-9A75-F67759325019}" name="Column12762"/>
    <tableColumn id="12763" xr3:uid="{B6AA5F86-ADD5-41B2-B56F-8A995CAD241C}" name="Column12763"/>
    <tableColumn id="12764" xr3:uid="{EA6B625C-0D82-4037-BF6C-215E45809292}" name="Column12764"/>
    <tableColumn id="12765" xr3:uid="{36E1A8B9-9D3D-46B8-B209-25740651FC61}" name="Column12765"/>
    <tableColumn id="12766" xr3:uid="{8FC46EDE-B996-4B2C-A904-6E144D391501}" name="Column12766"/>
    <tableColumn id="12767" xr3:uid="{40BCD5A9-3977-4A2B-82F0-D9FEE080600F}" name="Column12767"/>
    <tableColumn id="12768" xr3:uid="{7E98A5BE-F116-4B81-BE87-4266B1D2749D}" name="Column12768"/>
    <tableColumn id="12769" xr3:uid="{4DB49C14-AA99-45AD-AF27-B5F973DDFDFC}" name="Column12769"/>
    <tableColumn id="12770" xr3:uid="{811B87D8-F5DB-4AFA-B27D-6E03DCABC0BA}" name="Column12770"/>
    <tableColumn id="12771" xr3:uid="{149294D8-5919-4963-8334-456DE26DE93A}" name="Column12771"/>
    <tableColumn id="12772" xr3:uid="{72B51D7D-0ACC-4050-9D1A-D21F89E37ED8}" name="Column12772"/>
    <tableColumn id="12773" xr3:uid="{E2EDE6CA-EAC8-49FB-ABE7-EFAD84D8D753}" name="Column12773"/>
    <tableColumn id="12774" xr3:uid="{B6F212AC-9F0F-41B9-A682-8BCC7A673C17}" name="Column12774"/>
    <tableColumn id="12775" xr3:uid="{C9F4CC8C-F533-4E86-9F7E-79206F8F9E13}" name="Column12775"/>
    <tableColumn id="12776" xr3:uid="{A9075B96-165A-4279-AF0E-9C2AA8C7A514}" name="Column12776"/>
    <tableColumn id="12777" xr3:uid="{5826F293-B982-4E2D-AC09-C0388953FED1}" name="Column12777"/>
    <tableColumn id="12778" xr3:uid="{66DD87AF-E08B-4CB7-BCC6-AC5679094EB5}" name="Column12778"/>
    <tableColumn id="12779" xr3:uid="{7BD6CD23-6603-411D-9480-D8252E739FF1}" name="Column12779"/>
    <tableColumn id="12780" xr3:uid="{EDA9C75D-E54D-4B19-9450-17673C79A433}" name="Column12780"/>
    <tableColumn id="12781" xr3:uid="{1DA40770-F3AE-4B75-931A-EBAD90CD71E7}" name="Column12781"/>
    <tableColumn id="12782" xr3:uid="{5529AFE6-A763-4D9F-8941-D0EBA4EE4F9D}" name="Column12782"/>
    <tableColumn id="12783" xr3:uid="{F5CAADA4-0F3F-44D6-A61A-F4787605B33C}" name="Column12783"/>
    <tableColumn id="12784" xr3:uid="{70AC7652-C496-410F-8A7D-53A8C1F1B716}" name="Column12784"/>
    <tableColumn id="12785" xr3:uid="{753AC2EE-A73C-4B94-B654-E4B0F54F194E}" name="Column12785"/>
    <tableColumn id="12786" xr3:uid="{2C4739B9-00A8-4690-9478-0DB734ACEB2E}" name="Column12786"/>
    <tableColumn id="12787" xr3:uid="{A090D104-AC15-446D-A90B-BB5F69E9F227}" name="Column12787"/>
    <tableColumn id="12788" xr3:uid="{049C21B2-F758-4DE2-BC5B-24A15D41D2DF}" name="Column12788"/>
    <tableColumn id="12789" xr3:uid="{B7BC9869-910B-414B-A169-3D21550BCCAD}" name="Column12789"/>
    <tableColumn id="12790" xr3:uid="{EF358C1B-5699-42A4-BB5D-5D167B7AA579}" name="Column12790"/>
    <tableColumn id="12791" xr3:uid="{1403110C-77F7-4427-B89F-F676989539E3}" name="Column12791"/>
    <tableColumn id="12792" xr3:uid="{1106BAF7-1A48-4DA8-BF6D-311E1C69099E}" name="Column12792"/>
    <tableColumn id="12793" xr3:uid="{26294D05-B4B2-4154-82B3-9FF334075B90}" name="Column12793"/>
    <tableColumn id="12794" xr3:uid="{B085A0BC-BFC7-4B8D-AB01-BFD4FF664F37}" name="Column12794"/>
    <tableColumn id="12795" xr3:uid="{7B6C9BDE-B77B-4E82-A924-15CFD3B07080}" name="Column12795"/>
    <tableColumn id="12796" xr3:uid="{E689ED5B-0D02-4050-AAD6-B62E58E7AAAB}" name="Column12796"/>
    <tableColumn id="12797" xr3:uid="{FE171CC9-60D4-4189-86D2-3A75F43A7783}" name="Column12797"/>
    <tableColumn id="12798" xr3:uid="{09FB889D-A13C-4F43-8013-97FD5E1D3FEB}" name="Column12798"/>
    <tableColumn id="12799" xr3:uid="{3478D5B6-BD6E-4EA6-B855-7772D5EC1163}" name="Column12799"/>
    <tableColumn id="12800" xr3:uid="{C3301E80-DF62-4AB5-9F45-8DE924948224}" name="Column12800"/>
    <tableColumn id="12801" xr3:uid="{81F3FB2E-6B12-49EF-8B65-509C33A6DBD7}" name="Column12801"/>
    <tableColumn id="12802" xr3:uid="{AC0FF7FB-B6A3-4233-A290-08DC2E5668E1}" name="Column12802"/>
    <tableColumn id="12803" xr3:uid="{F90BCE7B-B582-400A-9D30-D57D246428EC}" name="Column12803"/>
    <tableColumn id="12804" xr3:uid="{3E633192-705A-4E1D-B156-F833B0E50905}" name="Column12804"/>
    <tableColumn id="12805" xr3:uid="{938E2D0E-FD5A-414E-BDA7-E6EF26E7E07A}" name="Column12805"/>
    <tableColumn id="12806" xr3:uid="{0AA4FA3F-D3C4-4C22-9796-C8DF7A9E3676}" name="Column12806"/>
    <tableColumn id="12807" xr3:uid="{552669EB-13E1-4E6A-AE68-A14998933AD3}" name="Column12807"/>
    <tableColumn id="12808" xr3:uid="{FECEEECB-3955-4765-95D6-7CB6DDF39486}" name="Column12808"/>
    <tableColumn id="12809" xr3:uid="{08C5F62A-DF7E-411D-BC89-B0275FCE18AE}" name="Column12809"/>
    <tableColumn id="12810" xr3:uid="{8D5831E0-0532-448B-8568-BA33B887B3C8}" name="Column12810"/>
    <tableColumn id="12811" xr3:uid="{8B0D582F-76D1-4CD7-A262-F0C4286E296C}" name="Column12811"/>
    <tableColumn id="12812" xr3:uid="{09039D12-5C79-431F-BBC2-F94A9B3668C3}" name="Column12812"/>
    <tableColumn id="12813" xr3:uid="{E5855017-8F41-4BEA-8D74-3D38A5E0CC96}" name="Column12813"/>
    <tableColumn id="12814" xr3:uid="{FA9C7794-F280-4EE4-8D0A-3FC89C8E6DDA}" name="Column12814"/>
    <tableColumn id="12815" xr3:uid="{F76DC758-A5D6-49FD-9872-DA4A348130B4}" name="Column12815"/>
    <tableColumn id="12816" xr3:uid="{77F06389-5261-4F81-901A-44C35DDF8EF5}" name="Column12816"/>
    <tableColumn id="12817" xr3:uid="{994BE7DB-64B2-49D0-BA0B-3BD27AA07039}" name="Column12817"/>
    <tableColumn id="12818" xr3:uid="{89F611F8-1C26-4C08-86B8-3B79A6EA0A60}" name="Column12818"/>
    <tableColumn id="12819" xr3:uid="{54484EE9-6FDC-402A-AB05-C158ACC1C315}" name="Column12819"/>
    <tableColumn id="12820" xr3:uid="{E086006E-171E-4956-AAD0-302C44CDC288}" name="Column12820"/>
    <tableColumn id="12821" xr3:uid="{3E0266CE-8172-46B1-9FD5-0E4969579C17}" name="Column12821"/>
    <tableColumn id="12822" xr3:uid="{58F04C3B-F2B7-4A86-9BBE-509F9D914F5D}" name="Column12822"/>
    <tableColumn id="12823" xr3:uid="{A146743D-A0CA-4DCD-ACF5-CD8EDBF79FF4}" name="Column12823"/>
    <tableColumn id="12824" xr3:uid="{BE061396-95E7-4726-B508-91C226547D6C}" name="Column12824"/>
    <tableColumn id="12825" xr3:uid="{EA8D1BB7-0606-499A-9728-E2E73EFFEE64}" name="Column12825"/>
    <tableColumn id="12826" xr3:uid="{C3FC82DA-16AD-402A-A98B-761C570399F8}" name="Column12826"/>
    <tableColumn id="12827" xr3:uid="{80F23D4D-C4E1-4696-BF86-C5FE3827FA09}" name="Column12827"/>
    <tableColumn id="12828" xr3:uid="{EE47D95B-7946-4B05-A2CE-4C1E8090C1CE}" name="Column12828"/>
    <tableColumn id="12829" xr3:uid="{B3A13136-42D8-4473-BEF9-FE4C463DB140}" name="Column12829"/>
    <tableColumn id="12830" xr3:uid="{4D2BA880-AF3D-4427-9042-CA25ED07A4A0}" name="Column12830"/>
    <tableColumn id="12831" xr3:uid="{F9F7158B-97D3-4D37-959A-6E0AC8D474F1}" name="Column12831"/>
    <tableColumn id="12832" xr3:uid="{7A8A88DA-1124-4E75-9B59-DAD683456916}" name="Column12832"/>
    <tableColumn id="12833" xr3:uid="{4D46253A-40FF-4252-9DAC-A4CD6710026A}" name="Column12833"/>
    <tableColumn id="12834" xr3:uid="{BE9E9942-5521-4E43-8033-55B76CB529D8}" name="Column12834"/>
    <tableColumn id="12835" xr3:uid="{4540FAFC-1B5A-4517-BB16-C03A41D56931}" name="Column12835"/>
    <tableColumn id="12836" xr3:uid="{AF07FFF2-246A-4771-8CDB-FFD0A665001F}" name="Column12836"/>
    <tableColumn id="12837" xr3:uid="{262FB2C4-0436-4B70-84B9-F09C6ACB159D}" name="Column12837"/>
    <tableColumn id="12838" xr3:uid="{E039B0B4-99A9-4D79-9A23-DC65AB535420}" name="Column12838"/>
    <tableColumn id="12839" xr3:uid="{5D461734-0F12-4DEE-B21A-C4C6202AF06C}" name="Column12839"/>
    <tableColumn id="12840" xr3:uid="{7FC93B36-E051-4FF0-9FEE-4E77E240DAD7}" name="Column12840"/>
    <tableColumn id="12841" xr3:uid="{8479C514-1046-4BD1-9F46-77E79AD2B422}" name="Column12841"/>
    <tableColumn id="12842" xr3:uid="{AF221B17-3C85-4E09-9353-33D64E939453}" name="Column12842"/>
    <tableColumn id="12843" xr3:uid="{367FF861-A3ED-4DBE-8974-15673750C83F}" name="Column12843"/>
    <tableColumn id="12844" xr3:uid="{D8DF12E5-11CB-4E43-88D9-ED96C6C6DA43}" name="Column12844"/>
    <tableColumn id="12845" xr3:uid="{9C8FF7B9-C69C-45C7-B058-CDCA494CBF26}" name="Column12845"/>
    <tableColumn id="12846" xr3:uid="{5768C67C-A241-40EA-BA64-A27CFBC2629D}" name="Column12846"/>
    <tableColumn id="12847" xr3:uid="{52A7A216-6736-45C4-88B3-3905DFE673B5}" name="Column12847"/>
    <tableColumn id="12848" xr3:uid="{5AFC5DE3-125B-4FE6-9514-D788D9F17E94}" name="Column12848"/>
    <tableColumn id="12849" xr3:uid="{A409B542-D379-425B-BA1A-D106C00B6797}" name="Column12849"/>
    <tableColumn id="12850" xr3:uid="{B777ED6C-CEA7-42A4-A035-D94757FA0F41}" name="Column12850"/>
    <tableColumn id="12851" xr3:uid="{4CC08ABD-AB82-4247-A0DF-BEFA45A63600}" name="Column12851"/>
    <tableColumn id="12852" xr3:uid="{358C1FA6-E63D-4917-A446-7ED1F1C17EA7}" name="Column12852"/>
    <tableColumn id="12853" xr3:uid="{E38F534F-3EDA-4BCB-A35B-1798631311DB}" name="Column12853"/>
    <tableColumn id="12854" xr3:uid="{1A7C060C-8CD4-4F35-91B4-96F0CC78C98B}" name="Column12854"/>
    <tableColumn id="12855" xr3:uid="{DBA1B570-7BA7-4459-82EE-01B82CB81C59}" name="Column12855"/>
    <tableColumn id="12856" xr3:uid="{B2756F43-1DEC-4434-9DDB-23A88F59F424}" name="Column12856"/>
    <tableColumn id="12857" xr3:uid="{7E46B968-BD13-4066-BADE-1B7B240ED0D7}" name="Column12857"/>
    <tableColumn id="12858" xr3:uid="{9C60E83C-F4B5-482B-B5F6-8ACE482A60C3}" name="Column12858"/>
    <tableColumn id="12859" xr3:uid="{E4B2004E-21CC-4729-964B-622F1BB71272}" name="Column12859"/>
    <tableColumn id="12860" xr3:uid="{FDEC5F27-C4F1-4CD0-B6FF-70F3F7BAD812}" name="Column12860"/>
    <tableColumn id="12861" xr3:uid="{F2CF7700-01A3-43D1-B7D5-4C5ACF2620A6}" name="Column12861"/>
    <tableColumn id="12862" xr3:uid="{93D9E581-025F-4E23-899D-049C8FA1477F}" name="Column12862"/>
    <tableColumn id="12863" xr3:uid="{8FB21B40-E670-4AC4-A5A5-83C454613C7C}" name="Column12863"/>
    <tableColumn id="12864" xr3:uid="{A0A73005-0A6B-4DBE-AA53-98EF272E4126}" name="Column12864"/>
    <tableColumn id="12865" xr3:uid="{E5855B01-DB39-444D-872A-CCDA8F67E0EE}" name="Column12865"/>
    <tableColumn id="12866" xr3:uid="{A0A351F4-BBEB-4963-8743-4ADA928F6148}" name="Column12866"/>
    <tableColumn id="12867" xr3:uid="{66CAE1A6-DB6C-47B9-AFB3-DD11F8C2B558}" name="Column12867"/>
    <tableColumn id="12868" xr3:uid="{24541498-117D-477B-9564-F263E1D94986}" name="Column12868"/>
    <tableColumn id="12869" xr3:uid="{30C164B4-ACBF-45B6-A6B5-6EA7AD438DAB}" name="Column12869"/>
    <tableColumn id="12870" xr3:uid="{1B7F249C-3F23-4ED7-BFCE-96471A37273F}" name="Column12870"/>
    <tableColumn id="12871" xr3:uid="{01354771-D9AA-434C-A175-F3740F99C14B}" name="Column12871"/>
    <tableColumn id="12872" xr3:uid="{F38F9162-7EE5-449F-A666-52C8FB38AA18}" name="Column12872"/>
    <tableColumn id="12873" xr3:uid="{C3BB8942-BD28-4A2F-ACF6-16BE2F671C11}" name="Column12873"/>
    <tableColumn id="12874" xr3:uid="{EA7D9CDA-5AB3-47D7-8CF1-3D6456F7D16C}" name="Column12874"/>
    <tableColumn id="12875" xr3:uid="{83EDE95B-DB3C-4401-A4EC-F6F6189AB984}" name="Column12875"/>
    <tableColumn id="12876" xr3:uid="{B38F2A3A-3BE5-45F7-982B-496CABD1EE4B}" name="Column12876"/>
    <tableColumn id="12877" xr3:uid="{C3AF944A-D082-4D77-9384-93D9A6DB3FD1}" name="Column12877"/>
    <tableColumn id="12878" xr3:uid="{11176714-71D2-4110-AC3D-E50BFB913037}" name="Column12878"/>
    <tableColumn id="12879" xr3:uid="{95F335FC-2ED7-4158-B8BE-1A8CF63219BF}" name="Column12879"/>
    <tableColumn id="12880" xr3:uid="{18E30C97-2C6E-4409-BDA8-356A6497E198}" name="Column12880"/>
    <tableColumn id="12881" xr3:uid="{D3FBA3BF-9CFE-4EF4-BBFF-B3BFA9BA2034}" name="Column12881"/>
    <tableColumn id="12882" xr3:uid="{638543E2-5921-4803-AC77-57910C23EBDF}" name="Column12882"/>
    <tableColumn id="12883" xr3:uid="{55E3DF8E-5F08-4668-8C1D-93B3C30036A8}" name="Column12883"/>
    <tableColumn id="12884" xr3:uid="{D257AC8D-D6A6-4134-810E-AFAC5134893E}" name="Column12884"/>
    <tableColumn id="12885" xr3:uid="{9818B70D-4618-44D2-950C-E336735327CD}" name="Column12885"/>
    <tableColumn id="12886" xr3:uid="{77F9F7F2-753B-49F4-9887-176D3F0CA5B7}" name="Column12886"/>
    <tableColumn id="12887" xr3:uid="{8A49427A-5C1F-45B9-B322-62CA6BA40A11}" name="Column12887"/>
    <tableColumn id="12888" xr3:uid="{D5DDC4D5-EDF8-4541-86F5-8333F19046FD}" name="Column12888"/>
    <tableColumn id="12889" xr3:uid="{D60C11E2-D01D-4808-9BE3-815C82EB655F}" name="Column12889"/>
    <tableColumn id="12890" xr3:uid="{D1D9FB41-31CB-4266-B743-8BB6F5CDDA52}" name="Column12890"/>
    <tableColumn id="12891" xr3:uid="{8B278B56-91B8-4971-A90C-0C8445D6AD50}" name="Column12891"/>
    <tableColumn id="12892" xr3:uid="{5AD7728D-BF36-41FB-8FA0-001A83F753B0}" name="Column12892"/>
    <tableColumn id="12893" xr3:uid="{EF5454E7-9821-4D28-BDF8-EF8553862A4A}" name="Column12893"/>
    <tableColumn id="12894" xr3:uid="{6C5775EA-4DF6-4C67-AAC4-60B9FB5D230B}" name="Column12894"/>
    <tableColumn id="12895" xr3:uid="{91818996-85AB-4D46-8D76-128612833693}" name="Column12895"/>
    <tableColumn id="12896" xr3:uid="{2F85EEEF-05C6-45E5-A4B0-0A317E586962}" name="Column12896"/>
    <tableColumn id="12897" xr3:uid="{4A2DEFBC-D66B-4EC5-ACE0-5CBB0CA058E0}" name="Column12897"/>
    <tableColumn id="12898" xr3:uid="{88A23219-B562-4A25-99A6-FEB0B2AFD143}" name="Column12898"/>
    <tableColumn id="12899" xr3:uid="{7CCB1A04-B81F-4712-A715-085C356F6D10}" name="Column12899"/>
    <tableColumn id="12900" xr3:uid="{17F410C5-CBFF-4730-90D8-B83E8B7813AD}" name="Column12900"/>
    <tableColumn id="12901" xr3:uid="{F426B5C9-43D2-4BAE-B423-803CDD98644D}" name="Column12901"/>
    <tableColumn id="12902" xr3:uid="{5A73BB07-5C90-4B5E-8A77-4FA5A0D82DDC}" name="Column12902"/>
    <tableColumn id="12903" xr3:uid="{8206BD3B-6A0D-44A2-B7B0-39D92C729332}" name="Column12903"/>
    <tableColumn id="12904" xr3:uid="{29A162C0-5E55-4552-B3BA-D8F44C6E522E}" name="Column12904"/>
    <tableColumn id="12905" xr3:uid="{FEA2FAE8-BF23-4BCA-ADA9-AA2A5C1C2C94}" name="Column12905"/>
    <tableColumn id="12906" xr3:uid="{57341B2F-C829-4B4E-9C87-736F21B58DA4}" name="Column12906"/>
    <tableColumn id="12907" xr3:uid="{22F82C5E-2EA2-49DB-A0AB-AD4EB2DA7226}" name="Column12907"/>
    <tableColumn id="12908" xr3:uid="{3C70F97D-5DB2-4307-8BE0-CB2291A253F0}" name="Column12908"/>
    <tableColumn id="12909" xr3:uid="{EA26F987-671E-44A4-940D-6B3A2D4AEA16}" name="Column12909"/>
    <tableColumn id="12910" xr3:uid="{63593774-9B6B-49FC-9CD4-58B9F3861BCD}" name="Column12910"/>
    <tableColumn id="12911" xr3:uid="{3F12E7A2-A95E-4823-9824-6CC50B4C86B2}" name="Column12911"/>
    <tableColumn id="12912" xr3:uid="{2F13F19F-4BF8-4D9A-8222-0991B2B33759}" name="Column12912"/>
    <tableColumn id="12913" xr3:uid="{8550EF69-CCA6-4DC8-8D4D-A480C386F2AE}" name="Column12913"/>
    <tableColumn id="12914" xr3:uid="{07CE8E44-5870-4494-B587-3F56C8338CBF}" name="Column12914"/>
    <tableColumn id="12915" xr3:uid="{A2DAA342-38BC-47E1-9366-6BDB3F49B606}" name="Column12915"/>
    <tableColumn id="12916" xr3:uid="{F7630CD1-BF63-4076-B15C-82E82F791B90}" name="Column12916"/>
    <tableColumn id="12917" xr3:uid="{E3839A22-1C2F-44AD-86A5-945EAC01545F}" name="Column12917"/>
    <tableColumn id="12918" xr3:uid="{B3285738-B5C5-4E10-B763-3C25765EFFC0}" name="Column12918"/>
    <tableColumn id="12919" xr3:uid="{A6B26B26-45E9-4FCF-B5ED-F7D1CDBADC59}" name="Column12919"/>
    <tableColumn id="12920" xr3:uid="{BFD4267D-B67C-4035-9078-A304B2269FC6}" name="Column12920"/>
    <tableColumn id="12921" xr3:uid="{2F58895A-512D-49D2-9805-9B2177C2F010}" name="Column12921"/>
    <tableColumn id="12922" xr3:uid="{B17DFC4B-4EB5-48F6-8ED0-728BD73445C6}" name="Column12922"/>
    <tableColumn id="12923" xr3:uid="{EA5F5F9A-7B17-46BB-A78A-12B4E30B9906}" name="Column12923"/>
    <tableColumn id="12924" xr3:uid="{ED83B670-5B71-462F-ABFF-8D705AD77943}" name="Column12924"/>
    <tableColumn id="12925" xr3:uid="{1A84468F-40FD-46ED-8A68-074B3AA466EE}" name="Column12925"/>
    <tableColumn id="12926" xr3:uid="{EE5BA7A0-FE16-4B22-B118-18C5FBFE4DF8}" name="Column12926"/>
    <tableColumn id="12927" xr3:uid="{3CAC077E-BB1E-4F78-9E46-67969FC44B0F}" name="Column12927"/>
    <tableColumn id="12928" xr3:uid="{024865FA-5471-42A4-A7CF-ECF801672556}" name="Column12928"/>
    <tableColumn id="12929" xr3:uid="{89CDFFF7-AE3A-4073-A353-314C85F78C02}" name="Column12929"/>
    <tableColumn id="12930" xr3:uid="{9360B5BF-AD74-41A1-9C37-F2BDF66084BF}" name="Column12930"/>
    <tableColumn id="12931" xr3:uid="{8FF5D77A-A8F8-4FF2-A1BE-C73572C05C49}" name="Column12931"/>
    <tableColumn id="12932" xr3:uid="{8C8FC89B-80CE-4B97-BB1F-F8ADDA03A6FE}" name="Column12932"/>
    <tableColumn id="12933" xr3:uid="{2B990647-B650-41A6-9CF6-5D526D976B3B}" name="Column12933"/>
    <tableColumn id="12934" xr3:uid="{11DB827E-F11E-44BF-B5A5-9874CFD4897F}" name="Column12934"/>
    <tableColumn id="12935" xr3:uid="{F144ED2B-8EBA-4CBE-B2DD-1897B68D2F38}" name="Column12935"/>
    <tableColumn id="12936" xr3:uid="{96C6F1B4-D1E9-4308-8580-8D2D03F49C5D}" name="Column12936"/>
    <tableColumn id="12937" xr3:uid="{223F5919-7352-4AEF-9871-844AA223B090}" name="Column12937"/>
    <tableColumn id="12938" xr3:uid="{FD8346D5-F887-4A79-B4F8-41F71A226E4B}" name="Column12938"/>
    <tableColumn id="12939" xr3:uid="{C4211AD0-BFD8-47DE-8409-1BD59520DEC0}" name="Column12939"/>
    <tableColumn id="12940" xr3:uid="{EA014016-BD41-4704-8667-75EEFE9CE3AB}" name="Column12940"/>
    <tableColumn id="12941" xr3:uid="{75CBAD6E-AC4A-4AAE-BE83-E05C9204FDA3}" name="Column12941"/>
    <tableColumn id="12942" xr3:uid="{58F6DE3F-6576-46D3-8704-C76D86A4C42E}" name="Column12942"/>
    <tableColumn id="12943" xr3:uid="{4EA61B0C-7A40-41F0-B28E-979EE8FD8820}" name="Column12943"/>
    <tableColumn id="12944" xr3:uid="{EF24BA89-4BCC-4692-B992-6ACC72ED5356}" name="Column12944"/>
    <tableColumn id="12945" xr3:uid="{EBFAF2B3-BD07-4A5F-8022-AD5ECD364FBF}" name="Column12945"/>
    <tableColumn id="12946" xr3:uid="{668258DB-9E84-4D7B-90BC-776BE1C2FF93}" name="Column12946"/>
    <tableColumn id="12947" xr3:uid="{50504991-F807-41AD-9FF7-5AC0257BC84E}" name="Column12947"/>
    <tableColumn id="12948" xr3:uid="{EAC12F1A-102C-416B-91D6-155BCF3199E8}" name="Column12948"/>
    <tableColumn id="12949" xr3:uid="{C5F58FC2-BCD0-4149-8A1D-A0DE3122D365}" name="Column12949"/>
    <tableColumn id="12950" xr3:uid="{C46B263B-5281-47DD-9003-5377B41E6514}" name="Column12950"/>
    <tableColumn id="12951" xr3:uid="{0D4E4FD6-5D15-4F06-86C0-94AD62DB4E1A}" name="Column12951"/>
    <tableColumn id="12952" xr3:uid="{23BA812D-736B-44E9-8A63-0EF47081CEFA}" name="Column12952"/>
    <tableColumn id="12953" xr3:uid="{FA4EB247-F8E2-49F1-8C53-D4E4B58F095C}" name="Column12953"/>
    <tableColumn id="12954" xr3:uid="{D83B8975-E3A0-408D-9A0E-0862C0E3A0BD}" name="Column12954"/>
    <tableColumn id="12955" xr3:uid="{1537C03B-05FC-4F84-A8F5-17CF553F439E}" name="Column12955"/>
    <tableColumn id="12956" xr3:uid="{EBC6FE09-DE71-4D9F-827C-D2AE8541CFAF}" name="Column12956"/>
    <tableColumn id="12957" xr3:uid="{2F9B144C-1B4B-46A2-89F1-553DB751E784}" name="Column12957"/>
    <tableColumn id="12958" xr3:uid="{5878CA65-4FDE-4A70-B661-439B285DA56B}" name="Column12958"/>
    <tableColumn id="12959" xr3:uid="{3EC52DAE-B072-46EA-8DF2-800DFD0874E5}" name="Column12959"/>
    <tableColumn id="12960" xr3:uid="{A7184BE1-9927-4CB2-BDC0-DDCE5D5D5A35}" name="Column12960"/>
    <tableColumn id="12961" xr3:uid="{EEF4C0C8-45A2-49B6-A92A-1FECC3E8AFF8}" name="Column12961"/>
    <tableColumn id="12962" xr3:uid="{69E31557-2EB0-4F8F-BAF1-8F014D593FC1}" name="Column12962"/>
    <tableColumn id="12963" xr3:uid="{4B5CBD0F-B57B-4774-AC5B-712EF3DCAEBB}" name="Column12963"/>
    <tableColumn id="12964" xr3:uid="{5D1FEE0A-3A97-4BDE-85D0-B3F2E20EBC75}" name="Column12964"/>
    <tableColumn id="12965" xr3:uid="{44C7D2CE-3D9B-4E26-B2D9-2843BE8C5708}" name="Column12965"/>
    <tableColumn id="12966" xr3:uid="{F4DF0B1F-4A6C-403A-82AD-190DCD2689AE}" name="Column12966"/>
    <tableColumn id="12967" xr3:uid="{5E493198-B41A-49AC-9B0C-D3BCB66A76DF}" name="Column12967"/>
    <tableColumn id="12968" xr3:uid="{99910F39-4431-4313-95E8-FC5181C1633F}" name="Column12968"/>
    <tableColumn id="12969" xr3:uid="{33448053-A8C3-469C-ACBB-6BB5CE36E5B8}" name="Column12969"/>
    <tableColumn id="12970" xr3:uid="{5BE0B3DC-8D2E-42AA-9EB3-996E13A9C956}" name="Column12970"/>
    <tableColumn id="12971" xr3:uid="{0EFC636E-F0B7-409B-A896-BEC67B8030F8}" name="Column12971"/>
    <tableColumn id="12972" xr3:uid="{8AB21745-3F1A-4D1D-B604-DD46EE96D7F2}" name="Column12972"/>
    <tableColumn id="12973" xr3:uid="{4F87405E-7C57-4817-9E04-A7497485CFF4}" name="Column12973"/>
    <tableColumn id="12974" xr3:uid="{E30C71C2-E419-457C-80B4-CC3C1C676D49}" name="Column12974"/>
    <tableColumn id="12975" xr3:uid="{9BEF69E8-663D-4E24-BF79-AE871AC3EB94}" name="Column12975"/>
    <tableColumn id="12976" xr3:uid="{0E5DC7EE-7CE5-463D-B820-759BCA3C8FC7}" name="Column12976"/>
    <tableColumn id="12977" xr3:uid="{22111F5F-44A1-419E-BB72-D33DB1A1CA60}" name="Column12977"/>
    <tableColumn id="12978" xr3:uid="{87497B0F-5D07-4E05-9939-D2866ED771FF}" name="Column12978"/>
    <tableColumn id="12979" xr3:uid="{87D58148-7A3A-4885-9EF2-C448FC97B018}" name="Column12979"/>
    <tableColumn id="12980" xr3:uid="{B678611B-9789-46C0-8941-B1827C38AC2C}" name="Column12980"/>
    <tableColumn id="12981" xr3:uid="{A7EEA5A1-B318-4B28-85BD-C34B13C1E514}" name="Column12981"/>
    <tableColumn id="12982" xr3:uid="{4794DA38-C3CF-470D-812F-FFDFDE57FBB5}" name="Column12982"/>
    <tableColumn id="12983" xr3:uid="{79803458-553D-43BB-BC5E-5FE69B7A36BF}" name="Column12983"/>
    <tableColumn id="12984" xr3:uid="{A86DB8BD-6578-4964-A9D6-BF60239AFC87}" name="Column12984"/>
    <tableColumn id="12985" xr3:uid="{007DEA6B-7F99-4B43-A191-78E8E3E77D56}" name="Column12985"/>
    <tableColumn id="12986" xr3:uid="{2601C3EE-88C7-498C-A462-C20EAAF44A03}" name="Column12986"/>
    <tableColumn id="12987" xr3:uid="{E5DB025E-A78A-46FA-B5AC-582AA0C503D9}" name="Column12987"/>
    <tableColumn id="12988" xr3:uid="{BA8C8903-EF23-4A38-AF8C-3311B0239593}" name="Column12988"/>
    <tableColumn id="12989" xr3:uid="{AC910D53-E031-4A31-A2CF-C3E4EAA04ABD}" name="Column12989"/>
    <tableColumn id="12990" xr3:uid="{F6CB340E-4102-4E9D-B552-00DB6F0E6CBE}" name="Column12990"/>
    <tableColumn id="12991" xr3:uid="{0AC8B5E4-CA60-4C90-9DC5-B54985B30785}" name="Column12991"/>
    <tableColumn id="12992" xr3:uid="{B694EA82-F0DF-4AFE-B90A-956FD6AE8FAE}" name="Column12992"/>
    <tableColumn id="12993" xr3:uid="{1E016B6D-D681-49F7-9346-870BBDADBCC2}" name="Column12993"/>
    <tableColumn id="12994" xr3:uid="{007DEC32-9D10-4794-889D-517C9EE19AF0}" name="Column12994"/>
    <tableColumn id="12995" xr3:uid="{03251BE5-72B2-4B12-B5BE-A449FAD03AA8}" name="Column12995"/>
    <tableColumn id="12996" xr3:uid="{8708D9F5-2377-4A56-9FB3-BFF88787928A}" name="Column12996"/>
    <tableColumn id="12997" xr3:uid="{FDDC37FB-6A28-4E03-BCAC-005F24313C16}" name="Column12997"/>
    <tableColumn id="12998" xr3:uid="{44F4F0EE-BF60-4090-98DF-DF6C0A87E623}" name="Column12998"/>
    <tableColumn id="12999" xr3:uid="{CCCDE3E5-FF69-40A3-AF08-4135B7F3C887}" name="Column12999"/>
    <tableColumn id="13000" xr3:uid="{AA1D47B1-8020-442E-86CA-B6D4DCCEA04A}" name="Column13000"/>
    <tableColumn id="13001" xr3:uid="{88770344-DE87-44C4-AB72-E80FEC0ECC7D}" name="Column13001"/>
    <tableColumn id="13002" xr3:uid="{72B575DF-33A3-41E5-B305-73010648824C}" name="Column13002"/>
    <tableColumn id="13003" xr3:uid="{E4DF36AB-31FF-460F-9D91-D45A3A8700E7}" name="Column13003"/>
    <tableColumn id="13004" xr3:uid="{614D8200-FC4F-4EE8-9187-E57830CBA0F8}" name="Column13004"/>
    <tableColumn id="13005" xr3:uid="{257C7275-2A9F-4388-9C23-C7B2E51F71DD}" name="Column13005"/>
    <tableColumn id="13006" xr3:uid="{5F5FB9C9-F085-4A3C-ABC5-58C30B8482FE}" name="Column13006"/>
    <tableColumn id="13007" xr3:uid="{B7EF926D-72D6-4CBB-BC95-3BB299884E6B}" name="Column13007"/>
    <tableColumn id="13008" xr3:uid="{FF5D7250-F08C-4136-B74A-8BD533515ED3}" name="Column13008"/>
    <tableColumn id="13009" xr3:uid="{E42B5332-9AC1-4C02-917B-CD67989664AA}" name="Column13009"/>
    <tableColumn id="13010" xr3:uid="{A42A3B17-E01A-41A0-8447-8B4557C65DE8}" name="Column13010"/>
    <tableColumn id="13011" xr3:uid="{4A67A12F-375B-4D95-B93C-3743FB94C0F4}" name="Column13011"/>
    <tableColumn id="13012" xr3:uid="{43A6E6D1-EEEE-43D3-BC83-B110AC131844}" name="Column13012"/>
    <tableColumn id="13013" xr3:uid="{4502DA3C-9AB6-4AD2-9A1B-E35ABC47BDFD}" name="Column13013"/>
    <tableColumn id="13014" xr3:uid="{7816D60D-E82B-498A-A6DE-CACCD210210D}" name="Column13014"/>
    <tableColumn id="13015" xr3:uid="{FF1AB570-F069-4F40-9779-A66D52934675}" name="Column13015"/>
    <tableColumn id="13016" xr3:uid="{550A87FF-9CE7-401E-B0F7-26B04EBC6101}" name="Column13016"/>
    <tableColumn id="13017" xr3:uid="{4C0CDB31-D640-40EE-965F-BF5F1506BD31}" name="Column13017"/>
    <tableColumn id="13018" xr3:uid="{FB6A6C2F-A67F-4E4C-BC53-6BBE0C48BED8}" name="Column13018"/>
    <tableColumn id="13019" xr3:uid="{471032D5-4DCE-49AE-8357-1EBE475878B0}" name="Column13019"/>
    <tableColumn id="13020" xr3:uid="{07902D40-FBCD-4A60-944C-19DD140811B1}" name="Column13020"/>
    <tableColumn id="13021" xr3:uid="{2636A1DE-AC1A-44D9-9A5F-2D68F789B872}" name="Column13021"/>
    <tableColumn id="13022" xr3:uid="{B0004DAE-876B-433D-9F72-1E32C3920D46}" name="Column13022"/>
    <tableColumn id="13023" xr3:uid="{60F94C2E-2D6D-4121-8259-189B312A00B0}" name="Column13023"/>
    <tableColumn id="13024" xr3:uid="{86706FB3-09E0-47F3-9E71-E7F15031DA8B}" name="Column13024"/>
    <tableColumn id="13025" xr3:uid="{C04B715E-F479-44C3-B5EE-8CD608CF61E9}" name="Column13025"/>
    <tableColumn id="13026" xr3:uid="{AD36FD94-F926-4868-A84B-34605B46E2AF}" name="Column13026"/>
    <tableColumn id="13027" xr3:uid="{6E7BDC73-82A2-4F67-942B-9D2C6A66F27B}" name="Column13027"/>
    <tableColumn id="13028" xr3:uid="{81A3ACDC-5676-43E0-AE23-24CF7507DC54}" name="Column13028"/>
    <tableColumn id="13029" xr3:uid="{C36E0A8F-1C39-43CA-A7B8-68129A817767}" name="Column13029"/>
    <tableColumn id="13030" xr3:uid="{28A43C14-3B87-4AF9-A243-05728CF738A1}" name="Column13030"/>
    <tableColumn id="13031" xr3:uid="{192754F3-FB17-4792-B74B-30A26380955C}" name="Column13031"/>
    <tableColumn id="13032" xr3:uid="{44F038ED-61EA-4402-BF77-D0131EB74587}" name="Column13032"/>
    <tableColumn id="13033" xr3:uid="{576E61C8-649A-4992-ABD5-C36251E17EF6}" name="Column13033"/>
    <tableColumn id="13034" xr3:uid="{014D4050-4F53-481D-95F7-BF3DA1EE98C5}" name="Column13034"/>
    <tableColumn id="13035" xr3:uid="{A317D24C-F21C-406A-95AB-5C9F1C1189E4}" name="Column13035"/>
    <tableColumn id="13036" xr3:uid="{CF7DF3ED-7D4A-420A-BD2F-A9E9ECEAFCB2}" name="Column13036"/>
    <tableColumn id="13037" xr3:uid="{CFAF9698-9DE2-4FBD-BFDC-6F2CB46D7F5D}" name="Column13037"/>
    <tableColumn id="13038" xr3:uid="{52D46AE2-BE3A-4F55-8EFB-D3B3A9F2BBAF}" name="Column13038"/>
    <tableColumn id="13039" xr3:uid="{3EC9E6C1-3D18-4F83-825E-4718405DA72D}" name="Column13039"/>
    <tableColumn id="13040" xr3:uid="{3C029739-D2C7-417C-A08B-352FE49C16F9}" name="Column13040"/>
    <tableColumn id="13041" xr3:uid="{1067BD3B-00C4-487A-9A9E-7FEA7F666B8A}" name="Column13041"/>
    <tableColumn id="13042" xr3:uid="{EC3C13F3-09B5-43E0-A403-F2D958B923CE}" name="Column13042"/>
    <tableColumn id="13043" xr3:uid="{DBF0E3B0-E9A2-449E-A5AD-EBD45F882E4B}" name="Column13043"/>
    <tableColumn id="13044" xr3:uid="{B51492AA-69EE-4A14-AE0C-95E150EA4B5A}" name="Column13044"/>
    <tableColumn id="13045" xr3:uid="{95DB6C63-62BC-4AC2-BAA2-D8CF8D386769}" name="Column13045"/>
    <tableColumn id="13046" xr3:uid="{A08D37CA-8DD1-446F-B250-147C23C9F620}" name="Column13046"/>
    <tableColumn id="13047" xr3:uid="{CC4D969B-5534-441C-BC6B-04CAD0FF8C28}" name="Column13047"/>
    <tableColumn id="13048" xr3:uid="{F2AF56A2-5240-45EF-925A-11CBDA416536}" name="Column13048"/>
    <tableColumn id="13049" xr3:uid="{C15CF955-B0B6-4E6D-97E5-E0C70D0C1FC6}" name="Column13049"/>
    <tableColumn id="13050" xr3:uid="{A16A3804-D8D6-4E05-8B08-D3C4C45971C9}" name="Column13050"/>
    <tableColumn id="13051" xr3:uid="{2E671DB6-D1E0-4620-B7B1-4C6F22E468C1}" name="Column13051"/>
    <tableColumn id="13052" xr3:uid="{C359E0D7-5522-4C3A-9A3A-A95D9DD6620C}" name="Column13052"/>
    <tableColumn id="13053" xr3:uid="{A597A40F-B1F3-4660-B15E-418CA6F2B836}" name="Column13053"/>
    <tableColumn id="13054" xr3:uid="{42C2B43C-7C03-4D0A-A761-0778E9C28A6B}" name="Column13054"/>
    <tableColumn id="13055" xr3:uid="{0BD0DD41-9573-4DCD-97CD-D95D1C3F67D1}" name="Column13055"/>
    <tableColumn id="13056" xr3:uid="{8AAEF588-7290-403A-AEEC-A32C649251A2}" name="Column13056"/>
    <tableColumn id="13057" xr3:uid="{077C7851-02CE-4241-8906-1704111B192A}" name="Column13057"/>
    <tableColumn id="13058" xr3:uid="{5C8721D7-391E-4093-BB6D-1315CFF8227B}" name="Column13058"/>
    <tableColumn id="13059" xr3:uid="{C51B1BA8-8EF2-45ED-80F3-88EB5BBB0676}" name="Column13059"/>
    <tableColumn id="13060" xr3:uid="{747D928C-681B-4B88-A5EB-1B9CDDFF593B}" name="Column13060"/>
    <tableColumn id="13061" xr3:uid="{92FD8698-2AC8-4E55-BE84-34D9F5D880AC}" name="Column13061"/>
    <tableColumn id="13062" xr3:uid="{E7A43F4C-C82E-4EFC-8786-3CEE5AF820DA}" name="Column13062"/>
    <tableColumn id="13063" xr3:uid="{1207D767-C152-4E31-A4B5-6BF9F92E0388}" name="Column13063"/>
    <tableColumn id="13064" xr3:uid="{45C226DF-3F44-4009-9EB3-6F93C8BCDC49}" name="Column13064"/>
    <tableColumn id="13065" xr3:uid="{5503F0D4-8B9F-4D84-8A7D-070283E42D64}" name="Column13065"/>
    <tableColumn id="13066" xr3:uid="{B1CBD2B4-5B28-4AFD-97BC-2BD707631B8D}" name="Column13066"/>
    <tableColumn id="13067" xr3:uid="{4105AFD0-F289-4430-A25A-7AFD3BD6A734}" name="Column13067"/>
    <tableColumn id="13068" xr3:uid="{F9EEA5C5-8C9C-4C1B-8BC0-6EE5FE264E63}" name="Column13068"/>
    <tableColumn id="13069" xr3:uid="{7C56B603-F933-43E0-AFB9-C9AC15E0ED43}" name="Column13069"/>
    <tableColumn id="13070" xr3:uid="{A784AA83-F401-4E44-A79C-D9322B755475}" name="Column13070"/>
    <tableColumn id="13071" xr3:uid="{6C17CCFB-2986-48C5-9E1F-2C69411A96E7}" name="Column13071"/>
    <tableColumn id="13072" xr3:uid="{C621F622-CFD8-4CC5-8F97-31398A7BF0C8}" name="Column13072"/>
    <tableColumn id="13073" xr3:uid="{DA8BCCBE-D088-438A-925E-716218B83971}" name="Column13073"/>
    <tableColumn id="13074" xr3:uid="{04752B3C-9F6B-40BA-9A21-C55A4B44CD3C}" name="Column13074"/>
    <tableColumn id="13075" xr3:uid="{C01E8446-5CB1-4A49-87A5-39ADC6322A7C}" name="Column13075"/>
    <tableColumn id="13076" xr3:uid="{B8393E32-6F51-487E-B108-BD4E6A3FE85C}" name="Column13076"/>
    <tableColumn id="13077" xr3:uid="{9C3F0267-986B-40F5-B52B-3A02065A2360}" name="Column13077"/>
    <tableColumn id="13078" xr3:uid="{DEFCB699-256E-4B5A-8236-AEBBBD03498B}" name="Column13078"/>
    <tableColumn id="13079" xr3:uid="{7E5CE0E9-C363-4402-834D-753A98E974B9}" name="Column13079"/>
    <tableColumn id="13080" xr3:uid="{1118C499-CB91-49F0-925D-6F0FF8681EFA}" name="Column13080"/>
    <tableColumn id="13081" xr3:uid="{931EC2B6-13C2-42B0-AE81-CFABDC9FFB82}" name="Column13081"/>
    <tableColumn id="13082" xr3:uid="{B63F649F-FC76-412D-B97B-81961F3155D7}" name="Column13082"/>
    <tableColumn id="13083" xr3:uid="{D8B28243-DA29-47BE-8C1C-EA681D6DA62D}" name="Column13083"/>
    <tableColumn id="13084" xr3:uid="{32194351-645F-44EA-91EA-F7203BBF2D85}" name="Column13084"/>
    <tableColumn id="13085" xr3:uid="{B178951B-51E3-4A30-A972-7DFA4394686D}" name="Column13085"/>
    <tableColumn id="13086" xr3:uid="{C2F70A66-571E-484F-BA58-23258AC38FA2}" name="Column13086"/>
    <tableColumn id="13087" xr3:uid="{082831DF-654E-4431-B20B-475F93EDB5C8}" name="Column13087"/>
    <tableColumn id="13088" xr3:uid="{8A729BF8-B1BF-4A32-AE69-ABB4317226B0}" name="Column13088"/>
    <tableColumn id="13089" xr3:uid="{E139DAE5-3B2D-4386-9471-B258B8C016AC}" name="Column13089"/>
    <tableColumn id="13090" xr3:uid="{780921FC-2EDE-48EB-9A0B-1FBCAF1ABA5B}" name="Column13090"/>
    <tableColumn id="13091" xr3:uid="{EFFC869B-1412-4D44-9ED8-73A939A015FD}" name="Column13091"/>
    <tableColumn id="13092" xr3:uid="{85A58E87-E6CF-435C-B59E-7A2958B5A026}" name="Column13092"/>
    <tableColumn id="13093" xr3:uid="{1FE3DEDD-1940-4728-9661-97865EFE68C7}" name="Column13093"/>
    <tableColumn id="13094" xr3:uid="{78E1DF98-5526-4572-9DF4-047255527475}" name="Column13094"/>
    <tableColumn id="13095" xr3:uid="{A8B2DD83-4791-4377-B33F-FDFEC7A536F2}" name="Column13095"/>
    <tableColumn id="13096" xr3:uid="{21343AAC-D3DD-4224-8FEE-5E2C00802306}" name="Column13096"/>
    <tableColumn id="13097" xr3:uid="{1C1168E2-E888-42E6-AE57-E536E8F584A2}" name="Column13097"/>
    <tableColumn id="13098" xr3:uid="{EEB1ADCC-F538-46D9-9881-AF2BB7247EB3}" name="Column13098"/>
    <tableColumn id="13099" xr3:uid="{D2E68D99-A54B-43E2-8477-A489D828CD5E}" name="Column13099"/>
    <tableColumn id="13100" xr3:uid="{CF8657F0-2B9A-424C-B0C5-16B8339B6202}" name="Column13100"/>
    <tableColumn id="13101" xr3:uid="{C207FA13-7BDE-40BE-90FC-198979760323}" name="Column13101"/>
    <tableColumn id="13102" xr3:uid="{27CBBDC1-5C0F-48C3-A943-08B21DAB31B8}" name="Column13102"/>
    <tableColumn id="13103" xr3:uid="{C4BD20C7-CE11-492A-8311-DA3B1A1B9FC2}" name="Column13103"/>
    <tableColumn id="13104" xr3:uid="{6531B083-D827-4451-B468-CF147D088F59}" name="Column13104"/>
    <tableColumn id="13105" xr3:uid="{3D96BD75-2C74-4362-8286-BA3B0E46C652}" name="Column13105"/>
    <tableColumn id="13106" xr3:uid="{EB166DE3-3818-471B-A0C3-86B281874DD1}" name="Column13106"/>
    <tableColumn id="13107" xr3:uid="{C4896A80-27B7-4774-BDE1-678106A3DC99}" name="Column13107"/>
    <tableColumn id="13108" xr3:uid="{45426A3F-A06F-49E5-A1D2-DABC37FD23AF}" name="Column13108"/>
    <tableColumn id="13109" xr3:uid="{C8804172-B82B-4EC6-82A1-0F7548EE37EF}" name="Column13109"/>
    <tableColumn id="13110" xr3:uid="{BC7ACD8F-D32C-4B09-B592-939AA821A630}" name="Column13110"/>
    <tableColumn id="13111" xr3:uid="{A2020C69-AB51-43B3-AC4F-5B30DDC36559}" name="Column13111"/>
    <tableColumn id="13112" xr3:uid="{E610EFE8-1D92-4749-934B-46F55FD5ED1E}" name="Column13112"/>
    <tableColumn id="13113" xr3:uid="{E80E85FD-4D86-4F19-AB25-A3798B4C1A13}" name="Column13113"/>
    <tableColumn id="13114" xr3:uid="{9E5B4C9B-875F-470B-8DD4-88A3813F72C3}" name="Column13114"/>
    <tableColumn id="13115" xr3:uid="{CAFECE6F-0978-424B-9B6E-C20C2B839691}" name="Column13115"/>
    <tableColumn id="13116" xr3:uid="{09AC754E-6836-4CEE-AC75-C97B90F8C28C}" name="Column13116"/>
    <tableColumn id="13117" xr3:uid="{DCB611EA-8A8A-4519-94D7-098A66BB1826}" name="Column13117"/>
    <tableColumn id="13118" xr3:uid="{D21511CE-0E94-4DFE-B447-F53C7CB702A0}" name="Column13118"/>
    <tableColumn id="13119" xr3:uid="{A8C5AFE8-D3A0-4A04-A132-D4AFD0386D95}" name="Column13119"/>
    <tableColumn id="13120" xr3:uid="{481F6D29-5429-4FFA-B8D0-BB21FDDBE1C5}" name="Column13120"/>
    <tableColumn id="13121" xr3:uid="{8C686089-01EE-487B-BAEE-CCB36A74875D}" name="Column13121"/>
    <tableColumn id="13122" xr3:uid="{FF0012E2-3735-4829-8866-42C9ABF0283E}" name="Column13122"/>
    <tableColumn id="13123" xr3:uid="{0EA6EB88-FFC2-4B8A-81BF-A6E171558D90}" name="Column13123"/>
    <tableColumn id="13124" xr3:uid="{15CBA126-029C-4F5F-A784-48A83F14C949}" name="Column13124"/>
    <tableColumn id="13125" xr3:uid="{474DADDB-B23C-4B54-ACA9-E00FE4893161}" name="Column13125"/>
    <tableColumn id="13126" xr3:uid="{1EC3C301-286A-4DAF-9FB4-7CF6D6AC17BA}" name="Column13126"/>
    <tableColumn id="13127" xr3:uid="{83C0ED64-ED72-42DD-B6FA-5355C0B3882F}" name="Column13127"/>
    <tableColumn id="13128" xr3:uid="{8CE7BD8C-5EE0-431F-80E1-5B1E80464AFC}" name="Column13128"/>
    <tableColumn id="13129" xr3:uid="{6EED466E-3E38-4C2E-BA43-01F51EDBF6FC}" name="Column13129"/>
    <tableColumn id="13130" xr3:uid="{6BEF35B5-DDDA-4338-AE57-2476F302DB2B}" name="Column13130"/>
    <tableColumn id="13131" xr3:uid="{0B0C9230-44F5-46B6-8CC5-6F19E3D08578}" name="Column13131"/>
    <tableColumn id="13132" xr3:uid="{7615F15D-BC9B-4184-B182-9A043F9C1B80}" name="Column13132"/>
    <tableColumn id="13133" xr3:uid="{86885C5A-944C-4291-AF42-0DC3E0AE517C}" name="Column13133"/>
    <tableColumn id="13134" xr3:uid="{8E63514F-ED2E-415F-9C00-5D60830D4375}" name="Column13134"/>
    <tableColumn id="13135" xr3:uid="{13C618E6-ABC3-46F1-BD7C-B255CC5F4873}" name="Column13135"/>
    <tableColumn id="13136" xr3:uid="{5FDE1794-388A-4FEB-A64F-78B307FF2B03}" name="Column13136"/>
    <tableColumn id="13137" xr3:uid="{FD2E0280-8CAD-4B19-A6F7-4A17EBF67479}" name="Column13137"/>
    <tableColumn id="13138" xr3:uid="{098A638B-1B97-44E9-BEA2-37CF7629FF25}" name="Column13138"/>
    <tableColumn id="13139" xr3:uid="{FF29C291-F17C-4422-9E9F-40E956AE3BC1}" name="Column13139"/>
    <tableColumn id="13140" xr3:uid="{6F308276-C847-45C9-AEF6-C96BCEA0A2D3}" name="Column13140"/>
    <tableColumn id="13141" xr3:uid="{F86A34CB-4401-4D78-A8B8-0AD6596CBFFE}" name="Column13141"/>
    <tableColumn id="13142" xr3:uid="{1484AD1D-BFF4-4E75-892E-313AF097C83B}" name="Column13142"/>
    <tableColumn id="13143" xr3:uid="{976DB4DE-9D41-4858-B499-B8AA2A072F6B}" name="Column13143"/>
    <tableColumn id="13144" xr3:uid="{89E34470-FA6F-4A4A-8474-414865910609}" name="Column13144"/>
    <tableColumn id="13145" xr3:uid="{2D6667CE-FA40-43FF-A151-ED67343FD6D1}" name="Column13145"/>
    <tableColumn id="13146" xr3:uid="{BFB6DDCF-4CBF-48F6-A693-3684DF39DB2A}" name="Column13146"/>
    <tableColumn id="13147" xr3:uid="{A13B5E06-8FDB-4F47-B39A-B7EFF56523AF}" name="Column13147"/>
    <tableColumn id="13148" xr3:uid="{E48CF7E3-5705-4F56-9DB4-52519DA478BC}" name="Column13148"/>
    <tableColumn id="13149" xr3:uid="{B657D433-66D7-4CA9-A078-5C501DF4593D}" name="Column13149"/>
    <tableColumn id="13150" xr3:uid="{72241C5A-F675-4567-AB0B-85C7F69BA9D5}" name="Column13150"/>
    <tableColumn id="13151" xr3:uid="{1FE03DF1-2A20-43DC-B23F-F3E2661F2950}" name="Column13151"/>
    <tableColumn id="13152" xr3:uid="{0BCA4D5A-D30C-4BE5-966B-BE5F74FBD445}" name="Column13152"/>
    <tableColumn id="13153" xr3:uid="{3542531B-D93E-4C20-870C-BDBAB2DCD8A0}" name="Column13153"/>
    <tableColumn id="13154" xr3:uid="{ADAAC6F6-0B4E-46CB-A591-44542D6518DC}" name="Column13154"/>
    <tableColumn id="13155" xr3:uid="{AE6689CF-4CD0-450A-BFD1-E7A8BA30CE3D}" name="Column13155"/>
    <tableColumn id="13156" xr3:uid="{2BEFB72E-C062-495F-850C-00EEBE55D047}" name="Column13156"/>
    <tableColumn id="13157" xr3:uid="{64613D1E-3518-4C00-9E18-CDA7D96C7115}" name="Column13157"/>
    <tableColumn id="13158" xr3:uid="{4352FA34-A52F-4C90-9829-1465ED7B019C}" name="Column13158"/>
    <tableColumn id="13159" xr3:uid="{EAAED204-0E2B-43B5-B685-E3B0F5B7F72C}" name="Column13159"/>
    <tableColumn id="13160" xr3:uid="{F9818A63-F9A8-4782-8312-FE5BE58BB5C6}" name="Column13160"/>
    <tableColumn id="13161" xr3:uid="{3BDEC746-1A6D-4673-BF21-6662BA0B1518}" name="Column13161"/>
    <tableColumn id="13162" xr3:uid="{9A5E6BE5-B179-4C3A-87E4-AC75A8F152C9}" name="Column13162"/>
    <tableColumn id="13163" xr3:uid="{122B2613-963C-4B1A-911D-8ABBF59C51FD}" name="Column13163"/>
    <tableColumn id="13164" xr3:uid="{938E11F6-84B8-4E0D-B491-4229B9035C33}" name="Column13164"/>
    <tableColumn id="13165" xr3:uid="{18AE3557-2DFB-4D00-94FB-506D1EEE5ECD}" name="Column13165"/>
    <tableColumn id="13166" xr3:uid="{AF588C8D-084A-40B5-831C-9D6FD9664523}" name="Column13166"/>
    <tableColumn id="13167" xr3:uid="{A0FFBE28-5590-4B56-899B-D66C14F4D82E}" name="Column13167"/>
    <tableColumn id="13168" xr3:uid="{5DBFE992-D6E2-4347-8A99-6509BA25C4A4}" name="Column13168"/>
    <tableColumn id="13169" xr3:uid="{F0DBEB3F-9E5D-4C48-9031-5842970581EC}" name="Column13169"/>
    <tableColumn id="13170" xr3:uid="{65096F0E-13B7-42E5-A399-E59C9629532A}" name="Column13170"/>
    <tableColumn id="13171" xr3:uid="{AAB7F2E0-7B93-4287-917E-46AB166E6CB1}" name="Column13171"/>
    <tableColumn id="13172" xr3:uid="{493EB17D-03D4-478F-A5E4-61D230D506B3}" name="Column13172"/>
    <tableColumn id="13173" xr3:uid="{2B58D48C-8F9C-4B77-9C04-6ED22C6165EA}" name="Column13173"/>
    <tableColumn id="13174" xr3:uid="{1B94FF5F-3B7C-4221-8535-FA6B46AE1696}" name="Column13174"/>
    <tableColumn id="13175" xr3:uid="{5449E6C7-C4DB-4CA9-921F-F4E5D24E4993}" name="Column13175"/>
    <tableColumn id="13176" xr3:uid="{F9340F1B-A669-4459-9D12-3D2E55ADE5C9}" name="Column13176"/>
    <tableColumn id="13177" xr3:uid="{D8ACD6E4-305B-4487-8A58-DAB863FD1D16}" name="Column13177"/>
    <tableColumn id="13178" xr3:uid="{80A91806-B21A-44C7-BEE6-CC8A7B3D7AAB}" name="Column13178"/>
    <tableColumn id="13179" xr3:uid="{1D1CA308-9B7D-4178-B3F8-A3290980825B}" name="Column13179"/>
    <tableColumn id="13180" xr3:uid="{9AF6A664-6660-494C-A0A9-6FA2DF62EB7A}" name="Column13180"/>
    <tableColumn id="13181" xr3:uid="{F036E5CC-9929-4739-B61C-C5063C8DABFF}" name="Column13181"/>
    <tableColumn id="13182" xr3:uid="{E3C6E8D4-B95D-4736-9F9F-928FF82787E0}" name="Column13182"/>
    <tableColumn id="13183" xr3:uid="{E3B125D5-FBE4-41BA-9638-5C9EF3A9F6B5}" name="Column13183"/>
    <tableColumn id="13184" xr3:uid="{E1345C14-7DEC-4C34-A211-B3037D12D49B}" name="Column13184"/>
    <tableColumn id="13185" xr3:uid="{1DEC231A-5679-4BED-BD65-A04F49997FE1}" name="Column13185"/>
    <tableColumn id="13186" xr3:uid="{0641AE5E-8FD4-497E-82B6-5D6755754B9F}" name="Column13186"/>
    <tableColumn id="13187" xr3:uid="{CB615108-1AD1-40EA-8039-76784F024253}" name="Column13187"/>
    <tableColumn id="13188" xr3:uid="{5CD4B6B6-73B2-4783-859F-6D2101AA52AA}" name="Column13188"/>
    <tableColumn id="13189" xr3:uid="{21D01A57-94E2-4869-819B-2CF26E05B36E}" name="Column13189"/>
    <tableColumn id="13190" xr3:uid="{0571071E-CDE2-44B2-BE47-40143FEA0948}" name="Column13190"/>
    <tableColumn id="13191" xr3:uid="{F921D818-3578-4382-BB4D-BE7C06DB34D1}" name="Column13191"/>
    <tableColumn id="13192" xr3:uid="{618D30E5-DA08-4A1B-87AF-9458F4CDA3E3}" name="Column13192"/>
    <tableColumn id="13193" xr3:uid="{B6EBCA92-8798-4397-98FB-99423B7224F6}" name="Column13193"/>
    <tableColumn id="13194" xr3:uid="{99C7E952-89AF-40B2-8BB8-2C5E83B83703}" name="Column13194"/>
    <tableColumn id="13195" xr3:uid="{CE12FBB4-EF2C-4D6C-B440-03131247C0FE}" name="Column13195"/>
    <tableColumn id="13196" xr3:uid="{46E4A855-F2D6-4698-B719-F3832CDE188A}" name="Column13196"/>
    <tableColumn id="13197" xr3:uid="{AEBF3636-7A28-4D72-AD9A-119C7288F8CE}" name="Column13197"/>
    <tableColumn id="13198" xr3:uid="{913F2F55-773D-4A63-B5E4-45A3A07F0B3E}" name="Column13198"/>
    <tableColumn id="13199" xr3:uid="{8E142404-5209-4145-BEA0-F839B1AABFBF}" name="Column13199"/>
    <tableColumn id="13200" xr3:uid="{097DACE6-2A7A-47C7-BDB1-5537F803FEFE}" name="Column13200"/>
    <tableColumn id="13201" xr3:uid="{0B303BBF-A02F-48A3-BE61-CD1748BA1670}" name="Column13201"/>
    <tableColumn id="13202" xr3:uid="{189657C7-539E-4114-A8D2-D2C44BF8D4A2}" name="Column13202"/>
    <tableColumn id="13203" xr3:uid="{85D7F65E-A373-4993-8282-EE5FA096ECB9}" name="Column13203"/>
    <tableColumn id="13204" xr3:uid="{5E15789F-531C-40A6-9581-4D5CD974191E}" name="Column13204"/>
    <tableColumn id="13205" xr3:uid="{A8DA752A-88EB-456C-8506-135EC0119AB6}" name="Column13205"/>
    <tableColumn id="13206" xr3:uid="{AF39C3FB-4CB9-4948-892A-A2C8FFFD156C}" name="Column13206"/>
    <tableColumn id="13207" xr3:uid="{9AC99999-0E64-42FF-83D2-26B61D68D9C8}" name="Column13207"/>
    <tableColumn id="13208" xr3:uid="{76B8D474-8363-40A7-B0DC-7C428F35CCEB}" name="Column13208"/>
    <tableColumn id="13209" xr3:uid="{3C0A7CD8-4511-48DD-9AE5-BDAA3E80D8E6}" name="Column13209"/>
    <tableColumn id="13210" xr3:uid="{C293B0D0-523B-4629-BFD4-7B3093A82259}" name="Column13210"/>
    <tableColumn id="13211" xr3:uid="{4D26357E-18C7-444A-BFA7-02D8C1898802}" name="Column13211"/>
    <tableColumn id="13212" xr3:uid="{0F1CC7D7-AB43-45EB-9A58-DB2F6E7609B0}" name="Column13212"/>
    <tableColumn id="13213" xr3:uid="{641C0588-440E-47F4-96C6-42D156B0B60E}" name="Column13213"/>
    <tableColumn id="13214" xr3:uid="{1DB62E64-A9D4-41C2-A731-D95892A5B179}" name="Column13214"/>
    <tableColumn id="13215" xr3:uid="{F906CE66-FEEB-4C30-AAFB-FBB687B6EB56}" name="Column13215"/>
    <tableColumn id="13216" xr3:uid="{A187B58B-47E6-47D9-822A-BD3EF8128059}" name="Column13216"/>
    <tableColumn id="13217" xr3:uid="{4B324E60-B16E-4466-8875-5EED834C2409}" name="Column13217"/>
    <tableColumn id="13218" xr3:uid="{CD424571-6B5C-4667-90B4-C0E43C4A7508}" name="Column13218"/>
    <tableColumn id="13219" xr3:uid="{79E74899-522F-49AA-B3CE-BE98BBB858FC}" name="Column13219"/>
    <tableColumn id="13220" xr3:uid="{AB699810-FC6A-484A-A051-0B54AA35E170}" name="Column13220"/>
    <tableColumn id="13221" xr3:uid="{5D0569D2-D22E-41EA-B6C7-B39F21755816}" name="Column13221"/>
    <tableColumn id="13222" xr3:uid="{ACAF5D67-9C75-4D31-A60D-3BDBBCA55674}" name="Column13222"/>
    <tableColumn id="13223" xr3:uid="{95D5E60F-6BCA-4DD8-9BEB-7757C83F4FE8}" name="Column13223"/>
    <tableColumn id="13224" xr3:uid="{5D6147E4-E075-4961-B1AF-E3D1B264CC60}" name="Column13224"/>
    <tableColumn id="13225" xr3:uid="{B59657AC-3BFC-4B49-91ED-C8A549EC1C14}" name="Column13225"/>
    <tableColumn id="13226" xr3:uid="{9C012516-FFDD-4AFB-BD63-0C27FEE564A1}" name="Column13226"/>
    <tableColumn id="13227" xr3:uid="{E237253F-481E-4E66-8391-2A82CD2C5618}" name="Column13227"/>
    <tableColumn id="13228" xr3:uid="{AF6667E1-0956-4427-9DE1-92DFA35A6F67}" name="Column13228"/>
    <tableColumn id="13229" xr3:uid="{D55F640C-506F-43DE-A90B-68B5FF6EB1D7}" name="Column13229"/>
    <tableColumn id="13230" xr3:uid="{F6AC42D5-9D2B-471B-AD60-35A2468E527A}" name="Column13230"/>
    <tableColumn id="13231" xr3:uid="{F492E91A-B506-4C9E-83AC-D95FA636935B}" name="Column13231"/>
    <tableColumn id="13232" xr3:uid="{B04AC5ED-E556-4CC4-BC64-4C17BCAA5EAC}" name="Column13232"/>
    <tableColumn id="13233" xr3:uid="{FDB57F4F-1C4A-4E73-A5B4-EB219E2D975F}" name="Column13233"/>
    <tableColumn id="13234" xr3:uid="{86B8673E-1F1C-41FE-BCFF-704B6D1ECB18}" name="Column13234"/>
    <tableColumn id="13235" xr3:uid="{4E8795A0-29CA-4EE4-9440-B4123F3EDFF7}" name="Column13235"/>
    <tableColumn id="13236" xr3:uid="{4060C823-A54D-4FC5-831C-358E1E1165EA}" name="Column13236"/>
    <tableColumn id="13237" xr3:uid="{58111A60-C092-4CE4-B507-461FE3D53DF6}" name="Column13237"/>
    <tableColumn id="13238" xr3:uid="{CE1EE23B-88F8-4260-BD32-FD9CCDCE3313}" name="Column13238"/>
    <tableColumn id="13239" xr3:uid="{D000D204-1C23-42D5-B377-58957A043D77}" name="Column13239"/>
    <tableColumn id="13240" xr3:uid="{932CC6F2-AADB-4B79-A2E9-AAC557957D88}" name="Column13240"/>
    <tableColumn id="13241" xr3:uid="{412503CD-3D26-4BB5-ABAB-A7E8D99F6B29}" name="Column13241"/>
    <tableColumn id="13242" xr3:uid="{A81177D2-0FEE-4060-A114-DF4D34DCFBDB}" name="Column13242"/>
    <tableColumn id="13243" xr3:uid="{1551E6DF-7525-4A86-A867-2FD0FD6ADEBF}" name="Column13243"/>
    <tableColumn id="13244" xr3:uid="{C278CA78-B9C3-4706-B973-515781DE851E}" name="Column13244"/>
    <tableColumn id="13245" xr3:uid="{4AC8889F-C3E7-4C01-AC97-559B4C370376}" name="Column13245"/>
    <tableColumn id="13246" xr3:uid="{93885E86-A3D7-43C1-9ECE-FB83BEEB5B5A}" name="Column13246"/>
    <tableColumn id="13247" xr3:uid="{9AE4FCB5-3EE1-424F-ACAC-A0DCF1561E37}" name="Column13247"/>
    <tableColumn id="13248" xr3:uid="{C59154C4-6641-4D94-A365-4FCC7E0B528F}" name="Column13248"/>
    <tableColumn id="13249" xr3:uid="{AD41DFC3-5AC0-4F5B-A9E2-18B9A20E04EA}" name="Column13249"/>
    <tableColumn id="13250" xr3:uid="{1D60D94D-19A7-426F-AC6C-15A7176AF04C}" name="Column13250"/>
    <tableColumn id="13251" xr3:uid="{28DF3168-6952-435A-8DCC-DBFD6D3B39C8}" name="Column13251"/>
    <tableColumn id="13252" xr3:uid="{88528D85-54D1-449A-AB45-41188B55336B}" name="Column13252"/>
    <tableColumn id="13253" xr3:uid="{736B3A6C-6416-4867-AB1B-C87A720CED29}" name="Column13253"/>
    <tableColumn id="13254" xr3:uid="{0408CC94-0F71-4871-9E5E-BB904D52CE52}" name="Column13254"/>
    <tableColumn id="13255" xr3:uid="{DF3A10FA-0E9D-46C8-BF88-2A5261809CA2}" name="Column13255"/>
    <tableColumn id="13256" xr3:uid="{E2EA821F-16C4-4C13-8B89-DDFE4F80547E}" name="Column13256"/>
    <tableColumn id="13257" xr3:uid="{3098D8C2-554A-4910-B19B-39777E9A981D}" name="Column13257"/>
    <tableColumn id="13258" xr3:uid="{C7564902-A6E9-4182-8E72-44E18488BE37}" name="Column13258"/>
    <tableColumn id="13259" xr3:uid="{4554C2C1-8359-40CC-B5A2-3658699EC247}" name="Column13259"/>
    <tableColumn id="13260" xr3:uid="{B45324AD-D65E-4BD4-91D6-6B23468ABFF3}" name="Column13260"/>
    <tableColumn id="13261" xr3:uid="{E1EB6B53-A759-41A7-8AD6-6429734492EF}" name="Column13261"/>
    <tableColumn id="13262" xr3:uid="{A401331B-8C1B-40CF-877B-43DAF0C3A06F}" name="Column13262"/>
    <tableColumn id="13263" xr3:uid="{8C217EAB-BE14-4A62-9BED-880E8FF8BC88}" name="Column13263"/>
    <tableColumn id="13264" xr3:uid="{E9F975F0-F284-4491-A40A-DC483EA90775}" name="Column13264"/>
    <tableColumn id="13265" xr3:uid="{965E2E01-5A7F-454B-99FB-EBF3F82406F4}" name="Column13265"/>
    <tableColumn id="13266" xr3:uid="{F4834AFD-349D-40BD-A38B-B8442DB1E629}" name="Column13266"/>
    <tableColumn id="13267" xr3:uid="{0545F27F-0A1E-4698-AB18-7C6AB7F9225B}" name="Column13267"/>
    <tableColumn id="13268" xr3:uid="{9D50060D-5143-4442-982E-610289C531CE}" name="Column13268"/>
    <tableColumn id="13269" xr3:uid="{927C19F8-72A5-4365-99A3-81C137F43052}" name="Column13269"/>
    <tableColumn id="13270" xr3:uid="{0C999C06-C199-4485-AEC9-25793ADA677A}" name="Column13270"/>
    <tableColumn id="13271" xr3:uid="{889B73FF-1AE9-43FF-B078-3EC408DCB0CF}" name="Column13271"/>
    <tableColumn id="13272" xr3:uid="{E2E321D3-6DAE-44DB-8E4E-7B717D14AD1E}" name="Column13272"/>
    <tableColumn id="13273" xr3:uid="{6B0405EB-C418-4099-8CF4-23413D314CEA}" name="Column13273"/>
    <tableColumn id="13274" xr3:uid="{E73FA483-4844-4214-8772-059A0518A313}" name="Column13274"/>
    <tableColumn id="13275" xr3:uid="{3B14383C-F590-49C1-9C1E-692CBB1B29BA}" name="Column13275"/>
    <tableColumn id="13276" xr3:uid="{EE013DAA-F60E-4E7E-847D-5058DA472C58}" name="Column13276"/>
    <tableColumn id="13277" xr3:uid="{EA36F5E9-F80E-41A1-A99C-55EBE0553D8D}" name="Column13277"/>
    <tableColumn id="13278" xr3:uid="{F80B4C4C-449F-44BF-8437-856A609DAB96}" name="Column13278"/>
    <tableColumn id="13279" xr3:uid="{D6A63418-F6CF-4408-90D0-C17BCBC47CCA}" name="Column13279"/>
    <tableColumn id="13280" xr3:uid="{951205DB-D291-4E08-95A3-780AAB4B2A88}" name="Column13280"/>
    <tableColumn id="13281" xr3:uid="{679D5A6F-15C3-411C-B9F9-5C72E5C4E80A}" name="Column13281"/>
    <tableColumn id="13282" xr3:uid="{EC98E64E-FACD-459F-886C-FFD9726B757B}" name="Column13282"/>
    <tableColumn id="13283" xr3:uid="{7145CAFF-8442-4DA0-AA88-8DD69ED44E64}" name="Column13283"/>
    <tableColumn id="13284" xr3:uid="{80CFC4B1-42B1-4861-B637-86EC6E410B48}" name="Column13284"/>
    <tableColumn id="13285" xr3:uid="{78AF0DFA-E470-4AA6-825D-45E535D50472}" name="Column13285"/>
    <tableColumn id="13286" xr3:uid="{898EE80B-2C48-41E2-968C-99203CD747BC}" name="Column13286"/>
    <tableColumn id="13287" xr3:uid="{9069D827-924E-45CF-A820-7EE90934C8E7}" name="Column13287"/>
    <tableColumn id="13288" xr3:uid="{4B012FD4-1C77-4834-8C74-844F58852B59}" name="Column13288"/>
    <tableColumn id="13289" xr3:uid="{F1C84AD2-7BE7-432E-BFCB-6C5793F62171}" name="Column13289"/>
    <tableColumn id="13290" xr3:uid="{BDBE2229-E26E-45E4-A26F-945A106A624F}" name="Column13290"/>
    <tableColumn id="13291" xr3:uid="{4548EFFF-81E4-4D2C-BC65-4DA4836B6DCD}" name="Column13291"/>
    <tableColumn id="13292" xr3:uid="{CF822CF6-51D7-4CAA-BB86-EF92A3FD87F3}" name="Column13292"/>
    <tableColumn id="13293" xr3:uid="{27273326-E30A-4616-96BB-CC7141EB5E92}" name="Column13293"/>
    <tableColumn id="13294" xr3:uid="{CE6770EC-974B-408B-8FE4-A4432926E10C}" name="Column13294"/>
    <tableColumn id="13295" xr3:uid="{7C66A89D-7D7D-4FD9-B572-ABC28A84BB0A}" name="Column13295"/>
    <tableColumn id="13296" xr3:uid="{EE1E0C10-686E-45C9-808B-D83C18558EDE}" name="Column13296"/>
    <tableColumn id="13297" xr3:uid="{85CD0311-654E-4496-AF6B-41B00B2EDAEF}" name="Column13297"/>
    <tableColumn id="13298" xr3:uid="{C8846C79-FAF9-4039-A23A-22BA9579B9C8}" name="Column13298"/>
    <tableColumn id="13299" xr3:uid="{DCC58DD0-CA82-48E1-A6A6-CA4185F2751F}" name="Column13299"/>
    <tableColumn id="13300" xr3:uid="{7776BE6F-BA67-4603-889C-DB187BB02A1A}" name="Column13300"/>
    <tableColumn id="13301" xr3:uid="{7FCCF055-441E-49B7-AC45-5FA246788CEB}" name="Column13301"/>
    <tableColumn id="13302" xr3:uid="{CE9C9FE4-E6DB-453A-92FA-E317F8091477}" name="Column13302"/>
    <tableColumn id="13303" xr3:uid="{FDE71599-5324-40F5-B8B9-BC2FBA104D14}" name="Column13303"/>
    <tableColumn id="13304" xr3:uid="{687377EA-9808-4A2F-BBEC-B481A05B7416}" name="Column13304"/>
    <tableColumn id="13305" xr3:uid="{6AE7D481-3096-410F-A2D5-0E0E7F50C1D3}" name="Column13305"/>
    <tableColumn id="13306" xr3:uid="{F1F993A9-C21D-4A45-A563-9C147CF1DF12}" name="Column13306"/>
    <tableColumn id="13307" xr3:uid="{35362B75-5A52-49E2-B7DE-AAF06D13C223}" name="Column13307"/>
    <tableColumn id="13308" xr3:uid="{0FAE7A10-8911-49FC-B14B-3C15C6BB811F}" name="Column13308"/>
    <tableColumn id="13309" xr3:uid="{6CC7F18A-F052-4841-817F-BBB432C0BB28}" name="Column13309"/>
    <tableColumn id="13310" xr3:uid="{1E81DBCF-0999-4974-903D-97B1AD05C599}" name="Column13310"/>
    <tableColumn id="13311" xr3:uid="{A5BBB935-65BC-4E53-A3C9-7416CEF44F25}" name="Column13311"/>
    <tableColumn id="13312" xr3:uid="{1B50F77F-AE8C-410F-B5D6-399FAEC67CD4}" name="Column13312"/>
    <tableColumn id="13313" xr3:uid="{4B4B07BE-9C08-4B27-8D4A-CCFFEC3406F2}" name="Column13313"/>
    <tableColumn id="13314" xr3:uid="{0FFD3028-BCEA-4EF4-ACB9-A61ACABD0A63}" name="Column13314"/>
    <tableColumn id="13315" xr3:uid="{F8DEE930-9B7D-48CE-9CBD-86400FABD1C6}" name="Column13315"/>
    <tableColumn id="13316" xr3:uid="{B47CB34B-504B-49C8-8CE7-1C85F61A8DF3}" name="Column13316"/>
    <tableColumn id="13317" xr3:uid="{0CE8F252-6DCE-40A4-B466-9D705FDA7B05}" name="Column13317"/>
    <tableColumn id="13318" xr3:uid="{591B4CA7-4418-4E11-AF7F-3ED9849BE4A0}" name="Column13318"/>
    <tableColumn id="13319" xr3:uid="{12306BBA-56F0-421F-AC08-97EF124626FD}" name="Column13319"/>
    <tableColumn id="13320" xr3:uid="{A798AEA3-9257-4AAD-B35F-CEE707939D05}" name="Column13320"/>
    <tableColumn id="13321" xr3:uid="{BB4525E5-426E-43C7-9463-4A7D24BC1FBE}" name="Column13321"/>
    <tableColumn id="13322" xr3:uid="{04FC860D-9631-48BD-87B7-005D3342632E}" name="Column13322"/>
    <tableColumn id="13323" xr3:uid="{84C2315D-A8B3-44B0-826A-FA4C8EBD980E}" name="Column13323"/>
    <tableColumn id="13324" xr3:uid="{F5852DE8-77BA-4C3F-AE6A-217DD7B93090}" name="Column13324"/>
    <tableColumn id="13325" xr3:uid="{D67DAA5E-04F4-469C-B39E-6E7AB61E881C}" name="Column13325"/>
    <tableColumn id="13326" xr3:uid="{97D53888-6786-4CA6-9638-C509C40D41FA}" name="Column13326"/>
    <tableColumn id="13327" xr3:uid="{0887ADEB-4168-440B-9FF0-6AB1B5ECF388}" name="Column13327"/>
    <tableColumn id="13328" xr3:uid="{6FC0AF3B-5CFB-44F4-8D0C-43635E6ED5E6}" name="Column13328"/>
    <tableColumn id="13329" xr3:uid="{4F8035DD-A473-4498-A3E5-4479593E1892}" name="Column13329"/>
    <tableColumn id="13330" xr3:uid="{60299260-A12D-4BA0-B801-479B39C0BC6C}" name="Column13330"/>
    <tableColumn id="13331" xr3:uid="{3FED50AF-AC0D-4F93-BD26-B9A6AEE314F0}" name="Column13331"/>
    <tableColumn id="13332" xr3:uid="{56EB7F0E-AD45-486C-A4DB-42B124B7E55D}" name="Column13332"/>
    <tableColumn id="13333" xr3:uid="{A8FF8533-ECEE-477D-B7F2-6CBDC7A97457}" name="Column13333"/>
    <tableColumn id="13334" xr3:uid="{33A8BDCC-9C7D-4A93-A984-C0B4C48D45D2}" name="Column13334"/>
    <tableColumn id="13335" xr3:uid="{3AB9A12A-C3EC-4998-94B9-291C2617161D}" name="Column13335"/>
    <tableColumn id="13336" xr3:uid="{3D69614A-4594-4B44-9452-E3609118372C}" name="Column13336"/>
    <tableColumn id="13337" xr3:uid="{694AD34E-B6FE-4FC6-9389-25A844976EDC}" name="Column13337"/>
    <tableColumn id="13338" xr3:uid="{22AA4B56-4122-4CD1-A3BD-4699F6E0F0EA}" name="Column13338"/>
    <tableColumn id="13339" xr3:uid="{E1905781-04C1-402F-9ADF-16E92F3FCB83}" name="Column13339"/>
    <tableColumn id="13340" xr3:uid="{33C17B6F-794F-45AA-8E91-ED904E5A3061}" name="Column13340"/>
    <tableColumn id="13341" xr3:uid="{8754E1BC-27D1-4A0B-AB00-D05254B51DAB}" name="Column13341"/>
    <tableColumn id="13342" xr3:uid="{B47480CA-668E-4016-B63C-D45D5F72F728}" name="Column13342"/>
    <tableColumn id="13343" xr3:uid="{0C8E7A42-E028-4173-96B1-08F771A39A81}" name="Column13343"/>
    <tableColumn id="13344" xr3:uid="{056F9C8C-8896-401F-BC84-3C4D8CA0138D}" name="Column13344"/>
    <tableColumn id="13345" xr3:uid="{DB5CBF9F-C2C7-4060-88E8-36A355115F33}" name="Column13345"/>
    <tableColumn id="13346" xr3:uid="{119875CD-715B-462C-B638-BA6062EF0F02}" name="Column13346"/>
    <tableColumn id="13347" xr3:uid="{0D544125-2C18-4DB0-B567-A6104DDB1D23}" name="Column13347"/>
    <tableColumn id="13348" xr3:uid="{0B4A0B5C-96D6-4537-9B3E-97F23B33A56B}" name="Column13348"/>
    <tableColumn id="13349" xr3:uid="{BEA32FC6-9B22-4CD5-BD91-6AAFDBEFD963}" name="Column13349"/>
    <tableColumn id="13350" xr3:uid="{67E07C39-EB39-4DAC-A20B-FEFC131E6B74}" name="Column13350"/>
    <tableColumn id="13351" xr3:uid="{512F0BD2-D2F8-4E81-B4C3-2D4154E1CC39}" name="Column13351"/>
    <tableColumn id="13352" xr3:uid="{008055E1-8EFA-4E30-966B-E26F686A74AF}" name="Column13352"/>
    <tableColumn id="13353" xr3:uid="{47B740C5-7DC5-4A87-A18E-C16B60F7D7D0}" name="Column13353"/>
    <tableColumn id="13354" xr3:uid="{CC5AA502-F1D9-462D-B4AF-BEA64E984569}" name="Column13354"/>
    <tableColumn id="13355" xr3:uid="{D9E75BEE-91E9-4212-A636-0F2BCC02E642}" name="Column13355"/>
    <tableColumn id="13356" xr3:uid="{D2AC70C3-D6B7-449C-92A0-635E20009041}" name="Column13356"/>
    <tableColumn id="13357" xr3:uid="{FE3FC46F-8648-48D4-9927-86F4FF35A682}" name="Column13357"/>
    <tableColumn id="13358" xr3:uid="{4151EC58-7674-4BC6-892F-5BB7664D5D44}" name="Column13358"/>
    <tableColumn id="13359" xr3:uid="{F405D407-3FA7-4103-B48D-9DB0DDDA53A1}" name="Column13359"/>
    <tableColumn id="13360" xr3:uid="{2DC98043-C4DF-4EF7-A2D7-9E6C651733CC}" name="Column13360"/>
    <tableColumn id="13361" xr3:uid="{7A3ADD54-BA75-443D-872F-2A6DBBB77D48}" name="Column13361"/>
    <tableColumn id="13362" xr3:uid="{9E45574C-113D-4AC4-B67D-7C9F7191FDFD}" name="Column13362"/>
    <tableColumn id="13363" xr3:uid="{0FB413EC-5F14-4339-B18F-BF63757B4726}" name="Column13363"/>
    <tableColumn id="13364" xr3:uid="{6CE0AE20-B10F-4CE0-B6B5-76DCD7CA6F27}" name="Column13364"/>
    <tableColumn id="13365" xr3:uid="{94D7488F-9114-4192-8E2A-99D0590098B6}" name="Column13365"/>
    <tableColumn id="13366" xr3:uid="{96F06838-85B9-4761-9A13-BC2A4D6E16B7}" name="Column13366"/>
    <tableColumn id="13367" xr3:uid="{FE4741DB-9603-456D-AAC0-47DEEB7FA633}" name="Column13367"/>
    <tableColumn id="13368" xr3:uid="{0D2ABF36-0E0E-42AA-8D72-E0C3210AC237}" name="Column13368"/>
    <tableColumn id="13369" xr3:uid="{65584992-4BE8-4159-8FA1-8318288B5B08}" name="Column13369"/>
    <tableColumn id="13370" xr3:uid="{46D27C9B-9279-415B-AFB6-0A0F4EA8F94C}" name="Column13370"/>
    <tableColumn id="13371" xr3:uid="{47C9C55E-E3D6-4B47-B20C-37B6552AA5D6}" name="Column13371"/>
    <tableColumn id="13372" xr3:uid="{23623E13-F737-4CD4-A71D-AE40F6C073BC}" name="Column13372"/>
    <tableColumn id="13373" xr3:uid="{426E4F7B-36CC-4C43-8D16-4BEBC905E44F}" name="Column13373"/>
    <tableColumn id="13374" xr3:uid="{847D2425-3129-4F07-BF97-C5B46A914F51}" name="Column13374"/>
    <tableColumn id="13375" xr3:uid="{03CCC81B-5683-4D61-A6E7-8E2744FA6968}" name="Column13375"/>
    <tableColumn id="13376" xr3:uid="{094FB13E-2F09-48F8-8EB7-9CEC3206B237}" name="Column13376"/>
    <tableColumn id="13377" xr3:uid="{BA66E436-4C2D-4C06-81B0-9B3FC5463041}" name="Column13377"/>
    <tableColumn id="13378" xr3:uid="{F81F0853-87CC-41D6-8675-7F36002B2748}" name="Column13378"/>
    <tableColumn id="13379" xr3:uid="{C9343393-241A-4CBC-B06D-84036CA6F94A}" name="Column13379"/>
    <tableColumn id="13380" xr3:uid="{4107C233-CA0D-44FE-9880-69210E520799}" name="Column13380"/>
    <tableColumn id="13381" xr3:uid="{551D6538-3A0B-4346-B389-7B0349B55428}" name="Column13381"/>
    <tableColumn id="13382" xr3:uid="{FC208EFC-98D9-4BBA-A5F2-B306E5477454}" name="Column13382"/>
    <tableColumn id="13383" xr3:uid="{CCA223AA-FFC8-4367-B5C9-FA92F10A91C3}" name="Column13383"/>
    <tableColumn id="13384" xr3:uid="{35A88766-0703-4E65-9822-EF3C468AE854}" name="Column13384"/>
    <tableColumn id="13385" xr3:uid="{EF7CB399-037B-4531-A376-EA6B0A362DE3}" name="Column13385"/>
    <tableColumn id="13386" xr3:uid="{5B333DEE-4940-4C78-9CF6-6A554F8FF163}" name="Column13386"/>
    <tableColumn id="13387" xr3:uid="{4EACAA8E-5DE4-42A3-AF94-71201C5F60AA}" name="Column13387"/>
    <tableColumn id="13388" xr3:uid="{0BAAC391-A0A1-403F-8E36-5717532EA7DF}" name="Column13388"/>
    <tableColumn id="13389" xr3:uid="{50D8F57D-2CD8-4B74-BBC6-9067514CFEEB}" name="Column13389"/>
    <tableColumn id="13390" xr3:uid="{409430E5-9E38-4AFF-9CF7-CC2CE4D35641}" name="Column13390"/>
    <tableColumn id="13391" xr3:uid="{42062D7C-242C-4CDE-A67F-74ECFEB093D1}" name="Column13391"/>
    <tableColumn id="13392" xr3:uid="{8672AB47-F92C-4686-AB8A-D32E032673D8}" name="Column13392"/>
    <tableColumn id="13393" xr3:uid="{E96D38F3-DD06-4E4A-904D-CFDC0E409A25}" name="Column13393"/>
    <tableColumn id="13394" xr3:uid="{2A4AD2CB-0D1C-4B74-9174-201102E1BDB6}" name="Column13394"/>
    <tableColumn id="13395" xr3:uid="{E4794097-2624-4CD7-923B-DEDA57CBE4E1}" name="Column13395"/>
    <tableColumn id="13396" xr3:uid="{4659FE7B-AFC5-45F8-B1EC-427040607133}" name="Column13396"/>
    <tableColumn id="13397" xr3:uid="{A5CA67B3-2A9D-4E33-BB9D-DD43D533DEEF}" name="Column13397"/>
    <tableColumn id="13398" xr3:uid="{4E58AF42-B309-426D-808F-53959829C457}" name="Column13398"/>
    <tableColumn id="13399" xr3:uid="{773A9C27-AE1A-4204-AA29-F7A73C6F1FB8}" name="Column13399"/>
    <tableColumn id="13400" xr3:uid="{B11686EA-E5F2-48C2-B999-80D961A7F7DD}" name="Column13400"/>
    <tableColumn id="13401" xr3:uid="{AE79E670-4638-4B97-9E02-7498823AB0F1}" name="Column13401"/>
    <tableColumn id="13402" xr3:uid="{0F95EEAD-0F8D-4569-ACD6-D551C23F81D9}" name="Column13402"/>
    <tableColumn id="13403" xr3:uid="{DBF633BF-C368-4140-B703-F57494444B2F}" name="Column13403"/>
    <tableColumn id="13404" xr3:uid="{839099FD-4F74-42B6-9F25-B22A4383EA87}" name="Column13404"/>
    <tableColumn id="13405" xr3:uid="{A22CF28F-5A2B-41C7-AFD9-8629161028F4}" name="Column13405"/>
    <tableColumn id="13406" xr3:uid="{55C1FCE6-8E66-4981-BC83-A0BB82AE712A}" name="Column13406"/>
    <tableColumn id="13407" xr3:uid="{87D52C88-F5C1-4293-A5BA-CFE46E17E619}" name="Column13407"/>
    <tableColumn id="13408" xr3:uid="{ECF61060-2C26-4518-82DC-CCDC8240ECFE}" name="Column13408"/>
    <tableColumn id="13409" xr3:uid="{18FE1E03-9844-4E14-9AC9-08E054B77571}" name="Column13409"/>
    <tableColumn id="13410" xr3:uid="{079FBB72-6285-43F4-B293-2523487D9C2B}" name="Column13410"/>
    <tableColumn id="13411" xr3:uid="{02F590CE-C2A4-4E7C-A985-0869BB52E4F1}" name="Column13411"/>
    <tableColumn id="13412" xr3:uid="{DEC4C5CD-F343-45E7-B322-13BF153286AB}" name="Column13412"/>
    <tableColumn id="13413" xr3:uid="{357EAE56-F198-43E1-B45C-37F48C15F3CB}" name="Column13413"/>
    <tableColumn id="13414" xr3:uid="{E319FE3D-386C-4B89-99C8-9504DC1E2EBC}" name="Column13414"/>
    <tableColumn id="13415" xr3:uid="{B4ACC91A-6B06-4C76-AC7B-9308B8E9988A}" name="Column13415"/>
    <tableColumn id="13416" xr3:uid="{B0C046E3-0D97-4DE3-8148-52099E94427D}" name="Column13416"/>
    <tableColumn id="13417" xr3:uid="{E69228AD-0425-4022-BBD0-AE1E10C0F662}" name="Column13417"/>
    <tableColumn id="13418" xr3:uid="{A324CF19-5EBD-4E37-BC45-94B4FCA03D84}" name="Column13418"/>
    <tableColumn id="13419" xr3:uid="{1DC110A5-7D40-4345-A674-977297389419}" name="Column13419"/>
    <tableColumn id="13420" xr3:uid="{1B9E18EE-6696-48B8-B46F-4FA58B5DAE24}" name="Column13420"/>
    <tableColumn id="13421" xr3:uid="{8BEECC44-FDE7-47BD-A524-37EDD5A145D7}" name="Column13421"/>
    <tableColumn id="13422" xr3:uid="{476E0033-EF36-412B-A9B6-E9049D87C1F9}" name="Column13422"/>
    <tableColumn id="13423" xr3:uid="{808811F3-57BB-401F-8FD4-45C463054C08}" name="Column13423"/>
    <tableColumn id="13424" xr3:uid="{846427CB-34BE-4030-8B27-1C899791A1FB}" name="Column13424"/>
    <tableColumn id="13425" xr3:uid="{984EA408-84A3-4B6F-A4D5-5BDFAC1DC881}" name="Column13425"/>
    <tableColumn id="13426" xr3:uid="{8BC753D6-D8BA-4DCF-AD15-A906E968EF31}" name="Column13426"/>
    <tableColumn id="13427" xr3:uid="{FFFE6059-BE5E-4A95-9906-D5DD85D71D89}" name="Column13427"/>
    <tableColumn id="13428" xr3:uid="{924CF5E7-DC89-4847-B38A-8415E4473AF4}" name="Column13428"/>
    <tableColumn id="13429" xr3:uid="{AF6D2CF6-C414-4EDC-906D-3620E1FC3743}" name="Column13429"/>
    <tableColumn id="13430" xr3:uid="{9DF589A5-F139-461C-9382-FCC33D118930}" name="Column13430"/>
    <tableColumn id="13431" xr3:uid="{6643CD03-9087-4C3B-95ED-8C1E466403A0}" name="Column13431"/>
    <tableColumn id="13432" xr3:uid="{D6BC7C18-8061-4C7A-AF45-CC32F27B044B}" name="Column13432"/>
    <tableColumn id="13433" xr3:uid="{F450D8B4-00B0-41D6-9ECA-2C5F5F5ECA58}" name="Column13433"/>
    <tableColumn id="13434" xr3:uid="{CBBC9996-E0F8-4491-924E-FEA3AFE6F026}" name="Column13434"/>
    <tableColumn id="13435" xr3:uid="{F2BB8B5F-725A-45D0-B3A6-61B82BA54454}" name="Column13435"/>
    <tableColumn id="13436" xr3:uid="{266E5B8C-6CAE-4D92-B83F-2135285D026C}" name="Column13436"/>
    <tableColumn id="13437" xr3:uid="{89897355-853A-467B-8FD4-F856415204B9}" name="Column13437"/>
    <tableColumn id="13438" xr3:uid="{3C815DCC-F6B0-4FAF-84CD-F2BFA4C3905E}" name="Column13438"/>
    <tableColumn id="13439" xr3:uid="{6FFD7E23-856F-48C8-8B72-B70EC00F3A87}" name="Column13439"/>
    <tableColumn id="13440" xr3:uid="{DD1D5ECD-19DA-42BA-B888-0F0D973EE2DE}" name="Column13440"/>
    <tableColumn id="13441" xr3:uid="{E262AC3A-9332-49F4-86C4-689A8B769EC4}" name="Column13441"/>
    <tableColumn id="13442" xr3:uid="{5DD11DCA-3088-4B59-8CF3-C975415C6B37}" name="Column13442"/>
    <tableColumn id="13443" xr3:uid="{AD537C4F-3681-499E-A659-7FAC968714AA}" name="Column13443"/>
    <tableColumn id="13444" xr3:uid="{DD22A872-AC4B-4DCE-870F-760552326EF9}" name="Column13444"/>
    <tableColumn id="13445" xr3:uid="{16EC6715-665F-420A-80F3-D619CFA359F0}" name="Column13445"/>
    <tableColumn id="13446" xr3:uid="{9405535D-845A-4BD0-911A-200D5B861139}" name="Column13446"/>
    <tableColumn id="13447" xr3:uid="{BFF968F7-8077-47BF-8390-22CE8A334402}" name="Column13447"/>
    <tableColumn id="13448" xr3:uid="{9DBAC932-EF3A-463B-9D27-593AE0A84778}" name="Column13448"/>
    <tableColumn id="13449" xr3:uid="{0F59FA34-EA0D-4A69-8A33-F2AFFB6A0D2C}" name="Column13449"/>
    <tableColumn id="13450" xr3:uid="{84555D51-411D-44E5-8AA8-D1795AA7B89B}" name="Column13450"/>
    <tableColumn id="13451" xr3:uid="{2FEC6BE6-4ABB-4D3A-B124-9A74977317B0}" name="Column13451"/>
    <tableColumn id="13452" xr3:uid="{E13EAD18-81C4-4C9C-A846-DA728F75F415}" name="Column13452"/>
    <tableColumn id="13453" xr3:uid="{9A6E939E-52E3-443F-8606-23D31AB03CAC}" name="Column13453"/>
    <tableColumn id="13454" xr3:uid="{CE08766E-9363-4FE9-AA66-51CF6C22E6F2}" name="Column13454"/>
    <tableColumn id="13455" xr3:uid="{1F621762-5E51-470D-8087-74FE71076E74}" name="Column13455"/>
    <tableColumn id="13456" xr3:uid="{42AD9825-A98B-48FC-BAFA-0FD8063D4A35}" name="Column13456"/>
    <tableColumn id="13457" xr3:uid="{E27C09D6-1FDF-43FD-A979-7DFABB21EABC}" name="Column13457"/>
    <tableColumn id="13458" xr3:uid="{3D43D669-CDD0-46C7-ADBA-95995A7407E5}" name="Column13458"/>
    <tableColumn id="13459" xr3:uid="{3286E36B-73EF-43A2-A6D3-8F0594EA7CB1}" name="Column13459"/>
    <tableColumn id="13460" xr3:uid="{073C50D8-D6B8-4A9A-B5B3-E0881E986219}" name="Column13460"/>
    <tableColumn id="13461" xr3:uid="{6A3E4AA3-424E-44C4-8134-890BC6F31858}" name="Column13461"/>
    <tableColumn id="13462" xr3:uid="{C8D3E6B9-F39A-4106-A5A2-C1C40698190D}" name="Column13462"/>
    <tableColumn id="13463" xr3:uid="{6A4403CE-0596-4DCE-91E8-CEA0D86CD4E5}" name="Column13463"/>
    <tableColumn id="13464" xr3:uid="{E1DABB32-A5BD-408E-8AF2-FE1C1618FB77}" name="Column13464"/>
    <tableColumn id="13465" xr3:uid="{4A13E973-243E-494C-B1C8-0055C44C588E}" name="Column13465"/>
    <tableColumn id="13466" xr3:uid="{3698BBDB-57D2-47FC-8EAB-A8F9F258DBC8}" name="Column13466"/>
    <tableColumn id="13467" xr3:uid="{67CA86D9-FE7F-42BC-9D75-BF70CB7CA63C}" name="Column13467"/>
    <tableColumn id="13468" xr3:uid="{097AC4B6-C6E7-42DD-A7CC-9840872D23F2}" name="Column13468"/>
    <tableColumn id="13469" xr3:uid="{8CC83D86-596D-48E2-9751-BCC4DB90DC46}" name="Column13469"/>
    <tableColumn id="13470" xr3:uid="{1E6C771A-53DA-42E7-8A7C-91A40924BCC6}" name="Column13470"/>
    <tableColumn id="13471" xr3:uid="{38B885FA-59BB-4EC8-86D7-8F3415A1FEBE}" name="Column13471"/>
    <tableColumn id="13472" xr3:uid="{65B14117-989F-43EE-AD86-7BDC2CC306E3}" name="Column13472"/>
    <tableColumn id="13473" xr3:uid="{AC5C7637-ED3D-48C4-A564-F6340E89489A}" name="Column13473"/>
    <tableColumn id="13474" xr3:uid="{8E0E75C6-0FD2-4A8B-B69A-7880C9C90D54}" name="Column13474"/>
    <tableColumn id="13475" xr3:uid="{32484B13-73CE-4EF0-95CD-B8037E75AADC}" name="Column13475"/>
    <tableColumn id="13476" xr3:uid="{CBB45540-0FE3-4051-A27F-0FAD76EEC073}" name="Column13476"/>
    <tableColumn id="13477" xr3:uid="{E52AFF3E-5403-4F52-B4E9-C1429B1ACCC7}" name="Column13477"/>
    <tableColumn id="13478" xr3:uid="{6C7F191C-3C43-4C04-A238-30BA48291D57}" name="Column13478"/>
    <tableColumn id="13479" xr3:uid="{C82EB949-8BB2-427D-AB74-27C4D0058CF0}" name="Column13479"/>
    <tableColumn id="13480" xr3:uid="{51C23A56-BBEC-41CA-9C18-A31CF9292D1F}" name="Column13480"/>
    <tableColumn id="13481" xr3:uid="{F15E38F2-B4C0-4CF3-8FCC-844367526317}" name="Column13481"/>
    <tableColumn id="13482" xr3:uid="{99882917-AF2D-4D0B-BAF2-C075C0B9331E}" name="Column13482"/>
    <tableColumn id="13483" xr3:uid="{1BC2F22E-D99B-4E4D-BCF5-1B8C96D5E130}" name="Column13483"/>
    <tableColumn id="13484" xr3:uid="{9A1AE2A8-EBDC-4AC7-AF9F-A042B1CAC895}" name="Column13484"/>
    <tableColumn id="13485" xr3:uid="{7D420919-CAC2-4CED-9BE6-A5426F49C5DF}" name="Column13485"/>
    <tableColumn id="13486" xr3:uid="{81253C80-553D-479A-8D7B-33A7CE734C5B}" name="Column13486"/>
    <tableColumn id="13487" xr3:uid="{036E1C28-8524-4015-9EB4-508A11CD955A}" name="Column13487"/>
    <tableColumn id="13488" xr3:uid="{DD4F9AC6-4442-424F-9613-82A3E84B8632}" name="Column13488"/>
    <tableColumn id="13489" xr3:uid="{3AA64499-54EF-48E7-BB31-B20B750AF55B}" name="Column13489"/>
    <tableColumn id="13490" xr3:uid="{A395CF7E-8CB0-4523-B226-717300BA4482}" name="Column13490"/>
    <tableColumn id="13491" xr3:uid="{161A0D78-84CB-4F5A-BBD8-29A9D007951F}" name="Column13491"/>
    <tableColumn id="13492" xr3:uid="{368F069F-5CC4-4975-8371-C2F27C9B14FE}" name="Column13492"/>
    <tableColumn id="13493" xr3:uid="{7C1A2531-BCF9-438B-B026-31C21F261EB8}" name="Column13493"/>
    <tableColumn id="13494" xr3:uid="{8BF1C576-9500-4B10-9D81-56A4C005A9B7}" name="Column13494"/>
    <tableColumn id="13495" xr3:uid="{0C64CE68-5842-488C-B592-E1D18E3C9A87}" name="Column13495"/>
    <tableColumn id="13496" xr3:uid="{62C2105E-8A71-4AED-8B56-5A6F085A7F14}" name="Column13496"/>
    <tableColumn id="13497" xr3:uid="{A99D6766-EFB5-48B8-95DA-1D049DCAFB0E}" name="Column13497"/>
    <tableColumn id="13498" xr3:uid="{C904C3D1-127F-46B9-B615-AD023E2EA18D}" name="Column13498"/>
    <tableColumn id="13499" xr3:uid="{FF4B965A-03A6-4EF1-87ED-B35A99FC369C}" name="Column13499"/>
    <tableColumn id="13500" xr3:uid="{8886DF83-CA65-42FF-AF99-1FEFE7CE3E9C}" name="Column13500"/>
    <tableColumn id="13501" xr3:uid="{692FAEEA-9DA2-4EA8-9F95-3DFB25513322}" name="Column13501"/>
    <tableColumn id="13502" xr3:uid="{A6EF7322-EF17-44EC-888A-2993461148A4}" name="Column13502"/>
    <tableColumn id="13503" xr3:uid="{550FE491-2BDE-47EA-8A3E-909C95973133}" name="Column13503"/>
    <tableColumn id="13504" xr3:uid="{2792F7B7-6231-4E05-B464-384A7707FDBC}" name="Column13504"/>
    <tableColumn id="13505" xr3:uid="{8EC1C572-AD92-4688-9766-E2C6B4E55DF4}" name="Column13505"/>
    <tableColumn id="13506" xr3:uid="{A4996AB4-852B-416E-BA43-8625411B14ED}" name="Column13506"/>
    <tableColumn id="13507" xr3:uid="{0A668EAE-18ED-4CD5-8A56-BB0273923940}" name="Column13507"/>
    <tableColumn id="13508" xr3:uid="{8E01A9F7-B841-467F-98CF-5DB583DEB4DE}" name="Column13508"/>
    <tableColumn id="13509" xr3:uid="{A1417E93-CF0B-46B2-BA1A-A70A793C5B3C}" name="Column13509"/>
    <tableColumn id="13510" xr3:uid="{58BE2298-73A4-4AF9-AE83-CBF8400A5082}" name="Column13510"/>
    <tableColumn id="13511" xr3:uid="{7FF410D9-523D-4B97-81CD-126FE331D15B}" name="Column13511"/>
    <tableColumn id="13512" xr3:uid="{5FEC0542-BA2D-4684-BE40-D32F4F8F4CFA}" name="Column13512"/>
    <tableColumn id="13513" xr3:uid="{4DA78559-F36F-421A-AAEE-0F7551A926D4}" name="Column13513"/>
    <tableColumn id="13514" xr3:uid="{401D5B8F-C665-40F0-9E48-73F0C34F4FFC}" name="Column13514"/>
    <tableColumn id="13515" xr3:uid="{FFAEB977-00F8-41C3-A52F-8A4AEADD1962}" name="Column13515"/>
    <tableColumn id="13516" xr3:uid="{962C85A9-4341-4004-B8AC-7C8F36102026}" name="Column13516"/>
    <tableColumn id="13517" xr3:uid="{DDAD403D-98A8-4247-B86A-5321F03F8A3B}" name="Column13517"/>
    <tableColumn id="13518" xr3:uid="{C021A27A-1504-499B-AACF-D2D23D209D14}" name="Column13518"/>
    <tableColumn id="13519" xr3:uid="{A8623EA5-1B9E-4582-93A0-541E9C6BD2C0}" name="Column13519"/>
    <tableColumn id="13520" xr3:uid="{D5EF5C1F-F2EE-41A5-AC98-FF342B7D8ABF}" name="Column13520"/>
    <tableColumn id="13521" xr3:uid="{18F369B5-11FD-4153-9869-42D9B5FF977B}" name="Column13521"/>
    <tableColumn id="13522" xr3:uid="{BF770BCA-D3A9-44A9-A06D-9B19E7F64654}" name="Column13522"/>
    <tableColumn id="13523" xr3:uid="{ECD2398A-4490-405E-BA12-BEB98E716BFA}" name="Column13523"/>
    <tableColumn id="13524" xr3:uid="{4B77F3E2-D890-4F58-A588-1F92D66BE389}" name="Column13524"/>
    <tableColumn id="13525" xr3:uid="{7AA5CCA9-0984-4C3D-ADA0-6C29C4F4F823}" name="Column13525"/>
    <tableColumn id="13526" xr3:uid="{8BF73AFB-9C3C-4629-A77B-91416A8F7104}" name="Column13526"/>
    <tableColumn id="13527" xr3:uid="{2FF69955-7AE2-4924-A18F-E64FA6BB6B9A}" name="Column13527"/>
    <tableColumn id="13528" xr3:uid="{B6F7FC65-9A2E-49BA-B9B2-410C03AD5DEF}" name="Column13528"/>
    <tableColumn id="13529" xr3:uid="{6ECE77D2-F408-4D89-93AD-0FE1D8008336}" name="Column13529"/>
    <tableColumn id="13530" xr3:uid="{B4B85E53-BDBC-40F8-B45C-EE672DBD2FFF}" name="Column13530"/>
    <tableColumn id="13531" xr3:uid="{652C3774-CF14-42BD-91C3-D1DF4F0687E9}" name="Column13531"/>
    <tableColumn id="13532" xr3:uid="{18320335-E5C4-43CF-AC30-92F9E7A63B0E}" name="Column13532"/>
    <tableColumn id="13533" xr3:uid="{2067B9DF-2035-422D-974A-B359791C42BE}" name="Column13533"/>
    <tableColumn id="13534" xr3:uid="{E1D1180B-3EE9-44DA-971E-6865E2748CCE}" name="Column13534"/>
    <tableColumn id="13535" xr3:uid="{00835B2D-EC7D-44AE-BB19-89C70DA7BCBA}" name="Column13535"/>
    <tableColumn id="13536" xr3:uid="{9F42C70B-A5D8-4E25-9FCE-CDAC06F9D72E}" name="Column13536"/>
    <tableColumn id="13537" xr3:uid="{949F36AD-3358-4680-97B2-C5210FB7BBCB}" name="Column13537"/>
    <tableColumn id="13538" xr3:uid="{5E3A1D0F-6EC5-4438-97E1-371E9402E2A0}" name="Column13538"/>
    <tableColumn id="13539" xr3:uid="{2BF33C5A-D94C-4279-9458-4DBEC7AA2121}" name="Column13539"/>
    <tableColumn id="13540" xr3:uid="{D3059511-B69F-480A-979D-ECDE431DBA5F}" name="Column13540"/>
    <tableColumn id="13541" xr3:uid="{29559FA8-729F-44D9-A657-FDA2AEEC450B}" name="Column13541"/>
    <tableColumn id="13542" xr3:uid="{1125399D-F094-48DA-AFB1-C5454305BDF7}" name="Column13542"/>
    <tableColumn id="13543" xr3:uid="{F9ABF88E-BC2A-402D-B1A9-118495506E3F}" name="Column13543"/>
    <tableColumn id="13544" xr3:uid="{AD921687-454A-46E9-9CBE-87C21C8246B7}" name="Column13544"/>
    <tableColumn id="13545" xr3:uid="{AFC83004-EACE-45A5-9CF3-C69DBFA47819}" name="Column13545"/>
    <tableColumn id="13546" xr3:uid="{89220EB9-E521-413F-89BA-BFED1883EAFC}" name="Column13546"/>
    <tableColumn id="13547" xr3:uid="{C6149116-8B2F-4FDE-8308-6C9952858F82}" name="Column13547"/>
    <tableColumn id="13548" xr3:uid="{7F4EC6F9-D35A-4B52-9AAE-9B79B34A877E}" name="Column13548"/>
    <tableColumn id="13549" xr3:uid="{28DE0480-8894-4816-8184-59E9823660F3}" name="Column13549"/>
    <tableColumn id="13550" xr3:uid="{E8BCFF0A-0158-404F-8F0F-1C43AC994FB9}" name="Column13550"/>
    <tableColumn id="13551" xr3:uid="{3F9C7AEF-C7CF-4EE1-AD6C-8DC17F4931A2}" name="Column13551"/>
    <tableColumn id="13552" xr3:uid="{2A09057D-F541-404F-BB75-EB5F2A515D27}" name="Column13552"/>
    <tableColumn id="13553" xr3:uid="{AD68B9F8-09D0-4F1A-A693-72B2443EF799}" name="Column13553"/>
    <tableColumn id="13554" xr3:uid="{B1A57B8A-93A1-4CA6-8680-D8216833403E}" name="Column13554"/>
    <tableColumn id="13555" xr3:uid="{88F46EEA-2298-4407-82ED-6D873319BADE}" name="Column13555"/>
    <tableColumn id="13556" xr3:uid="{FA912751-4670-4C7A-9279-52F812A52002}" name="Column13556"/>
    <tableColumn id="13557" xr3:uid="{05E70008-6A2B-4D7E-84F9-BE1CE48EC5EE}" name="Column13557"/>
    <tableColumn id="13558" xr3:uid="{54D820C9-3939-4F4F-A483-EB60E7D03930}" name="Column13558"/>
    <tableColumn id="13559" xr3:uid="{28DDD0A7-1696-4E49-AF59-D84BB1CA6848}" name="Column13559"/>
    <tableColumn id="13560" xr3:uid="{6BB1FE20-F9D1-4100-B627-064FACAFAC00}" name="Column13560"/>
    <tableColumn id="13561" xr3:uid="{921A9964-E96F-4054-A174-CA39728254FB}" name="Column13561"/>
    <tableColumn id="13562" xr3:uid="{D3CE25EF-0772-424A-9B75-8643E5DD6413}" name="Column13562"/>
    <tableColumn id="13563" xr3:uid="{403E9444-E387-4938-9DD3-AA999AFEEC0E}" name="Column13563"/>
    <tableColumn id="13564" xr3:uid="{F7BE9340-7733-4C14-855D-77591CEAD29C}" name="Column13564"/>
    <tableColumn id="13565" xr3:uid="{F5FD95FB-C55C-4DA1-9C8C-7EEE1744250B}" name="Column13565"/>
    <tableColumn id="13566" xr3:uid="{0D06EA7E-307E-4847-BC51-2984C21F12F9}" name="Column13566"/>
    <tableColumn id="13567" xr3:uid="{060C0608-9017-4D45-BCC7-9E3923AD1EC3}" name="Column13567"/>
    <tableColumn id="13568" xr3:uid="{DF0739CA-E5C6-428D-BCAE-12993BD879B7}" name="Column13568"/>
    <tableColumn id="13569" xr3:uid="{204CA379-DAF0-47DB-8E47-776DB72CFA4B}" name="Column13569"/>
    <tableColumn id="13570" xr3:uid="{CB3FBE62-2080-40AD-A538-40D1F53219C5}" name="Column13570"/>
    <tableColumn id="13571" xr3:uid="{6D6BA93E-F5A0-42CA-9E61-4735DF87EB0C}" name="Column13571"/>
    <tableColumn id="13572" xr3:uid="{F105BFF1-2A9F-4803-8153-A148F24404E1}" name="Column13572"/>
    <tableColumn id="13573" xr3:uid="{13A80871-C25C-4A22-AADA-53CC7E03C813}" name="Column13573"/>
    <tableColumn id="13574" xr3:uid="{16162093-25CC-4BFC-846E-D154ED2B1ED1}" name="Column13574"/>
    <tableColumn id="13575" xr3:uid="{BA2B965F-0535-4298-8AB4-8FD085AE5CEC}" name="Column13575"/>
    <tableColumn id="13576" xr3:uid="{A7BCEAFC-5660-4D5D-9DE0-B54ECE223C7F}" name="Column13576"/>
    <tableColumn id="13577" xr3:uid="{00E85951-BA2C-4BF8-892D-DFBD5096603F}" name="Column13577"/>
    <tableColumn id="13578" xr3:uid="{8FC1F7F3-B7DC-4D38-AF67-E15FFB27A4E4}" name="Column13578"/>
    <tableColumn id="13579" xr3:uid="{956B57FB-60F5-48FD-B923-B56526562F71}" name="Column13579"/>
    <tableColumn id="13580" xr3:uid="{05D2CBD3-209A-48D9-95DD-E426B0DDD661}" name="Column13580"/>
    <tableColumn id="13581" xr3:uid="{BAFF1673-9945-49D0-84E8-57A29C815ECA}" name="Column13581"/>
    <tableColumn id="13582" xr3:uid="{C2635746-B398-4165-8999-CC9F6DE276BD}" name="Column13582"/>
    <tableColumn id="13583" xr3:uid="{20FFF0E6-8E6C-4006-8BB1-BE62B37C6592}" name="Column13583"/>
    <tableColumn id="13584" xr3:uid="{D8343E6C-8AE2-4672-A893-C2FA2D8C02D7}" name="Column13584"/>
    <tableColumn id="13585" xr3:uid="{64F348CE-C05F-4EE6-8B52-DF16D67B9888}" name="Column13585"/>
    <tableColumn id="13586" xr3:uid="{464B858B-1A55-42A6-B723-1C82CFCC0512}" name="Column13586"/>
    <tableColumn id="13587" xr3:uid="{DAB6A50B-B210-414F-8335-C460877DEF9C}" name="Column13587"/>
    <tableColumn id="13588" xr3:uid="{102C7CAA-836E-4323-8CE9-B5F595238BD4}" name="Column13588"/>
    <tableColumn id="13589" xr3:uid="{6C8AE1E5-F95B-4938-BD73-EA891132591A}" name="Column13589"/>
    <tableColumn id="13590" xr3:uid="{6E6E075E-84A9-4B8F-A79C-ADE6EEA1BD0E}" name="Column13590"/>
    <tableColumn id="13591" xr3:uid="{7A00D6EF-F88E-4B09-A3AC-BC3F236959B5}" name="Column13591"/>
    <tableColumn id="13592" xr3:uid="{2DCDB39A-75F9-4406-AAC4-7E1FD4AA3169}" name="Column13592"/>
    <tableColumn id="13593" xr3:uid="{62E1A27D-9C42-45D6-8E01-7DF499084C8B}" name="Column13593"/>
    <tableColumn id="13594" xr3:uid="{46B228A4-6BB4-4820-8BE9-68D66812DE09}" name="Column13594"/>
    <tableColumn id="13595" xr3:uid="{C0A89881-AA34-40CF-9432-D59FF37A1D46}" name="Column13595"/>
    <tableColumn id="13596" xr3:uid="{D6EEAF96-818D-4BD1-972E-B05D0CF0E2AC}" name="Column13596"/>
    <tableColumn id="13597" xr3:uid="{F667256D-1AC9-42AD-A5E1-BA7CC23FCC1D}" name="Column13597"/>
    <tableColumn id="13598" xr3:uid="{48D72A09-2CFA-4767-8D09-43BED24DE1B0}" name="Column13598"/>
    <tableColumn id="13599" xr3:uid="{2A324259-9479-4408-A818-D8BABA77FB28}" name="Column13599"/>
    <tableColumn id="13600" xr3:uid="{754FC790-1F3E-4035-8B17-EC3D9595B00E}" name="Column13600"/>
    <tableColumn id="13601" xr3:uid="{827509EB-DDBC-43A4-B6B5-7B10A2D6B15A}" name="Column13601"/>
    <tableColumn id="13602" xr3:uid="{D1FEAFC3-88FC-4F16-B945-1915276EACF6}" name="Column13602"/>
    <tableColumn id="13603" xr3:uid="{79F1590A-3DF7-4550-8BE7-6ACC50775961}" name="Column13603"/>
    <tableColumn id="13604" xr3:uid="{0B11F0FB-461B-454E-9F97-6D7976CFBC45}" name="Column13604"/>
    <tableColumn id="13605" xr3:uid="{2CCBAACD-B627-45C7-9221-05A6FA1A0EEA}" name="Column13605"/>
    <tableColumn id="13606" xr3:uid="{2788D26F-C226-4FF4-AA48-1673E781A589}" name="Column13606"/>
    <tableColumn id="13607" xr3:uid="{C9172773-B36C-48D8-86FA-12D50B6410A1}" name="Column13607"/>
    <tableColumn id="13608" xr3:uid="{51139E31-3A0E-4653-B901-0150AF663422}" name="Column13608"/>
    <tableColumn id="13609" xr3:uid="{8420DF31-C4DC-406D-8E59-279F1A64D480}" name="Column13609"/>
    <tableColumn id="13610" xr3:uid="{C1102E30-5989-4FA6-AD7B-0712F2E35890}" name="Column13610"/>
    <tableColumn id="13611" xr3:uid="{79FEF09E-8BE2-4995-9D0B-8DE5208B331C}" name="Column13611"/>
    <tableColumn id="13612" xr3:uid="{149EC6B4-A25D-4048-BA95-6FA5929F7F22}" name="Column13612"/>
    <tableColumn id="13613" xr3:uid="{E890A712-2BD7-41A2-B104-713BBCC8A669}" name="Column13613"/>
    <tableColumn id="13614" xr3:uid="{3CD02BB0-AFDE-41E7-9340-A7D310289DBA}" name="Column13614"/>
    <tableColumn id="13615" xr3:uid="{7BCAB704-E5E9-4192-AEE9-4EF0D2DB8B2E}" name="Column13615"/>
    <tableColumn id="13616" xr3:uid="{BA8427C3-04B0-4EFE-A92A-338E22ED62D9}" name="Column13616"/>
    <tableColumn id="13617" xr3:uid="{A53FE6B6-4D60-4B64-83B0-2A726295233B}" name="Column13617"/>
    <tableColumn id="13618" xr3:uid="{22CB619E-A53F-4306-A0B4-34C3D5A52A25}" name="Column13618"/>
    <tableColumn id="13619" xr3:uid="{465CD355-382A-4644-A51D-1EB7EFDE57F3}" name="Column13619"/>
    <tableColumn id="13620" xr3:uid="{A5B8A0D3-B357-4178-A673-A7E999849E99}" name="Column13620"/>
    <tableColumn id="13621" xr3:uid="{0B1FC3D6-2A8B-43CF-84E1-E56205568124}" name="Column13621"/>
    <tableColumn id="13622" xr3:uid="{16E024B9-E4DB-4592-8809-B4399CE4FA66}" name="Column13622"/>
    <tableColumn id="13623" xr3:uid="{F65A315F-C6A2-4D39-A075-19CE0F986B12}" name="Column13623"/>
    <tableColumn id="13624" xr3:uid="{B8C6349A-2471-4D5C-ADCE-893D56AA727A}" name="Column13624"/>
    <tableColumn id="13625" xr3:uid="{5A6922C4-5C5A-4D36-A7DB-ABCA4EB357E9}" name="Column13625"/>
    <tableColumn id="13626" xr3:uid="{5B946D4E-4145-42AC-B0CA-A72D68D57883}" name="Column13626"/>
    <tableColumn id="13627" xr3:uid="{05C5B908-D9F2-4109-8A7D-4A24973402A2}" name="Column13627"/>
    <tableColumn id="13628" xr3:uid="{FE8DDFB4-59CD-4797-A5D1-9394F6786917}" name="Column13628"/>
    <tableColumn id="13629" xr3:uid="{487BEE1F-7EDE-4576-BD50-974C914B4BE0}" name="Column13629"/>
    <tableColumn id="13630" xr3:uid="{B0BC6277-D4D7-40F9-8772-F3917AD5068F}" name="Column13630"/>
    <tableColumn id="13631" xr3:uid="{43B3B147-2D9D-45F8-BFBD-CF3BAC7D0794}" name="Column13631"/>
    <tableColumn id="13632" xr3:uid="{723EB466-1A11-4D13-BB02-D0A6896C1FD8}" name="Column13632"/>
    <tableColumn id="13633" xr3:uid="{172C0E86-D945-4CF4-8F1E-66E000131AE3}" name="Column13633"/>
    <tableColumn id="13634" xr3:uid="{26A2F51D-4D84-4D45-AAC2-BE01E5EF6848}" name="Column13634"/>
    <tableColumn id="13635" xr3:uid="{6C0FF968-6D47-4D0B-AAD7-0569227CF6F1}" name="Column13635"/>
    <tableColumn id="13636" xr3:uid="{4FB82377-B2DE-4E38-A102-228192E72ADA}" name="Column13636"/>
    <tableColumn id="13637" xr3:uid="{3001ADD3-A1C3-4BB6-AAE3-3E90F4D0C5FD}" name="Column13637"/>
    <tableColumn id="13638" xr3:uid="{4E641F21-1B07-4DDE-98EE-E4E05A398424}" name="Column13638"/>
    <tableColumn id="13639" xr3:uid="{AEC6CA33-B1C5-4451-B26D-99ADB044F117}" name="Column13639"/>
    <tableColumn id="13640" xr3:uid="{4A4CFAAE-5E66-4F1D-B162-208FF35F9FD8}" name="Column13640"/>
    <tableColumn id="13641" xr3:uid="{71903C53-A8A6-414F-BB0B-977B7415CF0A}" name="Column13641"/>
    <tableColumn id="13642" xr3:uid="{3C128942-1F8C-4417-A7C1-44A182BC4522}" name="Column13642"/>
    <tableColumn id="13643" xr3:uid="{A41A0FA5-7493-4007-AA2D-68B666552EEC}" name="Column13643"/>
    <tableColumn id="13644" xr3:uid="{3E05F9FE-0A95-4D3D-BF0D-7238A402145F}" name="Column13644"/>
    <tableColumn id="13645" xr3:uid="{910507BF-D9E6-41D7-A63A-16F12BF426D4}" name="Column13645"/>
    <tableColumn id="13646" xr3:uid="{102EADCC-8F35-4087-9A12-E5D86C9CBF00}" name="Column13646"/>
    <tableColumn id="13647" xr3:uid="{A0614E71-3291-46F3-AC0D-4002AA898BE4}" name="Column13647"/>
    <tableColumn id="13648" xr3:uid="{FBE068F8-F697-4E91-A3B1-C5CDA370B2AB}" name="Column13648"/>
    <tableColumn id="13649" xr3:uid="{526D0740-54CF-41E2-9927-3C77899B0D72}" name="Column13649"/>
    <tableColumn id="13650" xr3:uid="{D0E8CCD6-B1E5-468A-95A7-E1A5E04CCCDC}" name="Column13650"/>
    <tableColumn id="13651" xr3:uid="{FAA524CC-E7FF-4F8F-8D64-5E29C373F826}" name="Column13651"/>
    <tableColumn id="13652" xr3:uid="{E71CADC1-A739-468C-98F8-EDD7B41EE63C}" name="Column13652"/>
    <tableColumn id="13653" xr3:uid="{AB6CFB63-AFAE-4E5E-827C-F48E5FA7970D}" name="Column13653"/>
    <tableColumn id="13654" xr3:uid="{F3B0F7E1-001E-4181-9F15-EF39AE43BD10}" name="Column13654"/>
    <tableColumn id="13655" xr3:uid="{F9192DD6-82D5-47EC-9558-2347915FDB87}" name="Column13655"/>
    <tableColumn id="13656" xr3:uid="{4C9C4EE5-0F46-407F-93B2-52AE86119B46}" name="Column13656"/>
    <tableColumn id="13657" xr3:uid="{7EC63974-F73F-4581-AE60-6805E2F9A3C8}" name="Column13657"/>
    <tableColumn id="13658" xr3:uid="{F7385257-42C8-46FC-9C11-C799D1F0E7B8}" name="Column13658"/>
    <tableColumn id="13659" xr3:uid="{D6D24DEC-F782-4934-B9E0-9AC381EF48D7}" name="Column13659"/>
    <tableColumn id="13660" xr3:uid="{B45E9D30-C311-4118-8243-34D5D97CD102}" name="Column13660"/>
    <tableColumn id="13661" xr3:uid="{609A7C67-0D6F-4A8A-BE57-E31D8C0B8CDB}" name="Column13661"/>
    <tableColumn id="13662" xr3:uid="{D568B382-2485-4F5C-A484-C5705A28360E}" name="Column13662"/>
    <tableColumn id="13663" xr3:uid="{BB82F2F9-69EB-4CC5-B903-4C91F0EC3CF6}" name="Column13663"/>
    <tableColumn id="13664" xr3:uid="{B055C70D-C3B7-4C82-8B0E-37A772E6D45B}" name="Column13664"/>
    <tableColumn id="13665" xr3:uid="{02DDC822-2233-45F1-B6E7-5F3E0F57532C}" name="Column13665"/>
    <tableColumn id="13666" xr3:uid="{4838ADFF-F08F-4E0E-8DCF-AC0877E41E9F}" name="Column13666"/>
    <tableColumn id="13667" xr3:uid="{B593E57E-8EDA-470A-8685-2F279421D741}" name="Column13667"/>
    <tableColumn id="13668" xr3:uid="{521C5889-2001-4338-8193-4F8838D4BAE8}" name="Column13668"/>
    <tableColumn id="13669" xr3:uid="{1D565CD9-C85E-4622-8009-EE4323B96413}" name="Column13669"/>
    <tableColumn id="13670" xr3:uid="{17CDE072-DDED-4FB3-95AF-275B182CDBB6}" name="Column13670"/>
    <tableColumn id="13671" xr3:uid="{55650AAC-1609-4904-B419-F6B046781447}" name="Column13671"/>
    <tableColumn id="13672" xr3:uid="{2357B583-3DA7-4DF7-8D1D-8D3A11698FBE}" name="Column13672"/>
    <tableColumn id="13673" xr3:uid="{0B21494A-7455-4505-915E-42E0AC2B878F}" name="Column13673"/>
    <tableColumn id="13674" xr3:uid="{3931211C-2AE3-46C0-9279-B31D6255EC7B}" name="Column13674"/>
    <tableColumn id="13675" xr3:uid="{EEE057C5-3515-4791-9A2C-F3692385CCEA}" name="Column13675"/>
    <tableColumn id="13676" xr3:uid="{C15E412F-6ABC-4828-A8DC-958719D91BDC}" name="Column13676"/>
    <tableColumn id="13677" xr3:uid="{6EFAD700-1343-4E98-B1D3-87F29555E72F}" name="Column13677"/>
    <tableColumn id="13678" xr3:uid="{B8C2B10D-EB03-4225-9AB6-060035D04D9F}" name="Column13678"/>
    <tableColumn id="13679" xr3:uid="{56694579-BD34-4F29-BDDD-0D3AC566E831}" name="Column13679"/>
    <tableColumn id="13680" xr3:uid="{C65C70BD-075A-4310-9CBC-C9FA3FD8AA40}" name="Column13680"/>
    <tableColumn id="13681" xr3:uid="{0D5EEB70-9FB5-4C61-9FBB-1DAEBE6794EF}" name="Column13681"/>
    <tableColumn id="13682" xr3:uid="{29A1FA98-9C98-4927-BD44-031C1AB3C003}" name="Column13682"/>
    <tableColumn id="13683" xr3:uid="{7D6790C5-8E8A-4C1D-9EC2-C0C7EE7D1C42}" name="Column13683"/>
    <tableColumn id="13684" xr3:uid="{C5BC5A9C-8B55-4BA3-AA0E-78A1D428C4FD}" name="Column13684"/>
    <tableColumn id="13685" xr3:uid="{3974508E-9DF0-4429-B4F1-D2E26A175990}" name="Column13685"/>
    <tableColumn id="13686" xr3:uid="{CAED464F-79A7-4448-9C5B-460417758270}" name="Column13686"/>
    <tableColumn id="13687" xr3:uid="{DB49AEE5-1874-4150-904B-AA7F52453ABA}" name="Column13687"/>
    <tableColumn id="13688" xr3:uid="{AEE5D0F2-4BC2-4D7E-9DD5-337C178B5497}" name="Column13688"/>
    <tableColumn id="13689" xr3:uid="{E894DB07-AD71-4EAA-9B9B-57B016C32E7F}" name="Column13689"/>
    <tableColumn id="13690" xr3:uid="{88BC3267-8176-4019-ADE4-29E2BFA76795}" name="Column13690"/>
    <tableColumn id="13691" xr3:uid="{FDFF0087-6899-4938-AC7E-F64F3764D597}" name="Column13691"/>
    <tableColumn id="13692" xr3:uid="{5666FAC7-B8C4-4A94-8169-2B6F1F46981E}" name="Column13692"/>
    <tableColumn id="13693" xr3:uid="{D37E4378-8613-4C8D-BA84-52D882CA59D3}" name="Column13693"/>
    <tableColumn id="13694" xr3:uid="{3D80F76E-AD93-4061-9303-9956492FF2BD}" name="Column13694"/>
    <tableColumn id="13695" xr3:uid="{C906F9B0-4BA0-4198-9C18-D05A174DABBF}" name="Column13695"/>
    <tableColumn id="13696" xr3:uid="{484E63C1-ED18-4561-AE52-DC06C847D9E1}" name="Column13696"/>
    <tableColumn id="13697" xr3:uid="{F6E75190-784B-4FC4-94D8-BA1256ECF0FE}" name="Column13697"/>
    <tableColumn id="13698" xr3:uid="{286923A0-9BB8-46A1-A0F5-5A8EDDC38402}" name="Column13698"/>
    <tableColumn id="13699" xr3:uid="{2BC81240-226D-42C9-B67A-CAA95B2F66CC}" name="Column13699"/>
    <tableColumn id="13700" xr3:uid="{F84DCB7E-32A3-4C6F-9085-8C48412348CB}" name="Column13700"/>
    <tableColumn id="13701" xr3:uid="{7F26522B-4763-44B1-BB1D-E99260DFECDD}" name="Column13701"/>
    <tableColumn id="13702" xr3:uid="{E59A09C7-2D50-476B-B56C-FD7AA11FA04A}" name="Column13702"/>
    <tableColumn id="13703" xr3:uid="{A160B340-03D9-4E9E-8DC7-F6A172E1B60E}" name="Column13703"/>
    <tableColumn id="13704" xr3:uid="{A2A30D83-3139-4BF0-A343-A198BB9EE9D6}" name="Column13704"/>
    <tableColumn id="13705" xr3:uid="{F39DA5B8-8B70-423A-96D3-EB946339A2EA}" name="Column13705"/>
    <tableColumn id="13706" xr3:uid="{331EE85D-5C61-44CD-A00F-F21B19F94B7E}" name="Column13706"/>
    <tableColumn id="13707" xr3:uid="{037CB00A-1003-44E1-A704-CC3EB107B5DE}" name="Column13707"/>
    <tableColumn id="13708" xr3:uid="{57BDAD03-9D64-4C58-A5DE-6A701B51A3E9}" name="Column13708"/>
    <tableColumn id="13709" xr3:uid="{3B2BB3FA-5218-49B9-9B4A-E9ECEA14B810}" name="Column13709"/>
    <tableColumn id="13710" xr3:uid="{09CCC887-8900-4880-A7D3-4CC7B493664C}" name="Column13710"/>
    <tableColumn id="13711" xr3:uid="{C744BE3B-4528-4B62-90A1-07D51D9644AA}" name="Column13711"/>
    <tableColumn id="13712" xr3:uid="{9CD744CF-4B68-4328-A63F-99FBE966708A}" name="Column13712"/>
    <tableColumn id="13713" xr3:uid="{0D99D301-0F11-4FB5-832C-F03462C889F0}" name="Column13713"/>
    <tableColumn id="13714" xr3:uid="{EBC3A24D-9717-45C1-8476-655A7BAA85DE}" name="Column13714"/>
    <tableColumn id="13715" xr3:uid="{879417A4-373F-48AE-BDFC-119CEC6F8752}" name="Column13715"/>
    <tableColumn id="13716" xr3:uid="{41FF8D5D-F8B7-4892-9F86-6C0D73633E97}" name="Column13716"/>
    <tableColumn id="13717" xr3:uid="{F55AF40A-6F03-486A-831B-FF8C7806B103}" name="Column13717"/>
    <tableColumn id="13718" xr3:uid="{48631E28-0ACB-4A1B-8589-0E8DD23F19C3}" name="Column13718"/>
    <tableColumn id="13719" xr3:uid="{6BD8710E-5ECE-40AE-AE43-50E57317BD22}" name="Column13719"/>
    <tableColumn id="13720" xr3:uid="{214C4E6C-F2F8-46E4-97A4-3788A9021136}" name="Column13720"/>
    <tableColumn id="13721" xr3:uid="{BFF56A74-44CF-42A5-9ABF-137E1324E921}" name="Column13721"/>
    <tableColumn id="13722" xr3:uid="{FFEF9137-A291-4D17-828F-A54AF41692F9}" name="Column13722"/>
    <tableColumn id="13723" xr3:uid="{4764D90B-B8CD-488D-85C4-2A379CB1166E}" name="Column13723"/>
    <tableColumn id="13724" xr3:uid="{9FD18052-8376-43CF-B598-8C0D2AC07C0B}" name="Column13724"/>
    <tableColumn id="13725" xr3:uid="{1FD2AC8B-2694-4558-9A5E-9BE189B8E7D1}" name="Column13725"/>
    <tableColumn id="13726" xr3:uid="{B0E4BA1F-C7BE-41DE-9CBA-BCCEC354CD4F}" name="Column13726"/>
    <tableColumn id="13727" xr3:uid="{64018C42-282F-4B6A-84A8-240809ECAB7A}" name="Column13727"/>
    <tableColumn id="13728" xr3:uid="{1CFBCBAE-5808-43FF-B758-82100EEB6D82}" name="Column13728"/>
    <tableColumn id="13729" xr3:uid="{ABC4DD50-470A-4BA1-AA7D-B224140A5B9B}" name="Column13729"/>
    <tableColumn id="13730" xr3:uid="{BEAACD2D-DA50-4509-B24D-80ED8D6114C0}" name="Column13730"/>
    <tableColumn id="13731" xr3:uid="{E7F7F0F3-07C6-47C4-B91B-DE0E13E84A6D}" name="Column13731"/>
    <tableColumn id="13732" xr3:uid="{8C83B705-D157-4688-9D76-56FAD52FB078}" name="Column13732"/>
    <tableColumn id="13733" xr3:uid="{C0001E62-73A2-49A7-853B-A2FA59236ADC}" name="Column13733"/>
    <tableColumn id="13734" xr3:uid="{8D1013F8-A9A6-427C-BB93-669A4AB2741A}" name="Column13734"/>
    <tableColumn id="13735" xr3:uid="{AA448E89-3BBE-4B99-955B-11B9D4AF88C6}" name="Column13735"/>
    <tableColumn id="13736" xr3:uid="{9CEEC7D7-894B-4726-9283-44F9887A5881}" name="Column13736"/>
    <tableColumn id="13737" xr3:uid="{9ABFFFC4-C80E-4EEB-9891-5CBAD66559AE}" name="Column13737"/>
    <tableColumn id="13738" xr3:uid="{9BE11B34-F159-44F2-B06C-57546B4281FC}" name="Column13738"/>
    <tableColumn id="13739" xr3:uid="{77CFDF61-73EA-4243-937B-EE9318953F41}" name="Column13739"/>
    <tableColumn id="13740" xr3:uid="{748C3994-BB33-49A8-9199-830B1312A085}" name="Column13740"/>
    <tableColumn id="13741" xr3:uid="{2658673F-D6D2-4AAF-BA3F-AE766FD50332}" name="Column13741"/>
    <tableColumn id="13742" xr3:uid="{D8B36207-FA9A-43DE-A879-9B1A01B88CE9}" name="Column13742"/>
    <tableColumn id="13743" xr3:uid="{BDDB155A-50F7-4102-8661-A444F11AED61}" name="Column13743"/>
    <tableColumn id="13744" xr3:uid="{E33A4740-BE68-451C-85C9-AC0F4E18916C}" name="Column13744"/>
    <tableColumn id="13745" xr3:uid="{273C62D5-F057-453C-8BC9-D76EB6603781}" name="Column13745"/>
    <tableColumn id="13746" xr3:uid="{10DFCE5E-09DF-485D-9729-55507DB24D8E}" name="Column13746"/>
    <tableColumn id="13747" xr3:uid="{93E57961-AE6A-4896-A0DA-7B1B262255FD}" name="Column13747"/>
    <tableColumn id="13748" xr3:uid="{54A11FF6-87F1-4147-974F-0297C89C386B}" name="Column13748"/>
    <tableColumn id="13749" xr3:uid="{917B81D1-A5AC-44A0-966D-6A73E4DE6843}" name="Column13749"/>
    <tableColumn id="13750" xr3:uid="{CFD46F4A-9EFB-416C-81A9-1D032FF8D209}" name="Column13750"/>
    <tableColumn id="13751" xr3:uid="{790A53D5-0A5F-4C14-9355-2CA06FF4C4C7}" name="Column13751"/>
    <tableColumn id="13752" xr3:uid="{74A32C3E-9BC3-4930-B898-8F055BF20805}" name="Column13752"/>
    <tableColumn id="13753" xr3:uid="{73C2C7DF-34B4-44AA-850C-7B88AC9CC0E6}" name="Column13753"/>
    <tableColumn id="13754" xr3:uid="{4CAEA046-D6F6-4C98-A88D-E0EF72E3395A}" name="Column13754"/>
    <tableColumn id="13755" xr3:uid="{5C8BADE8-06B2-4A23-BCE1-EEB6776573B1}" name="Column13755"/>
    <tableColumn id="13756" xr3:uid="{690039F2-7EE5-4941-B3A4-8081CF09A6DF}" name="Column13756"/>
    <tableColumn id="13757" xr3:uid="{7B503ABA-27C9-470D-A296-5A6D92C4D481}" name="Column13757"/>
    <tableColumn id="13758" xr3:uid="{2141AC5A-B758-465C-896A-F44AC9CAFD48}" name="Column13758"/>
    <tableColumn id="13759" xr3:uid="{797B62EE-2790-425F-BFD6-836FFE974E47}" name="Column13759"/>
    <tableColumn id="13760" xr3:uid="{A9C47727-45D2-4BA8-9E78-D4C1E5000498}" name="Column13760"/>
    <tableColumn id="13761" xr3:uid="{074C24A9-1EEA-46B7-B966-36C6A7B980B2}" name="Column13761"/>
    <tableColumn id="13762" xr3:uid="{D1F401DA-6685-4027-914A-45434F17A088}" name="Column13762"/>
    <tableColumn id="13763" xr3:uid="{256DB589-D569-4D4B-AC25-50595CA6759B}" name="Column13763"/>
    <tableColumn id="13764" xr3:uid="{22147BD9-9273-43C3-B636-FB837DF8D158}" name="Column13764"/>
    <tableColumn id="13765" xr3:uid="{9AC2F681-8F00-47B6-B681-4BBC1BD77C0E}" name="Column13765"/>
    <tableColumn id="13766" xr3:uid="{41C1FC17-8B8A-4172-A69D-DC7E99C8371E}" name="Column13766"/>
    <tableColumn id="13767" xr3:uid="{AD589984-EDC2-47ED-AD9C-33294D8538D9}" name="Column13767"/>
    <tableColumn id="13768" xr3:uid="{D311770B-E9D3-4620-84BE-C5AAE1BE233B}" name="Column13768"/>
    <tableColumn id="13769" xr3:uid="{0F4CB1C7-083A-4B57-ABCF-F1ED12F6B4BE}" name="Column13769"/>
    <tableColumn id="13770" xr3:uid="{7750178D-C5BE-4DE7-AFE3-95A487A6E468}" name="Column13770"/>
    <tableColumn id="13771" xr3:uid="{AB26C359-9E4D-462E-BC74-C9A17579622C}" name="Column13771"/>
    <tableColumn id="13772" xr3:uid="{3FFB7B89-F699-43E2-98C1-AA3D62368ADE}" name="Column13772"/>
    <tableColumn id="13773" xr3:uid="{3DFDDCDA-7550-4C1A-81BE-54A04926CEA7}" name="Column13773"/>
    <tableColumn id="13774" xr3:uid="{C839DC2D-A451-45DD-88F6-90D917838576}" name="Column13774"/>
    <tableColumn id="13775" xr3:uid="{F2AF545E-0614-46FB-A3AC-43C4658FE0AF}" name="Column13775"/>
    <tableColumn id="13776" xr3:uid="{DC146E51-8A6B-45C9-8E40-AFA6D513EA35}" name="Column13776"/>
    <tableColumn id="13777" xr3:uid="{F02DEA78-FEF4-43BB-A547-8842C76B6496}" name="Column13777"/>
    <tableColumn id="13778" xr3:uid="{C06A828E-F00C-4C9F-B922-8C7D8C66D780}" name="Column13778"/>
    <tableColumn id="13779" xr3:uid="{7DA90F42-5AE8-421E-91EC-487BE89B1102}" name="Column13779"/>
    <tableColumn id="13780" xr3:uid="{E4C2484B-56AC-4A12-9266-0D618237618B}" name="Column13780"/>
    <tableColumn id="13781" xr3:uid="{896F75EC-2589-40B4-BDA1-E4E742026879}" name="Column13781"/>
    <tableColumn id="13782" xr3:uid="{E24CAE26-8F1B-4C4D-9193-DC2043DEC2ED}" name="Column13782"/>
    <tableColumn id="13783" xr3:uid="{6A344BEC-3541-4FED-8D4E-E20EBB60DFD0}" name="Column13783"/>
    <tableColumn id="13784" xr3:uid="{C773D63A-10AD-4B58-AD4C-A7BF00E0CBDA}" name="Column13784"/>
    <tableColumn id="13785" xr3:uid="{0B70C3F1-A4F4-4110-9B44-26B766196FA2}" name="Column13785"/>
    <tableColumn id="13786" xr3:uid="{26AF88F7-7BE4-4DA3-A519-6FB4B8093F4D}" name="Column13786"/>
    <tableColumn id="13787" xr3:uid="{DBE29778-3B96-4360-986B-28A277F61F54}" name="Column13787"/>
    <tableColumn id="13788" xr3:uid="{878E4561-2862-49F6-AB0A-95113BB7AA5A}" name="Column13788"/>
    <tableColumn id="13789" xr3:uid="{32A61CB2-76FA-46C3-9AD0-D4BC4075491C}" name="Column13789"/>
    <tableColumn id="13790" xr3:uid="{9E5F3D50-A5BE-470F-BFF6-EBEB96D1E548}" name="Column13790"/>
    <tableColumn id="13791" xr3:uid="{D5AAC14B-B934-4AA1-B19C-07E18D10F4EF}" name="Column13791"/>
    <tableColumn id="13792" xr3:uid="{03A3BACC-5F1D-499F-AF5D-A168A35713D6}" name="Column13792"/>
    <tableColumn id="13793" xr3:uid="{D67FF56B-D890-4146-B72A-E09F9B51113A}" name="Column13793"/>
    <tableColumn id="13794" xr3:uid="{68F16BB3-1C61-4545-B4CB-73BC15F6D0F8}" name="Column13794"/>
    <tableColumn id="13795" xr3:uid="{7A83ACE5-F40E-4648-9E56-745D46BE0EF6}" name="Column13795"/>
    <tableColumn id="13796" xr3:uid="{853E835F-9E0A-4012-83CF-4D95F6F6D2A7}" name="Column13796"/>
    <tableColumn id="13797" xr3:uid="{5E6FF29D-2868-44B9-A1E4-8D19866E7E1F}" name="Column13797"/>
    <tableColumn id="13798" xr3:uid="{B35EBE7F-FE0D-408C-986D-52BD8A076787}" name="Column13798"/>
    <tableColumn id="13799" xr3:uid="{C465A38F-97FA-4972-8629-09D476513CA1}" name="Column13799"/>
    <tableColumn id="13800" xr3:uid="{8BC3F438-D0ED-473E-993C-B83504FE8767}" name="Column13800"/>
    <tableColumn id="13801" xr3:uid="{0862DF4D-E42C-43FE-9E03-EA24D72AB5A2}" name="Column13801"/>
    <tableColumn id="13802" xr3:uid="{AC86BF37-97A8-4EE2-A927-576D9692538E}" name="Column13802"/>
    <tableColumn id="13803" xr3:uid="{77B11F3C-E102-4C07-AE4C-0DBD044871B1}" name="Column13803"/>
    <tableColumn id="13804" xr3:uid="{3B1592AD-511A-4E81-AB5D-FA9E8D40F833}" name="Column13804"/>
    <tableColumn id="13805" xr3:uid="{9515790E-D938-4F6D-B423-17C7503B21B4}" name="Column13805"/>
    <tableColumn id="13806" xr3:uid="{771B3F26-075F-4FAE-A9C6-7D14C4C3A6D7}" name="Column13806"/>
    <tableColumn id="13807" xr3:uid="{9B74619E-6783-42BB-9919-B0907A6DFBB3}" name="Column13807"/>
    <tableColumn id="13808" xr3:uid="{297F0D4B-2B16-4427-B788-74D09B823B35}" name="Column13808"/>
    <tableColumn id="13809" xr3:uid="{A3DB0969-A18E-419C-9545-291CC5EC649C}" name="Column13809"/>
    <tableColumn id="13810" xr3:uid="{1664ADB2-C201-4B04-9F11-D89A7F2DC655}" name="Column13810"/>
    <tableColumn id="13811" xr3:uid="{3946A4B9-5F37-44CC-BF1A-2109582A8072}" name="Column13811"/>
    <tableColumn id="13812" xr3:uid="{161FCAC6-F04E-4783-8B1E-AAAAA4B64933}" name="Column13812"/>
    <tableColumn id="13813" xr3:uid="{4835A9CB-268D-48DD-B8A9-62BF845085DC}" name="Column13813"/>
    <tableColumn id="13814" xr3:uid="{5C122E11-60C5-41AF-85A4-6BCE6505BAE3}" name="Column13814"/>
    <tableColumn id="13815" xr3:uid="{6CA8D738-D77B-4F05-91F0-C8F3C4D7352E}" name="Column13815"/>
    <tableColumn id="13816" xr3:uid="{F2213EC0-814C-430E-AB04-936302D3ED88}" name="Column13816"/>
    <tableColumn id="13817" xr3:uid="{AD4302F8-546F-40DA-B442-B5A6263003BC}" name="Column13817"/>
    <tableColumn id="13818" xr3:uid="{F0A30E80-564E-4182-A979-0271DED206F5}" name="Column13818"/>
    <tableColumn id="13819" xr3:uid="{431D0105-DAE0-4535-A1E8-61560181B60C}" name="Column13819"/>
    <tableColumn id="13820" xr3:uid="{8CD3A6AF-BCA4-49C4-BB96-202CE0D9AF3A}" name="Column13820"/>
    <tableColumn id="13821" xr3:uid="{2C0D2771-72A2-4C35-ACC4-7BD16474397E}" name="Column13821"/>
    <tableColumn id="13822" xr3:uid="{15B84F37-06B5-4191-B182-93A81B98E9FA}" name="Column13822"/>
    <tableColumn id="13823" xr3:uid="{AD72F4CD-1585-4E74-BBDC-07EE0C352F37}" name="Column13823"/>
    <tableColumn id="13824" xr3:uid="{9C9CAAE9-7CB4-4AF1-BCB4-DE5C811089DA}" name="Column13824"/>
    <tableColumn id="13825" xr3:uid="{3BEFC41B-D719-4041-A788-835C4FB71743}" name="Column13825"/>
    <tableColumn id="13826" xr3:uid="{7F566D0A-C3B4-4E56-BC77-63719B2F7DA1}" name="Column13826"/>
    <tableColumn id="13827" xr3:uid="{AA1D3174-A45F-405A-8EE3-BA4DB591E2F6}" name="Column13827"/>
    <tableColumn id="13828" xr3:uid="{CF22449E-81E3-4C39-BE9B-DE3906E61CC3}" name="Column13828"/>
    <tableColumn id="13829" xr3:uid="{B5786D43-32E7-4795-ADBC-6CCE529D44AC}" name="Column13829"/>
    <tableColumn id="13830" xr3:uid="{9BE82CB6-EED9-47E3-878E-DEEE7312065B}" name="Column13830"/>
    <tableColumn id="13831" xr3:uid="{20120C28-F420-41CF-B6B9-2ED203606283}" name="Column13831"/>
    <tableColumn id="13832" xr3:uid="{7440D58B-21AA-4EC8-88C2-5C40FDA7FBE0}" name="Column13832"/>
    <tableColumn id="13833" xr3:uid="{928A1BE5-9986-413E-8BB3-7E53C718901F}" name="Column13833"/>
    <tableColumn id="13834" xr3:uid="{BE29BBBD-3848-4885-BAF4-C8C5BBD14F41}" name="Column13834"/>
    <tableColumn id="13835" xr3:uid="{D6FF07AC-8AC6-49BD-9032-E43EA9B98D69}" name="Column13835"/>
    <tableColumn id="13836" xr3:uid="{CB0E2B10-C80A-469A-BAEC-67580BD92DDE}" name="Column13836"/>
    <tableColumn id="13837" xr3:uid="{8591BD1A-8ABC-4BFC-984F-980FBC9BD6DE}" name="Column13837"/>
    <tableColumn id="13838" xr3:uid="{F278A990-7638-454D-AE0F-8F1D600676CB}" name="Column13838"/>
    <tableColumn id="13839" xr3:uid="{866530A0-CBF9-4C25-818C-723722966AFB}" name="Column13839"/>
    <tableColumn id="13840" xr3:uid="{BD0D2F59-63E8-4519-965F-75F8931B2DA3}" name="Column13840"/>
    <tableColumn id="13841" xr3:uid="{4E853D5F-646D-4121-B2F4-6F5AA325D3D1}" name="Column13841"/>
    <tableColumn id="13842" xr3:uid="{666A96AC-7209-4DD4-9275-67E1677744C9}" name="Column13842"/>
    <tableColumn id="13843" xr3:uid="{0FFCB1FD-A1FA-469E-969A-8FE868135154}" name="Column13843"/>
    <tableColumn id="13844" xr3:uid="{85C512AD-AC7A-45C5-A62C-BFF4ACE48A70}" name="Column13844"/>
    <tableColumn id="13845" xr3:uid="{296B5E75-251A-4090-BED6-548B4AF970B4}" name="Column13845"/>
    <tableColumn id="13846" xr3:uid="{8805F121-8660-425A-B855-1019C29FC8B2}" name="Column13846"/>
    <tableColumn id="13847" xr3:uid="{E44F1ED5-1F8B-4171-859C-AB74B3C8D29C}" name="Column13847"/>
    <tableColumn id="13848" xr3:uid="{9CD81544-1EC0-47D4-80AA-939DAB7098EE}" name="Column13848"/>
    <tableColumn id="13849" xr3:uid="{1B4CF871-C176-4087-A30A-44C012131BF3}" name="Column13849"/>
    <tableColumn id="13850" xr3:uid="{555B5382-E763-45EA-B892-48F9E91B2E95}" name="Column13850"/>
    <tableColumn id="13851" xr3:uid="{1D92B16D-5237-4359-9F9E-B27AC0BEFC1E}" name="Column13851"/>
    <tableColumn id="13852" xr3:uid="{9950E187-4D4E-4C69-A1AA-CA3B427444EA}" name="Column13852"/>
    <tableColumn id="13853" xr3:uid="{AACAC047-0897-4981-96D1-DE84961FE24A}" name="Column13853"/>
    <tableColumn id="13854" xr3:uid="{3A8C4DE7-3FBA-4E0A-BC80-9EDBE1F75C9D}" name="Column13854"/>
    <tableColumn id="13855" xr3:uid="{F3FC3028-1B95-41FD-97A7-876E918E1D3D}" name="Column13855"/>
    <tableColumn id="13856" xr3:uid="{B55CD6B3-A3D8-42F2-8FA4-85FE137BEC68}" name="Column13856"/>
    <tableColumn id="13857" xr3:uid="{A093395E-6484-41F9-B223-541583F74360}" name="Column13857"/>
    <tableColumn id="13858" xr3:uid="{021835F1-197C-4A3B-9DE1-C5B3FB717FD9}" name="Column13858"/>
    <tableColumn id="13859" xr3:uid="{2B454A9C-596D-408E-B001-32FE49587C69}" name="Column13859"/>
    <tableColumn id="13860" xr3:uid="{94570804-77EE-4FE7-B524-FB2B4B4BE70B}" name="Column13860"/>
    <tableColumn id="13861" xr3:uid="{1FA41D6B-CED3-4DC0-A3A4-68EA32C12087}" name="Column13861"/>
    <tableColumn id="13862" xr3:uid="{AFB58689-3F2D-42F9-81C2-FCA4D17C031C}" name="Column13862"/>
    <tableColumn id="13863" xr3:uid="{3C5A0A52-1A77-4C33-BDB3-48C65C6B04C2}" name="Column13863"/>
    <tableColumn id="13864" xr3:uid="{6D300D52-1BE4-4523-AA8A-D42BF842A93E}" name="Column13864"/>
    <tableColumn id="13865" xr3:uid="{5EFDEAFE-5CA1-4C36-AADB-380C99D087B4}" name="Column13865"/>
    <tableColumn id="13866" xr3:uid="{78ACDCCD-9178-4BFA-91E9-AC5734DA37B7}" name="Column13866"/>
    <tableColumn id="13867" xr3:uid="{1973B1BB-6042-46E4-BF20-C1945660EA50}" name="Column13867"/>
    <tableColumn id="13868" xr3:uid="{CCE094D2-1841-4CC7-B399-DBB1081F7975}" name="Column13868"/>
    <tableColumn id="13869" xr3:uid="{2933834F-1DD8-41A1-B452-511718CC67E2}" name="Column13869"/>
    <tableColumn id="13870" xr3:uid="{2225DBAE-0306-4F52-B7FF-AC299515E5FC}" name="Column13870"/>
    <tableColumn id="13871" xr3:uid="{81005B37-1F53-4AC0-9C17-A9E484B60EE5}" name="Column13871"/>
    <tableColumn id="13872" xr3:uid="{7FC103E3-7B21-426E-8914-D35C77CE9CE9}" name="Column13872"/>
    <tableColumn id="13873" xr3:uid="{4B2CA462-B53C-4430-B8B0-85F28424643B}" name="Column13873"/>
    <tableColumn id="13874" xr3:uid="{A31D244E-07B7-4004-9A59-0A4F3B8AD2B4}" name="Column13874"/>
    <tableColumn id="13875" xr3:uid="{A5BEFB34-504A-4BFE-B80A-1712AEFFE7B4}" name="Column13875"/>
    <tableColumn id="13876" xr3:uid="{5183FF60-2BB3-4BD2-B92A-1F294097C8D2}" name="Column13876"/>
    <tableColumn id="13877" xr3:uid="{53A46D2C-973B-47AB-B6F3-DB78AAC3C402}" name="Column13877"/>
    <tableColumn id="13878" xr3:uid="{24BD0506-F5DC-4390-B8DA-C1AFE91915DC}" name="Column13878"/>
    <tableColumn id="13879" xr3:uid="{0A81484C-1A17-45AF-9B1A-A6A7A7EB1C1A}" name="Column13879"/>
    <tableColumn id="13880" xr3:uid="{8261062D-2A2B-407A-AEE3-24DC46426C18}" name="Column13880"/>
    <tableColumn id="13881" xr3:uid="{82C5C391-7926-4F0E-9D73-A52D34843FF3}" name="Column13881"/>
    <tableColumn id="13882" xr3:uid="{7EB99E0E-0CCE-49C4-995A-FE8735308AC9}" name="Column13882"/>
    <tableColumn id="13883" xr3:uid="{C24AF671-EAC1-49A6-BF95-7A16E777B2A6}" name="Column13883"/>
    <tableColumn id="13884" xr3:uid="{F238A5D1-A91D-444E-98A4-CD7ACE1CF168}" name="Column13884"/>
    <tableColumn id="13885" xr3:uid="{5D91AE46-18F5-43CB-BA95-99B8E8E0D318}" name="Column13885"/>
    <tableColumn id="13886" xr3:uid="{5ED9E9F1-B71B-4FEE-AD9A-8B05EE7E1BE6}" name="Column13886"/>
    <tableColumn id="13887" xr3:uid="{0E3FFDAD-98FB-48BE-BC32-5936C405D333}" name="Column13887"/>
    <tableColumn id="13888" xr3:uid="{A33C4A0A-756A-4E9D-AF36-D536A83C67CC}" name="Column13888"/>
    <tableColumn id="13889" xr3:uid="{1E73E5F2-BA9A-4234-B578-A31F044E5509}" name="Column13889"/>
    <tableColumn id="13890" xr3:uid="{B8D1ED3C-DE91-4EEC-B0AC-547B37B76C0F}" name="Column13890"/>
    <tableColumn id="13891" xr3:uid="{DF0FA045-8684-491C-B740-CBD2189FB2C3}" name="Column13891"/>
    <tableColumn id="13892" xr3:uid="{BE517DC6-70DF-4011-9426-4EF9DD9F795B}" name="Column13892"/>
    <tableColumn id="13893" xr3:uid="{55ABA5A7-40D5-413E-9058-7ECED5CC6B5C}" name="Column13893"/>
    <tableColumn id="13894" xr3:uid="{25EDBE43-08BC-4B33-B5CF-A8E067F3EEB7}" name="Column13894"/>
    <tableColumn id="13895" xr3:uid="{7E5162FA-4891-4CA7-A2A0-27F06E8A407A}" name="Column13895"/>
    <tableColumn id="13896" xr3:uid="{A51C351E-3AC0-440D-96A9-5401A7DF1D39}" name="Column13896"/>
    <tableColumn id="13897" xr3:uid="{658B8FB6-EF2B-40C9-8EB0-EBDD514E7648}" name="Column13897"/>
    <tableColumn id="13898" xr3:uid="{3D4ECAC7-59CE-421A-AC48-F61CC9F49763}" name="Column13898"/>
    <tableColumn id="13899" xr3:uid="{B0EC86E1-6702-4157-8663-5CA24F3402E7}" name="Column13899"/>
    <tableColumn id="13900" xr3:uid="{F7856D60-5BCB-439A-89EF-C0B7160F44D1}" name="Column13900"/>
    <tableColumn id="13901" xr3:uid="{4BDCDF53-2A4B-4186-94DD-660A25A0DD68}" name="Column13901"/>
    <tableColumn id="13902" xr3:uid="{DBA0E7CB-0A3F-47D9-AF01-16ACA53ED253}" name="Column13902"/>
    <tableColumn id="13903" xr3:uid="{1CAECC94-DB6E-4314-830A-3A160239D57C}" name="Column13903"/>
    <tableColumn id="13904" xr3:uid="{4FC286F6-4A57-4AC8-B34D-86D1898A5D45}" name="Column13904"/>
    <tableColumn id="13905" xr3:uid="{D25A20DB-9D6E-40B5-A3A9-CE8846DCF251}" name="Column13905"/>
    <tableColumn id="13906" xr3:uid="{BFEDA34F-A032-4F52-A6C6-BE7C0ADD8B41}" name="Column13906"/>
    <tableColumn id="13907" xr3:uid="{956958DA-1AC3-4CC4-A5C8-A4A102CC2DF6}" name="Column13907"/>
    <tableColumn id="13908" xr3:uid="{1C9A87ED-1391-4620-893A-FC3850B46BDA}" name="Column13908"/>
    <tableColumn id="13909" xr3:uid="{9A6C4ADC-E363-45D3-96B4-BC9B666EC1E6}" name="Column13909"/>
    <tableColumn id="13910" xr3:uid="{E62CC76D-8175-4066-A8BC-A5030DD36802}" name="Column13910"/>
    <tableColumn id="13911" xr3:uid="{94638B0F-B1DA-4E75-B41F-43FC26D34EFF}" name="Column13911"/>
    <tableColumn id="13912" xr3:uid="{347466AB-662E-4CC9-AB63-866854354DFA}" name="Column13912"/>
    <tableColumn id="13913" xr3:uid="{F3243092-260E-48D2-9FCD-E9AC5C9AD785}" name="Column13913"/>
    <tableColumn id="13914" xr3:uid="{BE31F316-0AC8-4B09-9CDC-B2C1781027A2}" name="Column13914"/>
    <tableColumn id="13915" xr3:uid="{56356268-AAC9-40AD-9C21-FAC35DABA745}" name="Column13915"/>
    <tableColumn id="13916" xr3:uid="{91E7FA27-5327-425D-8A77-90E84EC7FD1D}" name="Column13916"/>
    <tableColumn id="13917" xr3:uid="{433BDEC5-C0F7-4895-91F2-F17F79B4E5FA}" name="Column13917"/>
    <tableColumn id="13918" xr3:uid="{3B71C23E-AD59-49CF-83DC-0387FC8A7CD1}" name="Column13918"/>
    <tableColumn id="13919" xr3:uid="{6F0C2949-6258-4FB0-8365-442ADDF69BB8}" name="Column13919"/>
    <tableColumn id="13920" xr3:uid="{07538053-E993-4DFF-B407-3B647A64533E}" name="Column13920"/>
    <tableColumn id="13921" xr3:uid="{0D94B222-63A4-44E3-95A6-94A5A7E11F75}" name="Column13921"/>
    <tableColumn id="13922" xr3:uid="{AEFD88A2-7267-4481-A02A-C5AE73A82FA0}" name="Column13922"/>
    <tableColumn id="13923" xr3:uid="{A2BD5904-D1BC-4459-A2BC-7A9BBF648680}" name="Column13923"/>
    <tableColumn id="13924" xr3:uid="{C3259DBE-25BA-4CFA-BC29-EB989EB878F9}" name="Column13924"/>
    <tableColumn id="13925" xr3:uid="{D824910E-CB23-4458-BA9E-E2296E9DA539}" name="Column13925"/>
    <tableColumn id="13926" xr3:uid="{06E10EE1-BB39-4B7E-8F6B-EC5507915C73}" name="Column13926"/>
    <tableColumn id="13927" xr3:uid="{B003252D-7A0D-4D84-950E-26B2129A5446}" name="Column13927"/>
    <tableColumn id="13928" xr3:uid="{3A5E8E7C-C0BD-4B70-BA03-2117CCEF6C18}" name="Column13928"/>
    <tableColumn id="13929" xr3:uid="{ED62E53D-4EBB-422D-8CC1-BA8CE960A240}" name="Column13929"/>
    <tableColumn id="13930" xr3:uid="{05E0B50C-F136-44BD-9035-27BC1C51DBB7}" name="Column13930"/>
    <tableColumn id="13931" xr3:uid="{371FF601-65FF-4089-BAE1-0C8EAA3C4DDF}" name="Column13931"/>
    <tableColumn id="13932" xr3:uid="{6CD5C519-C8A5-400A-8C15-A796E17E1222}" name="Column13932"/>
    <tableColumn id="13933" xr3:uid="{554AAF5F-70CA-40CE-86FC-B2809631BBB1}" name="Column13933"/>
    <tableColumn id="13934" xr3:uid="{2C775AA8-5648-4FC5-82C8-8A07953B38F1}" name="Column13934"/>
    <tableColumn id="13935" xr3:uid="{D1B53ABF-775D-413C-A4FF-10AEDAA5BB81}" name="Column13935"/>
    <tableColumn id="13936" xr3:uid="{7416E465-C08D-4681-8449-E3B6157CB252}" name="Column13936"/>
    <tableColumn id="13937" xr3:uid="{8164B898-913E-49E1-B607-564F0BECE993}" name="Column13937"/>
    <tableColumn id="13938" xr3:uid="{B19ACFBB-0B15-4B05-9A01-DDE43316F6C9}" name="Column13938"/>
    <tableColumn id="13939" xr3:uid="{FECB4EEF-BDD5-47BB-A69B-DD8046A02C34}" name="Column13939"/>
    <tableColumn id="13940" xr3:uid="{726E61B9-2B12-4218-90CB-E48E4C8EB1B2}" name="Column13940"/>
    <tableColumn id="13941" xr3:uid="{A3B7C37B-407E-480E-8438-5CAF67F4D414}" name="Column13941"/>
    <tableColumn id="13942" xr3:uid="{FEEFC22C-E2A0-40CA-A28C-08414F8FA2CC}" name="Column13942"/>
    <tableColumn id="13943" xr3:uid="{48F325C9-603A-4711-A968-9161C0E6FF1A}" name="Column13943"/>
    <tableColumn id="13944" xr3:uid="{B7D5ABE4-AD26-4A9A-A1FA-2ED7D0070847}" name="Column13944"/>
    <tableColumn id="13945" xr3:uid="{82419E2D-FB1B-48B6-9732-C37304AD2274}" name="Column13945"/>
    <tableColumn id="13946" xr3:uid="{6882D157-BF57-4977-B5A5-6423E2762663}" name="Column13946"/>
    <tableColumn id="13947" xr3:uid="{800586C7-D845-4805-A6C8-ED1C0333538E}" name="Column13947"/>
    <tableColumn id="13948" xr3:uid="{7E3154BE-5297-438C-880B-5855729DC24A}" name="Column13948"/>
    <tableColumn id="13949" xr3:uid="{7BAB1359-BED8-4D44-9419-E68E6D883A78}" name="Column13949"/>
    <tableColumn id="13950" xr3:uid="{5825936A-8E5D-4DD6-810B-33AAB6AE8025}" name="Column13950"/>
    <tableColumn id="13951" xr3:uid="{C115067C-D0B1-40F8-B130-0EE42DDB78BB}" name="Column13951"/>
    <tableColumn id="13952" xr3:uid="{6694E5EE-8E66-4AE7-8C69-EC7E6B073BDB}" name="Column13952"/>
    <tableColumn id="13953" xr3:uid="{6DAC942E-6D2B-4E61-880B-C7DC7C545389}" name="Column13953"/>
    <tableColumn id="13954" xr3:uid="{5D1412A4-0CD9-4923-A4B4-534F4E9F1930}" name="Column13954"/>
    <tableColumn id="13955" xr3:uid="{E792F736-ECB4-4A43-B89A-D1AC3EFFFEC5}" name="Column13955"/>
    <tableColumn id="13956" xr3:uid="{D5769C98-1A43-472E-8316-BD121E63C484}" name="Column13956"/>
    <tableColumn id="13957" xr3:uid="{CC5E30F8-46AA-4D52-B995-E79207277A49}" name="Column13957"/>
    <tableColumn id="13958" xr3:uid="{B27AC1E2-6702-4130-B653-73A9D53B0166}" name="Column13958"/>
    <tableColumn id="13959" xr3:uid="{B586E282-E47E-4197-BFF9-866EC3EC9ED5}" name="Column13959"/>
    <tableColumn id="13960" xr3:uid="{819AE350-B827-457A-B7C6-FC7B9FC8197B}" name="Column13960"/>
    <tableColumn id="13961" xr3:uid="{138871FD-999A-4C92-9B5A-38B47C5C41D9}" name="Column13961"/>
    <tableColumn id="13962" xr3:uid="{CA66B144-2EE6-4762-961D-213C1EA9C546}" name="Column13962"/>
    <tableColumn id="13963" xr3:uid="{091C9589-2C2D-4E2B-A545-4ACE51BE4455}" name="Column13963"/>
    <tableColumn id="13964" xr3:uid="{FD2FA534-75BF-4E74-B464-DBA80B72F5E8}" name="Column13964"/>
    <tableColumn id="13965" xr3:uid="{088FB2E4-D316-4EE3-B374-64D206B2CF67}" name="Column13965"/>
    <tableColumn id="13966" xr3:uid="{A15B68B1-08CF-40C7-9CA5-9A31BA3DD39C}" name="Column13966"/>
    <tableColumn id="13967" xr3:uid="{E4ACD7E5-4986-4C56-BA3D-A0CD9A83E10E}" name="Column13967"/>
    <tableColumn id="13968" xr3:uid="{7851829D-0503-498B-A588-EA340A7EE17D}" name="Column13968"/>
    <tableColumn id="13969" xr3:uid="{7E9095D9-6549-45A8-A1A3-7D78D0C618E8}" name="Column13969"/>
    <tableColumn id="13970" xr3:uid="{F50FD333-AF62-478A-BF77-15B1DB364A51}" name="Column13970"/>
    <tableColumn id="13971" xr3:uid="{B133F3BF-B16C-45A6-ADB8-A92455AA11D9}" name="Column13971"/>
    <tableColumn id="13972" xr3:uid="{D7EFDE21-65AC-4159-A474-B3A6E28CAF79}" name="Column13972"/>
    <tableColumn id="13973" xr3:uid="{1FBB38EC-613A-473C-8E98-6857BAF2E344}" name="Column13973"/>
    <tableColumn id="13974" xr3:uid="{910F2997-EA54-496E-8ABD-99C73DC6D9B8}" name="Column13974"/>
    <tableColumn id="13975" xr3:uid="{509423C0-8088-4153-B099-9FEB9BC0063E}" name="Column13975"/>
    <tableColumn id="13976" xr3:uid="{03137DA6-1A50-465B-9EC0-C9CFC82D0F86}" name="Column13976"/>
    <tableColumn id="13977" xr3:uid="{25390F77-58FD-4F69-88B1-D15836129FBC}" name="Column13977"/>
    <tableColumn id="13978" xr3:uid="{C1D729AC-9E15-4BED-BA2C-3F51BFC2547C}" name="Column13978"/>
    <tableColumn id="13979" xr3:uid="{FBB1995D-8095-4C8F-A74C-190DADD16906}" name="Column13979"/>
    <tableColumn id="13980" xr3:uid="{DCB76423-E240-4B14-AB92-3D264928B5CE}" name="Column13980"/>
    <tableColumn id="13981" xr3:uid="{36657E3C-8DBC-4858-B523-E5BB2E465AE5}" name="Column13981"/>
    <tableColumn id="13982" xr3:uid="{3E1BC667-FAEA-49EB-A5F1-DC5A468A0C68}" name="Column13982"/>
    <tableColumn id="13983" xr3:uid="{065E8098-40C2-4125-89FF-6462B8130DF1}" name="Column13983"/>
    <tableColumn id="13984" xr3:uid="{6AA7910E-8D9C-49A5-BFC2-275CBE871B98}" name="Column13984"/>
    <tableColumn id="13985" xr3:uid="{5D8611D1-CEA5-4D7A-87E3-86D0263F6C0D}" name="Column13985"/>
    <tableColumn id="13986" xr3:uid="{FE5423C3-F35D-418C-800D-58DC249030F4}" name="Column13986"/>
    <tableColumn id="13987" xr3:uid="{5BD68B12-93ED-455C-88C9-3D6D717C6BC4}" name="Column13987"/>
    <tableColumn id="13988" xr3:uid="{55B0671C-C0C0-453C-BCA6-6C91765CA499}" name="Column13988"/>
    <tableColumn id="13989" xr3:uid="{A4CBF5DB-819B-420E-82C8-D2820D575FC0}" name="Column13989"/>
    <tableColumn id="13990" xr3:uid="{AF857D9C-BC95-43B8-B6DC-3ACE468A0A3F}" name="Column13990"/>
    <tableColumn id="13991" xr3:uid="{5CDEB581-A765-4A17-A281-E0B0D97D8158}" name="Column13991"/>
    <tableColumn id="13992" xr3:uid="{A8A63DC5-63BE-4365-8E56-AA5A069B8E2D}" name="Column13992"/>
    <tableColumn id="13993" xr3:uid="{D25A3F59-D4BE-4720-B2AE-434E3D9D2BE7}" name="Column13993"/>
    <tableColumn id="13994" xr3:uid="{E0D259F8-FE1C-4DBE-847C-23FE45C8EABB}" name="Column13994"/>
    <tableColumn id="13995" xr3:uid="{16F37E6B-5B22-4205-B5CA-F4EB18AA1514}" name="Column13995"/>
    <tableColumn id="13996" xr3:uid="{D3D6B9FA-A53F-4A63-A318-26346D5A36CC}" name="Column13996"/>
    <tableColumn id="13997" xr3:uid="{DAC54760-F8AE-44FD-956E-D073360B4598}" name="Column13997"/>
    <tableColumn id="13998" xr3:uid="{FCE08C6A-E77A-4E0B-A412-C675A6913DA4}" name="Column13998"/>
    <tableColumn id="13999" xr3:uid="{A0D7745A-9582-461B-90B0-80EBFB393088}" name="Column13999"/>
    <tableColumn id="14000" xr3:uid="{36897CAF-68E4-4AAE-9D60-364B1E81CE68}" name="Column14000"/>
    <tableColumn id="14001" xr3:uid="{15A01AF1-C0A1-4FA0-84BF-F1EAD30BD5EF}" name="Column14001"/>
    <tableColumn id="14002" xr3:uid="{5464495F-D4A4-42D1-87CB-E2BEBA7DC839}" name="Column14002"/>
    <tableColumn id="14003" xr3:uid="{C7B8E755-98AA-48AA-B27B-BA36482D3878}" name="Column14003"/>
    <tableColumn id="14004" xr3:uid="{7F9375D5-071F-4E81-B859-76673BCFA580}" name="Column14004"/>
    <tableColumn id="14005" xr3:uid="{1F471C2A-58FE-4482-95CA-57A825D27E8D}" name="Column14005"/>
    <tableColumn id="14006" xr3:uid="{BFC1DB27-F279-4FFD-B510-3E4DF07D5D19}" name="Column14006"/>
    <tableColumn id="14007" xr3:uid="{537E5182-7AC3-4CDF-BD70-41ADF4D804AE}" name="Column14007"/>
    <tableColumn id="14008" xr3:uid="{01C93CDF-4208-48ED-8B7C-55FED846FFCC}" name="Column14008"/>
    <tableColumn id="14009" xr3:uid="{F5080EA9-E3E9-4876-8D57-4236F122FBA4}" name="Column14009"/>
    <tableColumn id="14010" xr3:uid="{A92C23CD-7DAC-4716-81D2-D579FF72EFB9}" name="Column14010"/>
    <tableColumn id="14011" xr3:uid="{6F24390D-B767-4168-B7A6-BC9CEB809D96}" name="Column14011"/>
    <tableColumn id="14012" xr3:uid="{0606E25D-5231-4761-8DA3-3E34C43F019B}" name="Column14012"/>
    <tableColumn id="14013" xr3:uid="{58C231A2-9943-4716-B171-4AF318C879A9}" name="Column14013"/>
    <tableColumn id="14014" xr3:uid="{766E8F40-EDFB-41AD-B194-C88FA1DBE157}" name="Column14014"/>
    <tableColumn id="14015" xr3:uid="{DECA1BED-DB06-4E8A-9C1D-2CB9927A3991}" name="Column14015"/>
    <tableColumn id="14016" xr3:uid="{7A5A53EC-6283-46FA-A838-A7C863C3067A}" name="Column14016"/>
    <tableColumn id="14017" xr3:uid="{01879C2E-7A8E-42D6-BEDE-3A348CF3EDF6}" name="Column14017"/>
    <tableColumn id="14018" xr3:uid="{094CF264-D4F5-4896-9973-77AE0A093CD1}" name="Column14018"/>
    <tableColumn id="14019" xr3:uid="{D3EA3502-9C31-4F4B-B1E9-B5421AA2B664}" name="Column14019"/>
    <tableColumn id="14020" xr3:uid="{D9E9C9E3-A594-44F3-BD5A-72662516AA43}" name="Column14020"/>
    <tableColumn id="14021" xr3:uid="{0FA23583-960E-4E5D-9208-6F4C06962AB5}" name="Column14021"/>
    <tableColumn id="14022" xr3:uid="{E61D7B8E-5566-47BA-A942-D63DC7DC6A40}" name="Column14022"/>
    <tableColumn id="14023" xr3:uid="{B3455381-AE6E-47FB-AF8C-B84D47D530E0}" name="Column14023"/>
    <tableColumn id="14024" xr3:uid="{8637E87B-E88D-40BE-9458-3E65245FB56E}" name="Column14024"/>
    <tableColumn id="14025" xr3:uid="{1FD29ECF-6876-40ED-931D-B720FC3EB2A1}" name="Column14025"/>
    <tableColumn id="14026" xr3:uid="{8FC9BC23-CFBD-42CF-80DA-17CA006C201D}" name="Column14026"/>
    <tableColumn id="14027" xr3:uid="{5EA792BB-B04A-4BD0-8EFD-43539F2474F4}" name="Column14027"/>
    <tableColumn id="14028" xr3:uid="{C0A5C787-F8B1-4038-87BC-5D861C5B2EF9}" name="Column14028"/>
    <tableColumn id="14029" xr3:uid="{BC276C2C-A75E-4611-A4EA-0429644E891A}" name="Column14029"/>
    <tableColumn id="14030" xr3:uid="{00F3518E-475C-4B11-BD19-3F8D3D41A9A6}" name="Column14030"/>
    <tableColumn id="14031" xr3:uid="{34708875-2689-495A-8042-A022D438008F}" name="Column14031"/>
    <tableColumn id="14032" xr3:uid="{DCFBB29B-A165-4E42-80BB-D8C60441E4AB}" name="Column14032"/>
    <tableColumn id="14033" xr3:uid="{796D3BA3-59AC-49B8-A8DB-E01BE5B29CC7}" name="Column14033"/>
    <tableColumn id="14034" xr3:uid="{F8EE2E6E-903D-43E4-818E-55F61685C369}" name="Column14034"/>
    <tableColumn id="14035" xr3:uid="{27605E9F-F406-4E0B-BF03-33C0D1B1830B}" name="Column14035"/>
    <tableColumn id="14036" xr3:uid="{8A5EB623-65F2-46A0-BD65-0ECEBC8AEB98}" name="Column14036"/>
    <tableColumn id="14037" xr3:uid="{EDB14EB6-6836-433C-93FD-A17FD15FFDFE}" name="Column14037"/>
    <tableColumn id="14038" xr3:uid="{4799439B-AFB6-4A28-83FD-D5097A2348CB}" name="Column14038"/>
    <tableColumn id="14039" xr3:uid="{3AE803A0-3AB5-49BF-A44C-615B745ECBEF}" name="Column14039"/>
    <tableColumn id="14040" xr3:uid="{5C423C07-D6D7-4FA3-A7ED-1D71257BE003}" name="Column14040"/>
    <tableColumn id="14041" xr3:uid="{703F6126-F888-4575-ACAB-8C7D709AF05C}" name="Column14041"/>
    <tableColumn id="14042" xr3:uid="{DBABAADD-0CFE-49A7-992B-D2151DD068EF}" name="Column14042"/>
    <tableColumn id="14043" xr3:uid="{D1CD8BAD-C429-435B-8422-992ABE526B73}" name="Column14043"/>
    <tableColumn id="14044" xr3:uid="{B3D0DEF5-10E9-4E8C-8AE6-49C365C66327}" name="Column14044"/>
    <tableColumn id="14045" xr3:uid="{2BFEA12A-5CE7-4304-86F7-34D0F26D9642}" name="Column14045"/>
    <tableColumn id="14046" xr3:uid="{646D23E5-4C3F-458B-BF0F-5230730EC35E}" name="Column14046"/>
    <tableColumn id="14047" xr3:uid="{9FB66178-3CAF-4D3C-A547-27BE2497089E}" name="Column14047"/>
    <tableColumn id="14048" xr3:uid="{0842D31C-02DA-4FF4-9E33-25A03E672977}" name="Column14048"/>
    <tableColumn id="14049" xr3:uid="{8A326B0B-9FBE-47DA-A537-A5BCD35B4386}" name="Column14049"/>
    <tableColumn id="14050" xr3:uid="{DC2CE2E7-9EF8-4690-B0B2-1C1050115BD1}" name="Column14050"/>
    <tableColumn id="14051" xr3:uid="{E37EE3B0-4537-4145-B7C3-33353DA6F07D}" name="Column14051"/>
    <tableColumn id="14052" xr3:uid="{DBE44698-746D-4649-9E52-153A16303E2A}" name="Column14052"/>
    <tableColumn id="14053" xr3:uid="{DC3E5D9F-6391-4487-B7BF-1208A236913F}" name="Column14053"/>
    <tableColumn id="14054" xr3:uid="{EEC15477-8A20-4BEA-8E16-F92C53674EE7}" name="Column14054"/>
    <tableColumn id="14055" xr3:uid="{FFB2A024-FAF1-42DB-BD87-66A9A6BCFE79}" name="Column14055"/>
    <tableColumn id="14056" xr3:uid="{2D6F65C9-3A33-40B5-A8A7-99BF3EAB310C}" name="Column14056"/>
    <tableColumn id="14057" xr3:uid="{5F137469-3413-4356-84BB-7375F8AA17F6}" name="Column14057"/>
    <tableColumn id="14058" xr3:uid="{B7CE3B1E-B39F-466E-A5B4-3C07C532C711}" name="Column14058"/>
    <tableColumn id="14059" xr3:uid="{CAFC3989-EFFA-4123-A568-35CA0A67D82F}" name="Column14059"/>
    <tableColumn id="14060" xr3:uid="{1A62611C-1A29-4F5D-AEB0-D5B5692615C7}" name="Column14060"/>
    <tableColumn id="14061" xr3:uid="{87CF87F1-E62A-4AC0-A082-436FCE5D6BEA}" name="Column14061"/>
    <tableColumn id="14062" xr3:uid="{56BE0F1B-79CB-4629-9AE1-E4705DE5B6FE}" name="Column14062"/>
    <tableColumn id="14063" xr3:uid="{79C7155B-18FC-4DC0-8D39-73DED3EE1C42}" name="Column14063"/>
    <tableColumn id="14064" xr3:uid="{0F79EC51-2A2E-470E-B1EF-D113D0AD2214}" name="Column14064"/>
    <tableColumn id="14065" xr3:uid="{4DAB19AE-0F72-491B-B1C0-381A74732A45}" name="Column14065"/>
    <tableColumn id="14066" xr3:uid="{B5ED6496-327E-4989-AC89-6A74F3614C72}" name="Column14066"/>
    <tableColumn id="14067" xr3:uid="{D210067D-73FE-459A-8904-534EACB1CC1B}" name="Column14067"/>
    <tableColumn id="14068" xr3:uid="{C5140723-129B-4938-A9C4-B8FD77DFE2A2}" name="Column14068"/>
    <tableColumn id="14069" xr3:uid="{231E8E0F-D17B-4EAE-BDF7-368397A4368C}" name="Column14069"/>
    <tableColumn id="14070" xr3:uid="{B44F8E1D-D138-4092-8AF4-DDCBAFE5C183}" name="Column14070"/>
    <tableColumn id="14071" xr3:uid="{6493A797-BCB8-42DF-A866-654E01A2FB6C}" name="Column14071"/>
    <tableColumn id="14072" xr3:uid="{BA4B0B2A-8320-45BB-8F88-4D5293476E30}" name="Column14072"/>
    <tableColumn id="14073" xr3:uid="{386B5800-E6DC-4E02-8F2E-A9F068358877}" name="Column14073"/>
    <tableColumn id="14074" xr3:uid="{0C5D4EBF-ADD2-4A01-92AE-0D60CE01A3FF}" name="Column14074"/>
    <tableColumn id="14075" xr3:uid="{D443B777-A609-4BF3-94D0-0A9E880D0F74}" name="Column14075"/>
    <tableColumn id="14076" xr3:uid="{ACF3ACD1-9DEC-4056-8334-D1A787754F34}" name="Column14076"/>
    <tableColumn id="14077" xr3:uid="{79791BA2-0C32-4878-9DC6-2F854EF293FE}" name="Column14077"/>
    <tableColumn id="14078" xr3:uid="{A531EC59-6737-4B0B-BB6B-98D3FBB497C0}" name="Column14078"/>
    <tableColumn id="14079" xr3:uid="{B7D42070-AAD2-4CA8-969A-2139C17EEBA3}" name="Column14079"/>
    <tableColumn id="14080" xr3:uid="{8729B707-7EF7-4959-A69C-2185336CFE19}" name="Column14080"/>
    <tableColumn id="14081" xr3:uid="{C044E7BF-B112-4752-A6A8-2FE2C47742D8}" name="Column14081"/>
    <tableColumn id="14082" xr3:uid="{080F3173-281E-4912-9AB3-49E0A7766D8A}" name="Column14082"/>
    <tableColumn id="14083" xr3:uid="{F7F085CB-2F7D-4385-B792-B750D679CC15}" name="Column14083"/>
    <tableColumn id="14084" xr3:uid="{CADC81D4-673A-4198-9065-C0B42116F5E8}" name="Column14084"/>
    <tableColumn id="14085" xr3:uid="{DEFA731D-792D-48ED-94C2-BF5FEA3A836C}" name="Column14085"/>
    <tableColumn id="14086" xr3:uid="{7B36EBB1-E55E-4CDA-A899-92580E986F2A}" name="Column14086"/>
    <tableColumn id="14087" xr3:uid="{B48AE38A-6664-4228-A3CF-293167EAAB69}" name="Column14087"/>
    <tableColumn id="14088" xr3:uid="{18747B7E-8D6F-4AF2-B93C-0BE46834C714}" name="Column14088"/>
    <tableColumn id="14089" xr3:uid="{DE6FEEF9-0089-49A4-B2C7-C6352B6A1CF5}" name="Column14089"/>
    <tableColumn id="14090" xr3:uid="{7F0B0D45-58AD-44A5-BBD5-4E129B7222AD}" name="Column14090"/>
    <tableColumn id="14091" xr3:uid="{8887B69B-6A34-48BF-B94B-20AEC974B717}" name="Column14091"/>
    <tableColumn id="14092" xr3:uid="{5C199DCF-7E6B-4B68-BD4D-C6C6AE7AA9E6}" name="Column14092"/>
    <tableColumn id="14093" xr3:uid="{96539CC5-8E30-4B35-81F2-C43E309773B4}" name="Column14093"/>
    <tableColumn id="14094" xr3:uid="{EB227500-9254-48C9-8B63-B69CA8C7363B}" name="Column14094"/>
    <tableColumn id="14095" xr3:uid="{FB14D6CC-3982-4571-B908-E14C9026DBE2}" name="Column14095"/>
    <tableColumn id="14096" xr3:uid="{FAEB646D-9179-4062-AF71-BBB1FF8CFE48}" name="Column14096"/>
    <tableColumn id="14097" xr3:uid="{8339B048-51E6-45DE-8AAD-6790C1E77F99}" name="Column14097"/>
    <tableColumn id="14098" xr3:uid="{95BE926F-E187-4AE3-B846-F7B044849971}" name="Column14098"/>
    <tableColumn id="14099" xr3:uid="{8BE08127-6919-414E-AF2D-6904417A525B}" name="Column14099"/>
    <tableColumn id="14100" xr3:uid="{9F4D2A8E-7EBA-418B-AD62-A9F72594994E}" name="Column14100"/>
    <tableColumn id="14101" xr3:uid="{493F8302-1D6B-4F77-85AD-81AE011C5E3F}" name="Column14101"/>
    <tableColumn id="14102" xr3:uid="{4270CDBF-94D9-48E8-AE33-7E4A73B0F653}" name="Column14102"/>
    <tableColumn id="14103" xr3:uid="{4044B77B-0B08-4908-B8AC-B16018CE4E74}" name="Column14103"/>
    <tableColumn id="14104" xr3:uid="{312D8FB5-5991-435B-8706-48B63260D449}" name="Column14104"/>
    <tableColumn id="14105" xr3:uid="{F226F686-62C6-4509-B4B6-34581973D4EB}" name="Column14105"/>
    <tableColumn id="14106" xr3:uid="{DE902C4C-D019-4020-ACE0-17CC79C079B5}" name="Column14106"/>
    <tableColumn id="14107" xr3:uid="{094DAD60-BA3B-40AA-92B2-5E7ACE379E00}" name="Column14107"/>
    <tableColumn id="14108" xr3:uid="{0CF2BA92-139D-492F-AE57-4E8D4B692BAD}" name="Column14108"/>
    <tableColumn id="14109" xr3:uid="{D6AB97D0-0E4C-4AC2-BA19-2D42CEDC82A6}" name="Column14109"/>
    <tableColumn id="14110" xr3:uid="{AC9E919F-C432-4444-AFCC-9626A1157FD4}" name="Column14110"/>
    <tableColumn id="14111" xr3:uid="{E380044F-40E5-41FF-A899-FB2ECD888F16}" name="Column14111"/>
    <tableColumn id="14112" xr3:uid="{ADDE1F98-B1DB-4F78-9638-A5A334A14224}" name="Column14112"/>
    <tableColumn id="14113" xr3:uid="{1AA3493D-8DC2-45BA-A463-DBD1B1297436}" name="Column14113"/>
    <tableColumn id="14114" xr3:uid="{FA282101-A432-433F-B5B3-CB21F02F0BAB}" name="Column14114"/>
    <tableColumn id="14115" xr3:uid="{60DCEEB4-E9E5-49D6-9768-1BFAAA83454D}" name="Column14115"/>
    <tableColumn id="14116" xr3:uid="{2124A637-B385-4D2A-B53B-D62D8A0255DA}" name="Column14116"/>
    <tableColumn id="14117" xr3:uid="{2AD88587-4438-4B79-8707-C5911278FEFE}" name="Column14117"/>
    <tableColumn id="14118" xr3:uid="{14C55882-E7D5-4524-BFDB-0B5D98EA3A35}" name="Column14118"/>
    <tableColumn id="14119" xr3:uid="{4B7A8165-CF04-4362-BBC1-ABF31A490325}" name="Column14119"/>
    <tableColumn id="14120" xr3:uid="{BF55B77D-B4DD-4B65-B245-D793E8E6E2C2}" name="Column14120"/>
    <tableColumn id="14121" xr3:uid="{898EFC83-019D-4F35-A361-76552EB11743}" name="Column14121"/>
    <tableColumn id="14122" xr3:uid="{CBCE7E6C-B54B-495D-BB6E-7BD4DEBFEDA6}" name="Column14122"/>
    <tableColumn id="14123" xr3:uid="{01A1C1F0-3C69-4831-BBE7-5F9B16ED35CA}" name="Column14123"/>
    <tableColumn id="14124" xr3:uid="{4226A03C-583C-4F4F-8D59-6BD7625012CF}" name="Column14124"/>
    <tableColumn id="14125" xr3:uid="{938E0594-7861-44C1-8CD8-120A8C0ED45F}" name="Column14125"/>
    <tableColumn id="14126" xr3:uid="{FB294885-EC92-44E2-A712-4EE5F1E5A93E}" name="Column14126"/>
    <tableColumn id="14127" xr3:uid="{5AAE7349-6CC2-429E-ACFC-362FC6AD279F}" name="Column14127"/>
    <tableColumn id="14128" xr3:uid="{7A6FC24C-46E6-4419-BAE6-729666021ED5}" name="Column14128"/>
    <tableColumn id="14129" xr3:uid="{8EC2147B-2360-44ED-9EF9-212EF188D258}" name="Column14129"/>
    <tableColumn id="14130" xr3:uid="{CE0CE3EE-9BE9-4E38-99D7-2E5A79053435}" name="Column14130"/>
    <tableColumn id="14131" xr3:uid="{BDBD449D-2B39-4008-8B31-B6D005C8CB83}" name="Column14131"/>
    <tableColumn id="14132" xr3:uid="{F4BD8F7E-B7F8-4A09-896E-8D8FDE933648}" name="Column14132"/>
    <tableColumn id="14133" xr3:uid="{07C6F6AE-B85A-4A58-91E7-B4FD952E3C8E}" name="Column14133"/>
    <tableColumn id="14134" xr3:uid="{DCA96C9E-7EEF-4A2F-9535-D0CA60A5C2CA}" name="Column14134"/>
    <tableColumn id="14135" xr3:uid="{C550A7C4-05E4-481F-AAE8-A49E63CC0EAB}" name="Column14135"/>
    <tableColumn id="14136" xr3:uid="{89A5EEB1-BD65-4B60-AF52-0B335021A1BB}" name="Column14136"/>
    <tableColumn id="14137" xr3:uid="{4C2D2DF1-11EB-42F1-A307-BFADD51E7FE0}" name="Column14137"/>
    <tableColumn id="14138" xr3:uid="{611862E0-44A2-4C68-ABD3-4C102CF8ED64}" name="Column14138"/>
    <tableColumn id="14139" xr3:uid="{6FF16A25-D139-4C8F-AAAC-09EA813991A4}" name="Column14139"/>
    <tableColumn id="14140" xr3:uid="{E8B8057A-E444-465B-93A0-D2BD84035D55}" name="Column14140"/>
    <tableColumn id="14141" xr3:uid="{07011968-5895-448D-9841-38C971841440}" name="Column14141"/>
    <tableColumn id="14142" xr3:uid="{E235140B-6C52-4208-9446-5495AAE20971}" name="Column14142"/>
    <tableColumn id="14143" xr3:uid="{3FB43003-9F32-42C7-AFA9-D0CE6628210F}" name="Column14143"/>
    <tableColumn id="14144" xr3:uid="{721D9ED6-4A7B-4FDA-93E3-1A00A40E37F4}" name="Column14144"/>
    <tableColumn id="14145" xr3:uid="{19432596-B85B-4D2D-B8F2-3252F621F27F}" name="Column14145"/>
    <tableColumn id="14146" xr3:uid="{D2F8EAD8-2A70-4B79-9080-C463FA54D4F5}" name="Column14146"/>
    <tableColumn id="14147" xr3:uid="{2F31834E-7214-418D-B5CD-40A8EB6B588C}" name="Column14147"/>
    <tableColumn id="14148" xr3:uid="{2FAA4B21-ED4B-421F-AEC9-C86FF0328F1C}" name="Column14148"/>
    <tableColumn id="14149" xr3:uid="{D08CCA65-A6AC-4DD8-95B6-E2484E662D45}" name="Column14149"/>
    <tableColumn id="14150" xr3:uid="{85AFF765-E638-4D92-B6E5-36A1F73EB5B1}" name="Column14150"/>
    <tableColumn id="14151" xr3:uid="{B3F155F8-6E8F-4375-81D6-FBAD5768F091}" name="Column14151"/>
    <tableColumn id="14152" xr3:uid="{C22CB431-6349-4319-BCB6-A89DF875EDD7}" name="Column14152"/>
    <tableColumn id="14153" xr3:uid="{309EF3D4-2905-4C7D-8BBF-2E4580C5FEA5}" name="Column14153"/>
    <tableColumn id="14154" xr3:uid="{E9526B20-CA69-44B2-913E-5D3C361EE5C4}" name="Column14154"/>
    <tableColumn id="14155" xr3:uid="{9F03BC8B-CDF8-4F3D-A0D4-453EAE12CC65}" name="Column14155"/>
    <tableColumn id="14156" xr3:uid="{FDF431B0-2910-46AD-9824-E7EED11B30B5}" name="Column14156"/>
    <tableColumn id="14157" xr3:uid="{D7F9F705-BDCA-4BC6-BB9A-0B7D7ED4364B}" name="Column14157"/>
    <tableColumn id="14158" xr3:uid="{CF5F638B-5E98-490A-9A51-B881FD197264}" name="Column14158"/>
    <tableColumn id="14159" xr3:uid="{8D6AB3F3-17B9-42AC-A720-5C7CFF225D8C}" name="Column14159"/>
    <tableColumn id="14160" xr3:uid="{D9BE543B-03D6-4CD4-95C7-C1A474852E49}" name="Column14160"/>
    <tableColumn id="14161" xr3:uid="{845C88E1-EA33-4E21-91F8-50990799BD96}" name="Column14161"/>
    <tableColumn id="14162" xr3:uid="{7DF571DB-8C48-4A44-86DD-5BD63E361196}" name="Column14162"/>
    <tableColumn id="14163" xr3:uid="{8611CE07-2A0E-454C-9B2C-425134A701A9}" name="Column14163"/>
    <tableColumn id="14164" xr3:uid="{98864FDA-7DA9-4B4B-B084-A4F6086213C3}" name="Column14164"/>
    <tableColumn id="14165" xr3:uid="{C5C1869C-9CF4-4B27-AFA8-6BCEE0CCBE7A}" name="Column14165"/>
    <tableColumn id="14166" xr3:uid="{0FCAB796-1068-46E8-8E12-3690F339D763}" name="Column14166"/>
    <tableColumn id="14167" xr3:uid="{25034454-CA07-457B-84C0-9EF6DC4C22DC}" name="Column14167"/>
    <tableColumn id="14168" xr3:uid="{6B78AF53-2C83-4E99-BD47-1A54DA81CB31}" name="Column14168"/>
    <tableColumn id="14169" xr3:uid="{0CAE6913-0DF1-4C9C-9BB3-58E818705414}" name="Column14169"/>
    <tableColumn id="14170" xr3:uid="{FE6F3D7D-B67F-4B11-8310-C2CBD2CAAA7C}" name="Column14170"/>
    <tableColumn id="14171" xr3:uid="{42CC848C-044B-4651-AE1E-86354613472A}" name="Column14171"/>
    <tableColumn id="14172" xr3:uid="{AC9694F7-68BF-4DCA-A837-18D5CEB78B09}" name="Column14172"/>
    <tableColumn id="14173" xr3:uid="{D20C7436-31CD-4765-A36B-0AA1CB800973}" name="Column14173"/>
    <tableColumn id="14174" xr3:uid="{519B9884-7D0F-4845-8AB2-428FDEAB7014}" name="Column14174"/>
    <tableColumn id="14175" xr3:uid="{97DF882D-1DFD-48AA-8410-91DBF376111B}" name="Column14175"/>
    <tableColumn id="14176" xr3:uid="{1DCB5ADB-EAE5-4115-B409-A633B0DAEE97}" name="Column14176"/>
    <tableColumn id="14177" xr3:uid="{0AB1ACC8-8B2F-4DDA-B2FB-812FE75BA68D}" name="Column14177"/>
    <tableColumn id="14178" xr3:uid="{E9EF1D1C-D714-4B8E-B084-2DDFA6242887}" name="Column14178"/>
    <tableColumn id="14179" xr3:uid="{4832F06B-9C6B-4953-8808-FC256D484525}" name="Column14179"/>
    <tableColumn id="14180" xr3:uid="{8E916133-5F81-4456-96D3-8294BA4FED5B}" name="Column14180"/>
    <tableColumn id="14181" xr3:uid="{60D2A701-B7CC-456A-834C-272FC55EAEDC}" name="Column14181"/>
    <tableColumn id="14182" xr3:uid="{88F2345A-D523-4057-9FD2-FDCC6D955972}" name="Column14182"/>
    <tableColumn id="14183" xr3:uid="{695CD37B-0C9D-4D4B-862A-790B4FE6003A}" name="Column14183"/>
    <tableColumn id="14184" xr3:uid="{C81B7212-5A39-4CCC-9CF6-E68387BB83AB}" name="Column14184"/>
    <tableColumn id="14185" xr3:uid="{302279F4-7D24-40DC-8430-14BD20EC332E}" name="Column14185"/>
    <tableColumn id="14186" xr3:uid="{567410D4-8183-4A17-936C-3C14B8805392}" name="Column14186"/>
    <tableColumn id="14187" xr3:uid="{26BFE965-1D81-4C9D-A390-C079A6E5E045}" name="Column14187"/>
    <tableColumn id="14188" xr3:uid="{4B402A7B-68DF-4716-A5DD-37E37FF0C8B8}" name="Column14188"/>
    <tableColumn id="14189" xr3:uid="{FC8631EA-5582-45CF-A5DF-EB0AADA05FF4}" name="Column14189"/>
    <tableColumn id="14190" xr3:uid="{3263DE9B-A824-4E23-BF46-FBEB126634FF}" name="Column14190"/>
    <tableColumn id="14191" xr3:uid="{3078F3D6-AF33-4E74-B341-CC07B00739FC}" name="Column14191"/>
    <tableColumn id="14192" xr3:uid="{3225D061-B8AF-44A9-99A8-ECE514F6816C}" name="Column14192"/>
    <tableColumn id="14193" xr3:uid="{898CD403-14C8-4217-B6FC-4AC53C01169D}" name="Column14193"/>
    <tableColumn id="14194" xr3:uid="{4B7F5B9A-4A82-4147-9B79-A4AE256A266F}" name="Column14194"/>
    <tableColumn id="14195" xr3:uid="{2AE569B1-7188-4924-BBEB-6C1535991FDF}" name="Column14195"/>
    <tableColumn id="14196" xr3:uid="{94C5A56F-C71A-4B09-A745-764A61A51067}" name="Column14196"/>
    <tableColumn id="14197" xr3:uid="{F2368D7D-FF19-44CF-B9E9-D7EA57117C07}" name="Column14197"/>
    <tableColumn id="14198" xr3:uid="{0692FBB0-1FE5-43FB-8316-0DE2EF784226}" name="Column14198"/>
    <tableColumn id="14199" xr3:uid="{F8DA0D8E-93AF-43AB-A2B2-ED57E08FABE3}" name="Column14199"/>
    <tableColumn id="14200" xr3:uid="{CC780E2D-55EF-4FFE-A3B3-B610A2BEB0F3}" name="Column14200"/>
    <tableColumn id="14201" xr3:uid="{18051C05-1840-4DA6-8BA5-94F13DC9011E}" name="Column14201"/>
    <tableColumn id="14202" xr3:uid="{D65E3549-D883-4830-86BE-80882810C103}" name="Column14202"/>
    <tableColumn id="14203" xr3:uid="{74A7ADD8-9141-4199-BFB0-CAAF5D0F2898}" name="Column14203"/>
    <tableColumn id="14204" xr3:uid="{B6C4DE45-8567-4B6A-9456-4D6B6D42CAE7}" name="Column14204"/>
    <tableColumn id="14205" xr3:uid="{B6EB3214-295F-4776-9FA0-9244CA2A0B43}" name="Column14205"/>
    <tableColumn id="14206" xr3:uid="{00D2EBF3-361D-425D-995B-8CB442FA8AD7}" name="Column14206"/>
    <tableColumn id="14207" xr3:uid="{98FC33D5-DDEF-4ABA-B167-1C178EF1D3E2}" name="Column14207"/>
    <tableColumn id="14208" xr3:uid="{8627CF11-9E8A-45C9-8CA3-14EAD99971A7}" name="Column14208"/>
    <tableColumn id="14209" xr3:uid="{BD21F4FB-993C-4D5D-8431-2EE33E027D8B}" name="Column14209"/>
    <tableColumn id="14210" xr3:uid="{F960EBAD-638B-4211-AB05-63EC1AA4AB10}" name="Column14210"/>
    <tableColumn id="14211" xr3:uid="{B40D3257-99A2-49E9-9091-806E72981A9F}" name="Column14211"/>
    <tableColumn id="14212" xr3:uid="{AF1D61AC-22C9-4BB8-A421-A0EA159F95BA}" name="Column14212"/>
    <tableColumn id="14213" xr3:uid="{629EEBA4-0B18-495F-89BE-89275CFD1FFE}" name="Column14213"/>
    <tableColumn id="14214" xr3:uid="{AEE64BA9-2AE4-46E8-B398-1AA9EE83059B}" name="Column14214"/>
    <tableColumn id="14215" xr3:uid="{E2E9760C-27AB-43C4-847D-BD825607C018}" name="Column14215"/>
    <tableColumn id="14216" xr3:uid="{9F964A60-E48F-4914-AD06-BDCC2963E8BD}" name="Column14216"/>
    <tableColumn id="14217" xr3:uid="{5EAD3A0C-DF44-4C28-9E88-AA15EFE462AA}" name="Column14217"/>
    <tableColumn id="14218" xr3:uid="{0A318AF2-E88D-41A6-9129-CC6C45E68508}" name="Column14218"/>
    <tableColumn id="14219" xr3:uid="{58DA7605-83C4-4368-AABF-327CF504E977}" name="Column14219"/>
    <tableColumn id="14220" xr3:uid="{41948811-D0F5-4EE7-92AF-F37FBCE2736F}" name="Column14220"/>
    <tableColumn id="14221" xr3:uid="{A9EA8B9F-4410-41E2-9ACF-861D1C01B5FF}" name="Column14221"/>
    <tableColumn id="14222" xr3:uid="{C5543A06-EB9C-4EDA-A569-7DEFEBEED8A8}" name="Column14222"/>
    <tableColumn id="14223" xr3:uid="{32AD930E-8F91-4B5C-9CD3-24C997574030}" name="Column14223"/>
    <tableColumn id="14224" xr3:uid="{D874609A-7364-400D-B460-2F6F1472B42A}" name="Column14224"/>
    <tableColumn id="14225" xr3:uid="{8A281296-75F3-436C-8364-5389B1B7DB5E}" name="Column14225"/>
    <tableColumn id="14226" xr3:uid="{3F78EF42-E65B-4FBF-ADEA-93EC51535B3E}" name="Column14226"/>
    <tableColumn id="14227" xr3:uid="{613EA6D8-4687-4869-B7DB-CB6ADE1E7AA7}" name="Column14227"/>
    <tableColumn id="14228" xr3:uid="{4F194DC4-2421-477D-BE66-098C49AABD3D}" name="Column14228"/>
    <tableColumn id="14229" xr3:uid="{B98553D8-170C-4D79-8595-39FD6C2E1B6B}" name="Column14229"/>
    <tableColumn id="14230" xr3:uid="{18B5BAEC-5290-41E8-9699-B7BB7998A67F}" name="Column14230"/>
    <tableColumn id="14231" xr3:uid="{E6CABFAE-CC41-4491-A983-78B2BAC3767B}" name="Column14231"/>
    <tableColumn id="14232" xr3:uid="{5018F109-9E0D-470F-85BE-0C983C00B94D}" name="Column14232"/>
    <tableColumn id="14233" xr3:uid="{E0F18911-930B-4246-922D-E565954BB328}" name="Column14233"/>
    <tableColumn id="14234" xr3:uid="{76D667F7-84A7-4E65-9AE0-8ABC9249957D}" name="Column14234"/>
    <tableColumn id="14235" xr3:uid="{E9121715-4691-4E54-82EA-2DCE1D430ED3}" name="Column14235"/>
    <tableColumn id="14236" xr3:uid="{F86AB06C-FD2E-4833-A76A-E51A576ED70A}" name="Column14236"/>
    <tableColumn id="14237" xr3:uid="{A86BFBFC-5592-4052-828C-93BFEB3E5DEB}" name="Column14237"/>
    <tableColumn id="14238" xr3:uid="{D2C34AF6-CA18-4664-8B81-A4CCD1B3C489}" name="Column14238"/>
    <tableColumn id="14239" xr3:uid="{5CF6ABC5-F904-4085-8300-1015238525F9}" name="Column14239"/>
    <tableColumn id="14240" xr3:uid="{65A7A211-AB44-4920-A0E6-773761B0FD17}" name="Column14240"/>
    <tableColumn id="14241" xr3:uid="{2D49B05A-4DFF-4564-A1F7-921E6B2EAA83}" name="Column14241"/>
    <tableColumn id="14242" xr3:uid="{AFE4860B-0B27-4BB9-88A3-51F03B0BCAEE}" name="Column14242"/>
    <tableColumn id="14243" xr3:uid="{4102E6C7-4C24-4D3B-BB7A-0F9D66FBB110}" name="Column14243"/>
    <tableColumn id="14244" xr3:uid="{A161F9CF-F2F1-4EE7-8CC9-8734C628D99E}" name="Column14244"/>
    <tableColumn id="14245" xr3:uid="{57E5EEC5-2BF1-4E6D-826E-DDE148F3E955}" name="Column14245"/>
    <tableColumn id="14246" xr3:uid="{629EE9CD-99B9-4393-827B-FBCBFD1D1948}" name="Column14246"/>
    <tableColumn id="14247" xr3:uid="{DACF87F4-8383-4061-BE27-B7664402ED5F}" name="Column14247"/>
    <tableColumn id="14248" xr3:uid="{F5DD20B8-2C1A-4EA1-8851-99C7DB496B14}" name="Column14248"/>
    <tableColumn id="14249" xr3:uid="{407F8CDE-1223-4D29-B4E3-B2A4BA56D576}" name="Column14249"/>
    <tableColumn id="14250" xr3:uid="{5DA5CF95-D3D3-4F57-B590-F8B57E0312D2}" name="Column14250"/>
    <tableColumn id="14251" xr3:uid="{A773BC72-AC77-42EC-91E5-AB39747164D6}" name="Column14251"/>
    <tableColumn id="14252" xr3:uid="{91166724-D5C2-4F3A-A0CA-DDB87236753E}" name="Column14252"/>
    <tableColumn id="14253" xr3:uid="{093E7937-18B7-4546-A7E5-C38A2029EFF3}" name="Column14253"/>
    <tableColumn id="14254" xr3:uid="{4B983FBA-32D8-4331-BC39-754484A3CE8B}" name="Column14254"/>
    <tableColumn id="14255" xr3:uid="{975B1AA9-9F30-409C-B427-1A4E389304A7}" name="Column14255"/>
    <tableColumn id="14256" xr3:uid="{2F0902C3-0FA2-4878-BD46-091340D6D783}" name="Column14256"/>
    <tableColumn id="14257" xr3:uid="{D7026CE3-E04E-4BF6-A5AD-E5CEE64F75BD}" name="Column14257"/>
    <tableColumn id="14258" xr3:uid="{23284B33-7CB9-445B-945D-0722CF13BD98}" name="Column14258"/>
    <tableColumn id="14259" xr3:uid="{F978735D-B009-4DD3-8EE8-07903B55E6ED}" name="Column14259"/>
    <tableColumn id="14260" xr3:uid="{30321452-05E5-48BF-93D9-C2AEE7BAE377}" name="Column14260"/>
    <tableColumn id="14261" xr3:uid="{B7A2636B-F35F-4677-B2F0-5C3AAFD209B3}" name="Column14261"/>
    <tableColumn id="14262" xr3:uid="{CC8FEA6B-54B5-408E-BDCB-158ABC0D0186}" name="Column14262"/>
    <tableColumn id="14263" xr3:uid="{0859665F-52BE-4CD2-9E07-9812895BAF0B}" name="Column14263"/>
    <tableColumn id="14264" xr3:uid="{6744B3EC-0AF8-4E51-ABDD-23E99252402A}" name="Column14264"/>
    <tableColumn id="14265" xr3:uid="{6F096FC1-9062-40A6-BB0C-D8F81D0A29B2}" name="Column14265"/>
    <tableColumn id="14266" xr3:uid="{E35895EF-5B7A-471A-8512-07E3D042C748}" name="Column14266"/>
    <tableColumn id="14267" xr3:uid="{DAC5A4E3-7691-476A-80BD-B2859B07E0EC}" name="Column14267"/>
    <tableColumn id="14268" xr3:uid="{0F8BFE68-A240-4F0B-8A3A-0C7516F155CF}" name="Column14268"/>
    <tableColumn id="14269" xr3:uid="{0ECA5F89-1D41-4033-AFAE-4E8C838A5719}" name="Column14269"/>
    <tableColumn id="14270" xr3:uid="{C99C7BFD-08EE-4FA3-AA78-FF91B2C7877F}" name="Column14270"/>
    <tableColumn id="14271" xr3:uid="{C07CCD0D-D966-47AC-A27F-E79F90AD19AC}" name="Column14271"/>
    <tableColumn id="14272" xr3:uid="{2DB18C98-BBD7-4500-A45E-9AD70B076B26}" name="Column14272"/>
    <tableColumn id="14273" xr3:uid="{FA84C743-61AD-441D-B3D9-275EFD4C1D4F}" name="Column14273"/>
    <tableColumn id="14274" xr3:uid="{51B960FA-CA6C-4B19-AEF0-EE846DEF9370}" name="Column14274"/>
    <tableColumn id="14275" xr3:uid="{BCC6859E-477A-417A-87B3-1B8C8782B9B3}" name="Column14275"/>
    <tableColumn id="14276" xr3:uid="{4DFCDB02-528A-4616-9146-D6B82E372450}" name="Column14276"/>
    <tableColumn id="14277" xr3:uid="{790FD067-18D8-4547-BC41-819FD0488B4D}" name="Column14277"/>
    <tableColumn id="14278" xr3:uid="{92D625C7-0958-4233-B5BA-83BEF1EDAC5F}" name="Column14278"/>
    <tableColumn id="14279" xr3:uid="{000AFFB2-E453-437B-91DE-1233D61B346F}" name="Column14279"/>
    <tableColumn id="14280" xr3:uid="{7BADACB3-DC96-4B19-8463-BE61381E00B6}" name="Column14280"/>
    <tableColumn id="14281" xr3:uid="{3901E9DB-27C7-452D-8985-B02EA34966DC}" name="Column14281"/>
    <tableColumn id="14282" xr3:uid="{979EBB30-784A-4F56-A4E2-8236CB477C17}" name="Column14282"/>
    <tableColumn id="14283" xr3:uid="{5512CDF8-0C57-4B77-B373-16676B9A268A}" name="Column14283"/>
    <tableColumn id="14284" xr3:uid="{E5D7AE9D-4474-4107-AB58-1A245947E7A5}" name="Column14284"/>
    <tableColumn id="14285" xr3:uid="{F0371324-6F9A-44E2-B6A6-A52BD33A312C}" name="Column14285"/>
    <tableColumn id="14286" xr3:uid="{CC73F604-3FB5-4D05-8111-E4DCCF9E7455}" name="Column14286"/>
    <tableColumn id="14287" xr3:uid="{F89D09EE-4AB4-4E16-B2CE-B399D00E288C}" name="Column14287"/>
    <tableColumn id="14288" xr3:uid="{3405F450-4367-498B-9947-BC5CC029E19D}" name="Column14288"/>
    <tableColumn id="14289" xr3:uid="{ED1B007A-CFB7-4C23-9C53-EE54305183F4}" name="Column14289"/>
    <tableColumn id="14290" xr3:uid="{6B049EF3-08DB-415B-8D75-11B9E6933940}" name="Column14290"/>
    <tableColumn id="14291" xr3:uid="{A993B8C7-49D6-4195-9ADC-B8B97DD0CADB}" name="Column14291"/>
    <tableColumn id="14292" xr3:uid="{11EFF755-64CB-4BCE-9212-9083AE2555D6}" name="Column14292"/>
    <tableColumn id="14293" xr3:uid="{21BD905B-3091-4B59-B940-C12703A56E7F}" name="Column14293"/>
    <tableColumn id="14294" xr3:uid="{D226E43B-F75A-453F-8387-A2100E8FC115}" name="Column14294"/>
    <tableColumn id="14295" xr3:uid="{51BD41D7-2712-4FB9-A08D-732DD6D59CF0}" name="Column14295"/>
    <tableColumn id="14296" xr3:uid="{E82EBA96-EAA6-4986-BB9D-CD852042A82B}" name="Column14296"/>
    <tableColumn id="14297" xr3:uid="{FA8A3B3D-ED4D-464E-A4FA-03FBFFBA7E0D}" name="Column14297"/>
    <tableColumn id="14298" xr3:uid="{3F9DECC3-8809-48CB-BBEC-B686878EDBA5}" name="Column14298"/>
    <tableColumn id="14299" xr3:uid="{51DED7D4-C6AF-471B-9C30-DB1E59F7527B}" name="Column14299"/>
    <tableColumn id="14300" xr3:uid="{D3DF8EB9-76F4-4FAA-9369-F1D967F28866}" name="Column14300"/>
    <tableColumn id="14301" xr3:uid="{594E9CDE-CBDF-4993-B0FB-639FD1EAFC96}" name="Column14301"/>
    <tableColumn id="14302" xr3:uid="{019C7633-0596-40F6-B727-D64F8C9EC27B}" name="Column14302"/>
    <tableColumn id="14303" xr3:uid="{BC8D6267-3133-4F59-863B-2B0DC8A2994C}" name="Column14303"/>
    <tableColumn id="14304" xr3:uid="{8968D4A1-2BDF-4BE9-84C4-7716DD52A451}" name="Column14304"/>
    <tableColumn id="14305" xr3:uid="{7E6E5688-2EB6-4B6B-9480-0AEB54EE2632}" name="Column14305"/>
    <tableColumn id="14306" xr3:uid="{BE140F8E-6F80-45CF-B52E-7B4463F57D0E}" name="Column14306"/>
    <tableColumn id="14307" xr3:uid="{1236F884-45E7-44AF-AF1D-ADEECE0514B0}" name="Column14307"/>
    <tableColumn id="14308" xr3:uid="{339BBC99-D4C2-49AE-BC01-F33BC7E4F7A9}" name="Column14308"/>
    <tableColumn id="14309" xr3:uid="{E9E22D95-3586-4018-B588-378880A255BF}" name="Column14309"/>
    <tableColumn id="14310" xr3:uid="{2AFA203F-4B2E-44EE-9A3C-3420804BEB92}" name="Column14310"/>
    <tableColumn id="14311" xr3:uid="{C4004A76-9E95-49BE-82AB-11B0E02F2E37}" name="Column14311"/>
    <tableColumn id="14312" xr3:uid="{B1BCD4BC-BAC7-40C4-82BB-36E635D68F35}" name="Column14312"/>
    <tableColumn id="14313" xr3:uid="{26E9BB8D-44A5-4F76-BB44-571823C2B68E}" name="Column14313"/>
    <tableColumn id="14314" xr3:uid="{F02B220A-BC96-4C75-B58D-6A6235DE9970}" name="Column14314"/>
    <tableColumn id="14315" xr3:uid="{CC012DFE-2B3D-4ABE-9040-AFE1715D13F8}" name="Column14315"/>
    <tableColumn id="14316" xr3:uid="{614721A1-C8D0-4D47-8773-B2C23685C7A9}" name="Column14316"/>
    <tableColumn id="14317" xr3:uid="{4A12ECD2-475D-4A9F-9FFD-A6CAFB2C1713}" name="Column14317"/>
    <tableColumn id="14318" xr3:uid="{F6353F39-32D2-479D-B56F-57412C02C331}" name="Column14318"/>
    <tableColumn id="14319" xr3:uid="{D53333D3-3123-4E60-B524-CC71C5B114FA}" name="Column14319"/>
    <tableColumn id="14320" xr3:uid="{CD79F02E-0C25-4DAD-90A0-31AD506CC0E7}" name="Column14320"/>
    <tableColumn id="14321" xr3:uid="{B75AE84B-5B51-4C4D-ABB2-E983E129E0AE}" name="Column14321"/>
    <tableColumn id="14322" xr3:uid="{15169385-EC84-49BB-9FB4-487C8DA593C7}" name="Column14322"/>
    <tableColumn id="14323" xr3:uid="{20ABD6B4-EC0C-401E-9835-6B86B6B51A37}" name="Column14323"/>
    <tableColumn id="14324" xr3:uid="{DF9BD06D-58A8-48DA-A172-8718E39D94C5}" name="Column14324"/>
    <tableColumn id="14325" xr3:uid="{F8FAC655-1EAA-4396-B712-2E86EEDA52D0}" name="Column14325"/>
    <tableColumn id="14326" xr3:uid="{062A4C87-C4F6-4103-B53B-6AC8EC516374}" name="Column14326"/>
    <tableColumn id="14327" xr3:uid="{9D1CD2B3-C3C3-4103-BDB0-2B5A259009B5}" name="Column14327"/>
    <tableColumn id="14328" xr3:uid="{054556DF-D33B-4E04-AC52-60EFF7C4DA3C}" name="Column14328"/>
    <tableColumn id="14329" xr3:uid="{1E413236-1083-463F-8C43-C1E169B0A1F3}" name="Column14329"/>
    <tableColumn id="14330" xr3:uid="{7E743B93-F3E5-4A4C-B59E-8DF9BA6FDF36}" name="Column14330"/>
    <tableColumn id="14331" xr3:uid="{906E8614-BEAC-458E-838E-1D43C05E67B4}" name="Column14331"/>
    <tableColumn id="14332" xr3:uid="{3945C2D5-2AE7-40A2-A622-4196810C1727}" name="Column14332"/>
    <tableColumn id="14333" xr3:uid="{132979CD-9E68-4EC6-9C42-0FBDB6121569}" name="Column14333"/>
    <tableColumn id="14334" xr3:uid="{C5367178-106A-4A13-92BE-B63430C75854}" name="Column14334"/>
    <tableColumn id="14335" xr3:uid="{7F00A2A0-2C93-4ABE-AC75-4E17CE309F4F}" name="Column14335"/>
    <tableColumn id="14336" xr3:uid="{E291CF91-3108-4787-996C-0E6488F9F51E}" name="Column14336"/>
    <tableColumn id="14337" xr3:uid="{F73F8ACF-FCC8-4007-A224-18368BDDFE09}" name="Column14337"/>
    <tableColumn id="14338" xr3:uid="{ED24A303-819A-4C11-8715-26ABB606B5E5}" name="Column14338"/>
    <tableColumn id="14339" xr3:uid="{CC4D36FE-1C7F-441E-A94A-75B9A5FD5D3F}" name="Column14339"/>
    <tableColumn id="14340" xr3:uid="{CFD7CE8C-B318-469B-9DD3-22A3CA02206C}" name="Column14340"/>
    <tableColumn id="14341" xr3:uid="{D8D328C5-CD88-4BB8-8D76-6D8DEA363D1D}" name="Column14341"/>
    <tableColumn id="14342" xr3:uid="{77B3B0AB-508A-466C-B34E-A113D020EE87}" name="Column14342"/>
    <tableColumn id="14343" xr3:uid="{2738B952-E305-4113-9F63-AD857F00002C}" name="Column14343"/>
    <tableColumn id="14344" xr3:uid="{92593265-7240-4F36-9059-7FC1AAC7009D}" name="Column14344"/>
    <tableColumn id="14345" xr3:uid="{3D452511-751C-47AB-8603-53C85C840DD1}" name="Column14345"/>
    <tableColumn id="14346" xr3:uid="{48120EDE-A11F-46B7-9FDD-81307EB41FD2}" name="Column14346"/>
    <tableColumn id="14347" xr3:uid="{ABAACFA6-97C2-419E-9CED-77FB4ED90EC9}" name="Column14347"/>
    <tableColumn id="14348" xr3:uid="{E95F2384-1845-41AA-A935-5ED6F2112885}" name="Column14348"/>
    <tableColumn id="14349" xr3:uid="{D9A45170-9AFD-402A-88D7-C699D72657F4}" name="Column14349"/>
    <tableColumn id="14350" xr3:uid="{8D7CDA38-A2F5-4298-ABE0-BED9B4F05C87}" name="Column14350"/>
    <tableColumn id="14351" xr3:uid="{48DD5EB3-6432-465D-806F-4BE62E4929F1}" name="Column14351"/>
    <tableColumn id="14352" xr3:uid="{40E32086-779A-4223-A33E-AEBE596F9F86}" name="Column14352"/>
    <tableColumn id="14353" xr3:uid="{55C0182E-8433-4BC5-A590-6EFD503D666F}" name="Column14353"/>
    <tableColumn id="14354" xr3:uid="{948080A7-FC2B-4CDB-8CF5-112610004FC8}" name="Column14354"/>
    <tableColumn id="14355" xr3:uid="{FA510F5D-85C4-4B10-B805-D6415C51D6EC}" name="Column14355"/>
    <tableColumn id="14356" xr3:uid="{68AE5461-AE9D-4015-9698-FA34E3B56F2C}" name="Column14356"/>
    <tableColumn id="14357" xr3:uid="{30161BE0-5756-4A96-B3FB-7C207E89B4CC}" name="Column14357"/>
    <tableColumn id="14358" xr3:uid="{AB03EF05-052C-495A-9459-A21F36472C37}" name="Column14358"/>
    <tableColumn id="14359" xr3:uid="{CD3E4B35-CEDF-4999-BFAC-5B442D6BC554}" name="Column14359"/>
    <tableColumn id="14360" xr3:uid="{4AD73677-9219-44FB-B1E0-33C215AC38C0}" name="Column14360"/>
    <tableColumn id="14361" xr3:uid="{E2F666CA-2666-4C6E-873C-9819684BADE9}" name="Column14361"/>
    <tableColumn id="14362" xr3:uid="{C92886C8-B854-474B-80A5-B5928B1A31CB}" name="Column14362"/>
    <tableColumn id="14363" xr3:uid="{207ECE17-A7BA-4982-A6F6-09205039A183}" name="Column14363"/>
    <tableColumn id="14364" xr3:uid="{C6DF88D7-C4C1-49FF-908A-3FE2D6C6FF6C}" name="Column14364"/>
    <tableColumn id="14365" xr3:uid="{56166A0F-C323-4982-A987-3D6BFCF05447}" name="Column14365"/>
    <tableColumn id="14366" xr3:uid="{3B022C9E-EF42-4749-A9E5-D7446DDC7591}" name="Column14366"/>
    <tableColumn id="14367" xr3:uid="{919A2B9F-65CE-4786-B3C2-EE5C51B2A1D1}" name="Column14367"/>
    <tableColumn id="14368" xr3:uid="{5DE3C867-A596-4EFA-AA47-B6D537B0FD75}" name="Column14368"/>
    <tableColumn id="14369" xr3:uid="{096CB854-39D7-4DD5-8369-5357C60E676A}" name="Column14369"/>
    <tableColumn id="14370" xr3:uid="{783124E5-3268-45BE-97A7-EF3888171E7C}" name="Column14370"/>
    <tableColumn id="14371" xr3:uid="{821494C4-921B-4533-9D32-BCC72527EB59}" name="Column14371"/>
    <tableColumn id="14372" xr3:uid="{2A0A5012-8103-4622-9AC6-C0AD442F6A29}" name="Column14372"/>
    <tableColumn id="14373" xr3:uid="{9DB9B932-E876-428B-840D-85F5287329F1}" name="Column14373"/>
    <tableColumn id="14374" xr3:uid="{00F9916B-647E-40BF-8277-D18A177421C4}" name="Column14374"/>
    <tableColumn id="14375" xr3:uid="{DC94149D-74F7-4582-9A3B-8CC67E99394A}" name="Column14375"/>
    <tableColumn id="14376" xr3:uid="{07DE5745-966F-4AB6-9B3F-72CA08C94E35}" name="Column14376"/>
    <tableColumn id="14377" xr3:uid="{E514320F-AF82-4486-8072-CB1FB1AEA3D4}" name="Column14377"/>
    <tableColumn id="14378" xr3:uid="{B6A89FF3-DCDA-4F9B-AB9A-31622F8B2833}" name="Column14378"/>
    <tableColumn id="14379" xr3:uid="{D2069215-6757-48E4-8517-C430C9ADEA97}" name="Column14379"/>
    <tableColumn id="14380" xr3:uid="{58400A94-2345-4DC3-A414-B82CDE793A55}" name="Column14380"/>
    <tableColumn id="14381" xr3:uid="{D5501712-38BB-4B54-8851-4DDCD65941C3}" name="Column14381"/>
    <tableColumn id="14382" xr3:uid="{F6F4AA83-1334-49AB-8DC6-741BDAEF38C6}" name="Column14382"/>
    <tableColumn id="14383" xr3:uid="{143A3C70-2CB5-4FB3-9F80-D176BC8C899A}" name="Column14383"/>
    <tableColumn id="14384" xr3:uid="{95AB97C0-D359-4EAB-9C5F-1D6A2D8CB2BD}" name="Column14384"/>
    <tableColumn id="14385" xr3:uid="{88D8A738-F3F3-4CF3-BBC0-C304C00DE1F2}" name="Column14385"/>
    <tableColumn id="14386" xr3:uid="{438BFA30-DD9E-4ADF-B250-4B81AEC1B30A}" name="Column14386"/>
    <tableColumn id="14387" xr3:uid="{B7BFC841-84D8-48A2-AF63-289C5254143F}" name="Column14387"/>
    <tableColumn id="14388" xr3:uid="{6AE8994C-A9A3-45A7-9126-4C0C8390709E}" name="Column14388"/>
    <tableColumn id="14389" xr3:uid="{56B2870D-175A-483A-9347-ACCA32B84077}" name="Column14389"/>
    <tableColumn id="14390" xr3:uid="{52B5B4C0-CC0E-4139-B392-E993D5CE6400}" name="Column14390"/>
    <tableColumn id="14391" xr3:uid="{2227A00C-F73B-4859-B239-12E12557FC9B}" name="Column14391"/>
    <tableColumn id="14392" xr3:uid="{E66E11DC-E764-4E99-AFC6-5EE25B612996}" name="Column14392"/>
    <tableColumn id="14393" xr3:uid="{818FDCE3-AB92-4774-9DE8-4D0FEA44C43D}" name="Column14393"/>
    <tableColumn id="14394" xr3:uid="{CD4C43FF-E468-4AC7-8621-875C2008D0AB}" name="Column14394"/>
    <tableColumn id="14395" xr3:uid="{D254BCB2-FE12-40F1-8500-BED33FEC6CC6}" name="Column14395"/>
    <tableColumn id="14396" xr3:uid="{B6A83F97-6482-4F9B-9FA0-5EBE35588E4B}" name="Column14396"/>
    <tableColumn id="14397" xr3:uid="{3062D7C4-8495-47C7-8034-2F90D6339B37}" name="Column14397"/>
    <tableColumn id="14398" xr3:uid="{23BC4DA9-2E2A-442D-8246-DBC1BB63EA1F}" name="Column14398"/>
    <tableColumn id="14399" xr3:uid="{D2424753-31EE-45A4-B2A2-5C192604BE1D}" name="Column14399"/>
    <tableColumn id="14400" xr3:uid="{0442EB81-CA10-45E3-8544-F871B8C07DAE}" name="Column14400"/>
    <tableColumn id="14401" xr3:uid="{C45A17D6-07F9-4029-A7C5-5E2DDCEC3990}" name="Column14401"/>
    <tableColumn id="14402" xr3:uid="{392501A1-DB12-49B7-A8EA-D8D3F3FC3198}" name="Column14402"/>
    <tableColumn id="14403" xr3:uid="{172B0E94-1804-495C-84B0-02179CBFD102}" name="Column14403"/>
    <tableColumn id="14404" xr3:uid="{341CB9C5-715E-42C9-BA35-B9870B1B9E42}" name="Column14404"/>
    <tableColumn id="14405" xr3:uid="{15A49400-29A4-4913-B346-921B13DF043D}" name="Column14405"/>
    <tableColumn id="14406" xr3:uid="{E2CB7271-CBAC-4982-A369-1B127E2F18B9}" name="Column14406"/>
    <tableColumn id="14407" xr3:uid="{F35AAE47-5D02-44FF-B537-1C231DDAF5E4}" name="Column14407"/>
    <tableColumn id="14408" xr3:uid="{074EDD10-8F79-40AB-8F52-6FA6D6ADD1C6}" name="Column14408"/>
    <tableColumn id="14409" xr3:uid="{4B3CBC34-616C-4F94-B2EA-7286BE08C4F6}" name="Column14409"/>
    <tableColumn id="14410" xr3:uid="{097EDBE0-CCFA-4D02-BCA5-A2C509D08341}" name="Column14410"/>
    <tableColumn id="14411" xr3:uid="{11E948F1-CC19-4845-9A17-973E5B4E12B9}" name="Column14411"/>
    <tableColumn id="14412" xr3:uid="{9C838E42-C52D-41BC-9D9B-7FE42FEF6786}" name="Column14412"/>
    <tableColumn id="14413" xr3:uid="{E02071FA-29FB-4D95-81EE-2236968BE1CE}" name="Column14413"/>
    <tableColumn id="14414" xr3:uid="{54E986DB-87E5-4491-B770-9C5D9525A326}" name="Column14414"/>
    <tableColumn id="14415" xr3:uid="{819CCDF1-2838-47C8-8A9B-E737A75C1422}" name="Column14415"/>
    <tableColumn id="14416" xr3:uid="{E21B91CE-307B-48B0-A857-AFBA15A5C399}" name="Column14416"/>
    <tableColumn id="14417" xr3:uid="{8115E55B-4A00-4361-8D03-4A890FA06D09}" name="Column14417"/>
    <tableColumn id="14418" xr3:uid="{A3813937-A920-4905-B2F0-1325A8FED748}" name="Column14418"/>
    <tableColumn id="14419" xr3:uid="{1D762359-D3B5-49C2-A96C-31DD5B93E157}" name="Column14419"/>
    <tableColumn id="14420" xr3:uid="{D6950D92-B21D-41A1-ADE2-453238C01E1B}" name="Column14420"/>
    <tableColumn id="14421" xr3:uid="{BA08507C-2A76-43F9-953C-F3F2CDB60AA7}" name="Column14421"/>
    <tableColumn id="14422" xr3:uid="{2E5028C4-8CA4-485F-B0BC-A6432AA15855}" name="Column14422"/>
    <tableColumn id="14423" xr3:uid="{D7761108-F790-4791-A541-50418E2622CE}" name="Column14423"/>
    <tableColumn id="14424" xr3:uid="{B0DACF62-A6BC-4181-AE21-564E70047CE1}" name="Column14424"/>
    <tableColumn id="14425" xr3:uid="{7088379C-6ACC-4DD9-9EB2-F3F0165233E5}" name="Column14425"/>
    <tableColumn id="14426" xr3:uid="{D4EB15AF-FB7C-44A7-AF11-178F26A640C1}" name="Column14426"/>
    <tableColumn id="14427" xr3:uid="{0C9B2273-06E8-4D25-AD33-6B7BA8EF1E61}" name="Column14427"/>
    <tableColumn id="14428" xr3:uid="{94837A70-8B45-4233-9297-485D589EB7C6}" name="Column14428"/>
    <tableColumn id="14429" xr3:uid="{60FCA6D2-8D6A-4953-BE72-573448331457}" name="Column14429"/>
    <tableColumn id="14430" xr3:uid="{5EA519B7-1D5C-4993-8982-5E5C21FDD67B}" name="Column14430"/>
    <tableColumn id="14431" xr3:uid="{5DCB3512-3293-4F0B-91DD-2D769935976F}" name="Column14431"/>
    <tableColumn id="14432" xr3:uid="{A2F1A5FC-AFBB-4F92-B496-B1019AAE46A8}" name="Column14432"/>
    <tableColumn id="14433" xr3:uid="{AC1BAADF-1A55-4F86-B72D-03FC54CFF371}" name="Column14433"/>
    <tableColumn id="14434" xr3:uid="{34AE0B9C-149D-44A2-BDEC-D7E9C413E5E6}" name="Column14434"/>
    <tableColumn id="14435" xr3:uid="{EBD71DD7-BB62-4423-9BF1-F6D53389EFF1}" name="Column14435"/>
    <tableColumn id="14436" xr3:uid="{88DD3F8A-1F2E-433A-A846-2E5A2AEF4586}" name="Column14436"/>
    <tableColumn id="14437" xr3:uid="{F05625A7-53C7-4BC7-BDDD-AFBD89792916}" name="Column14437"/>
    <tableColumn id="14438" xr3:uid="{266B3A1D-B7F2-4C08-8DF4-577F84AFA05E}" name="Column14438"/>
    <tableColumn id="14439" xr3:uid="{1F917136-F1F8-4E35-B2A0-2739ABF2B949}" name="Column14439"/>
    <tableColumn id="14440" xr3:uid="{E1C7168A-0394-4BC0-8BF1-8AC54CE99C67}" name="Column14440"/>
    <tableColumn id="14441" xr3:uid="{1552CA98-5B7F-4646-A51C-B918111AEC15}" name="Column14441"/>
    <tableColumn id="14442" xr3:uid="{8E13674A-2EDB-4B69-B1D3-F028428503CA}" name="Column14442"/>
    <tableColumn id="14443" xr3:uid="{E77FC177-A62B-48A7-8BEF-7EFDB12B2465}" name="Column14443"/>
    <tableColumn id="14444" xr3:uid="{B336FD8C-72E9-4E8E-909C-6CF6CA6A7FDF}" name="Column14444"/>
    <tableColumn id="14445" xr3:uid="{7791E1BF-B59B-42B6-B08C-9F0A98978847}" name="Column14445"/>
    <tableColumn id="14446" xr3:uid="{44822BCD-BB18-44BC-8D39-76C43E793288}" name="Column14446"/>
    <tableColumn id="14447" xr3:uid="{6E97F965-AB1B-4548-B724-844E0F1D9E2D}" name="Column14447"/>
    <tableColumn id="14448" xr3:uid="{9B2C99F2-9644-4CAA-BF52-4FBDBF42040D}" name="Column14448"/>
    <tableColumn id="14449" xr3:uid="{F6457E04-18C0-401D-892F-3643FE64338E}" name="Column14449"/>
    <tableColumn id="14450" xr3:uid="{3311F14C-D744-4225-9B1E-39AE4F67B8FD}" name="Column14450"/>
    <tableColumn id="14451" xr3:uid="{A7D4AB24-4483-4C5D-8DD5-FE712A65F9BD}" name="Column14451"/>
    <tableColumn id="14452" xr3:uid="{02D956D8-8B74-43A7-8FD0-B1982D5CE6BB}" name="Column14452"/>
    <tableColumn id="14453" xr3:uid="{92206F59-82DF-47E4-81AB-8880458D67AA}" name="Column14453"/>
    <tableColumn id="14454" xr3:uid="{D4D6AC06-E01A-4460-8895-B024F1EFDEFC}" name="Column14454"/>
    <tableColumn id="14455" xr3:uid="{40DA6C11-2AF7-42AD-8574-5113E18B42F7}" name="Column14455"/>
    <tableColumn id="14456" xr3:uid="{825524B6-70ED-4726-A5FF-99DCAC1F64B3}" name="Column14456"/>
    <tableColumn id="14457" xr3:uid="{B035F37E-CDAE-4498-A906-862851B4A283}" name="Column14457"/>
    <tableColumn id="14458" xr3:uid="{D94CF1F9-A698-49FA-BB0F-0EAF79F91D8F}" name="Column14458"/>
    <tableColumn id="14459" xr3:uid="{5D9301FE-400F-4A92-996D-C80462892043}" name="Column14459"/>
    <tableColumn id="14460" xr3:uid="{B87D58FF-31E6-4AF8-9BC8-1CA8729776BA}" name="Column14460"/>
    <tableColumn id="14461" xr3:uid="{F2090F54-359B-4949-A762-F9A948458F3E}" name="Column14461"/>
    <tableColumn id="14462" xr3:uid="{6F3A0F32-C9D5-43A5-91F3-34910B6C2BDF}" name="Column14462"/>
    <tableColumn id="14463" xr3:uid="{E0E25849-3CD4-46C8-9BB9-B784B5E234D5}" name="Column14463"/>
    <tableColumn id="14464" xr3:uid="{DCFF18D5-8122-4257-AE43-0FD83591E628}" name="Column14464"/>
    <tableColumn id="14465" xr3:uid="{6C181FB4-282D-4101-8F46-06EF0EB0AAB1}" name="Column14465"/>
    <tableColumn id="14466" xr3:uid="{AA10F8E1-45F8-451B-9F04-CD1CCFFCE8EA}" name="Column14466"/>
    <tableColumn id="14467" xr3:uid="{85B38026-81F8-4B62-9F7E-C45F1CDCFF7F}" name="Column14467"/>
    <tableColumn id="14468" xr3:uid="{6F2240B4-BD84-4B74-AE41-7737857899E6}" name="Column14468"/>
    <tableColumn id="14469" xr3:uid="{2F30A7CC-FD9F-4E1C-BEBD-917EBCD032DB}" name="Column14469"/>
    <tableColumn id="14470" xr3:uid="{AB2F0FB3-54A3-4844-8EED-6709569656D0}" name="Column14470"/>
    <tableColumn id="14471" xr3:uid="{332FCDB7-2460-442B-AD8E-589E7C2E94E0}" name="Column14471"/>
    <tableColumn id="14472" xr3:uid="{05B49ECB-D07C-4CD8-8BE3-5FF226A98AE1}" name="Column14472"/>
    <tableColumn id="14473" xr3:uid="{A40EAEE9-37B1-4854-809A-44A544A4B5F6}" name="Column14473"/>
    <tableColumn id="14474" xr3:uid="{309FC70B-5531-4780-A282-91BE93FD7C71}" name="Column14474"/>
    <tableColumn id="14475" xr3:uid="{3BEAACBF-EDC0-4F0E-B70E-DE4481842B0C}" name="Column14475"/>
    <tableColumn id="14476" xr3:uid="{F5312471-79B4-4A20-9563-5C2B99B6F536}" name="Column14476"/>
    <tableColumn id="14477" xr3:uid="{1D3D1589-E25B-4550-88C0-36ED5126EC19}" name="Column14477"/>
    <tableColumn id="14478" xr3:uid="{9E544021-2D2D-49B0-BB54-06ABE7982C96}" name="Column14478"/>
    <tableColumn id="14479" xr3:uid="{7CAA054A-328C-41D9-B864-5C3DD9D1FF29}" name="Column14479"/>
    <tableColumn id="14480" xr3:uid="{F75409B1-3E7D-4886-A167-41D0CC284F06}" name="Column14480"/>
    <tableColumn id="14481" xr3:uid="{4E5D22B5-025B-4BDF-BEF7-ED01654AFD49}" name="Column14481"/>
    <tableColumn id="14482" xr3:uid="{19A7D7A6-0373-4CFE-A8F7-250BF9C7BAF1}" name="Column14482"/>
    <tableColumn id="14483" xr3:uid="{7764464A-3535-4AE1-8F21-F8793773A903}" name="Column14483"/>
    <tableColumn id="14484" xr3:uid="{58DF8462-084E-4922-B206-EE57ECF098CB}" name="Column14484"/>
    <tableColumn id="14485" xr3:uid="{4C7C7207-9598-4DD0-A085-50A43FDF3828}" name="Column14485"/>
    <tableColumn id="14486" xr3:uid="{5BA44BB5-F4E2-4D8F-8F13-2DA936309C4B}" name="Column14486"/>
    <tableColumn id="14487" xr3:uid="{F5582F89-3B89-4EDA-BC78-BCF4A2218A83}" name="Column14487"/>
    <tableColumn id="14488" xr3:uid="{CF014202-223A-4D4A-90D9-1F5F27DE841E}" name="Column14488"/>
    <tableColumn id="14489" xr3:uid="{26D4E620-681E-42FB-B765-12D34125D940}" name="Column14489"/>
    <tableColumn id="14490" xr3:uid="{D90608FD-3A9F-4D5D-874C-7DADC591F5F7}" name="Column14490"/>
    <tableColumn id="14491" xr3:uid="{6DB81BB7-9782-4F9D-A071-7F9034A3B9D8}" name="Column14491"/>
    <tableColumn id="14492" xr3:uid="{7E84A3E5-272A-4075-AA53-7BD680EEFD5F}" name="Column14492"/>
    <tableColumn id="14493" xr3:uid="{42BCE06C-5423-421B-B4B8-B91BD18819BB}" name="Column14493"/>
    <tableColumn id="14494" xr3:uid="{CD7D5D67-6CB6-4B38-B85D-A5630C731C3D}" name="Column14494"/>
    <tableColumn id="14495" xr3:uid="{4AACA6E8-92FB-416F-AEED-4ACC3E6D2A3F}" name="Column14495"/>
    <tableColumn id="14496" xr3:uid="{979DC223-132A-4E77-907E-2DF74F3C05AE}" name="Column14496"/>
    <tableColumn id="14497" xr3:uid="{9663EA86-B541-483F-BB95-44108FBA4AB0}" name="Column14497"/>
    <tableColumn id="14498" xr3:uid="{32E268E3-C9D9-41CB-A908-4EA6052BCC01}" name="Column14498"/>
    <tableColumn id="14499" xr3:uid="{2DFDB22D-FECF-4CE2-9610-41C14F5DAAEA}" name="Column14499"/>
    <tableColumn id="14500" xr3:uid="{CFDBDFA3-CCD7-4383-A64A-CEE81F5C72E2}" name="Column14500"/>
    <tableColumn id="14501" xr3:uid="{85202D7E-DA71-4672-AB24-F119A0F5F078}" name="Column14501"/>
    <tableColumn id="14502" xr3:uid="{095D6504-1D6C-4A1E-B7C6-11C703F18715}" name="Column14502"/>
    <tableColumn id="14503" xr3:uid="{329E6ED1-9783-4489-A301-4F7C6C39183D}" name="Column14503"/>
    <tableColumn id="14504" xr3:uid="{A36E5E1E-D8CE-4C96-B965-BE418586DFB8}" name="Column14504"/>
    <tableColumn id="14505" xr3:uid="{42F1D79D-EB0B-43E7-ACDA-44CBAF9A314E}" name="Column14505"/>
    <tableColumn id="14506" xr3:uid="{C7B9C028-6F80-4F6F-A6A8-B2767FBF6BE6}" name="Column14506"/>
    <tableColumn id="14507" xr3:uid="{8AA816AD-59A8-44FB-8473-B50901449000}" name="Column14507"/>
    <tableColumn id="14508" xr3:uid="{E769C7BE-915E-4E16-9107-03ADC941C241}" name="Column14508"/>
    <tableColumn id="14509" xr3:uid="{9C20769E-7F8F-4F39-BC05-14F0B7A7FF4C}" name="Column14509"/>
    <tableColumn id="14510" xr3:uid="{47108920-9AE3-42ED-8CC2-91380FE6ED2D}" name="Column14510"/>
    <tableColumn id="14511" xr3:uid="{C852D24C-C642-4C75-AC70-15305ECE34BB}" name="Column14511"/>
    <tableColumn id="14512" xr3:uid="{A150B568-3F01-494D-9280-897738E620D5}" name="Column14512"/>
    <tableColumn id="14513" xr3:uid="{1F0F1ABB-CF06-4D8F-B2AC-324A4D51FFB0}" name="Column14513"/>
    <tableColumn id="14514" xr3:uid="{94F4B976-6351-4943-9E4C-ED675D01905B}" name="Column14514"/>
    <tableColumn id="14515" xr3:uid="{7456F914-9905-41A9-923B-DD0D904CC926}" name="Column14515"/>
    <tableColumn id="14516" xr3:uid="{EF537172-BD5F-44DD-966C-0F74305D6810}" name="Column14516"/>
    <tableColumn id="14517" xr3:uid="{52336583-2E01-4204-8E0C-B2A908E6834A}" name="Column14517"/>
    <tableColumn id="14518" xr3:uid="{B954FA7E-B3AA-44EC-80E9-0FF9E2F95CFE}" name="Column14518"/>
    <tableColumn id="14519" xr3:uid="{A01A5DFA-3808-47F3-BF78-3044CDE9E7E6}" name="Column14519"/>
    <tableColumn id="14520" xr3:uid="{BD39A84B-75F8-4875-BD97-1F5941755D02}" name="Column14520"/>
    <tableColumn id="14521" xr3:uid="{FCF9AA51-1A13-42EF-8F9E-32EEDEB87FB4}" name="Column14521"/>
    <tableColumn id="14522" xr3:uid="{AC762450-0C97-4C4A-8633-DC23A61549E7}" name="Column14522"/>
    <tableColumn id="14523" xr3:uid="{7615E3FC-FA76-475B-917E-6707314BBCDA}" name="Column14523"/>
    <tableColumn id="14524" xr3:uid="{B3706468-1CDE-47A2-9D9A-BB0FF3ACE0C8}" name="Column14524"/>
    <tableColumn id="14525" xr3:uid="{E2008A1B-5E9A-42D6-BD0F-AFAB21A9112A}" name="Column14525"/>
    <tableColumn id="14526" xr3:uid="{85AEB6AD-373D-4681-BE46-449FDDEDAAFA}" name="Column14526"/>
    <tableColumn id="14527" xr3:uid="{2F7383FB-2555-4F08-8B75-9E226C1F6289}" name="Column14527"/>
    <tableColumn id="14528" xr3:uid="{47C2279B-21C0-45A4-8CCA-385C370BEC5D}" name="Column14528"/>
    <tableColumn id="14529" xr3:uid="{84EB6615-F47B-4A5F-8850-A0713E30EA6C}" name="Column14529"/>
    <tableColumn id="14530" xr3:uid="{A85CA78F-513C-4414-AD6C-16BE4399F205}" name="Column14530"/>
    <tableColumn id="14531" xr3:uid="{38A75D9B-53B6-491D-9ED5-9FCD6220B1F5}" name="Column14531"/>
    <tableColumn id="14532" xr3:uid="{93D7B257-AF44-40F4-ACF1-66B0A5EAB400}" name="Column14532"/>
    <tableColumn id="14533" xr3:uid="{A82C935F-8FDD-485D-B25F-3CE7528EAB77}" name="Column14533"/>
    <tableColumn id="14534" xr3:uid="{A00053A2-58AE-479E-92BD-020FA9FF60D5}" name="Column14534"/>
    <tableColumn id="14535" xr3:uid="{7CAAC6C6-451F-4B15-BF51-CDCB4959FFBA}" name="Column14535"/>
    <tableColumn id="14536" xr3:uid="{6C2C6CDD-008A-4759-BC6B-064D17EEE5FC}" name="Column14536"/>
    <tableColumn id="14537" xr3:uid="{D72ECFF4-F9B8-4BBF-BD70-3F42744B28B9}" name="Column14537"/>
    <tableColumn id="14538" xr3:uid="{0D8F488B-EFBB-4907-A312-FF0E1755B934}" name="Column14538"/>
    <tableColumn id="14539" xr3:uid="{3AB41659-A656-4D72-9272-6683D87D6461}" name="Column14539"/>
    <tableColumn id="14540" xr3:uid="{97847C35-F599-47A7-B8C5-E55073563CF4}" name="Column14540"/>
    <tableColumn id="14541" xr3:uid="{0F249EEA-E1DE-457A-97B6-D0F89C872E85}" name="Column14541"/>
    <tableColumn id="14542" xr3:uid="{CF1E68C9-EFBD-4DEC-91C1-CE63FBB88C0B}" name="Column14542"/>
    <tableColumn id="14543" xr3:uid="{21A8DB49-24A8-42A0-9527-82154018EBFC}" name="Column14543"/>
    <tableColumn id="14544" xr3:uid="{A2AB3910-6DB2-447D-AA1E-FC1EBEC0D7B2}" name="Column14544"/>
    <tableColumn id="14545" xr3:uid="{0BF8EA3C-8BEA-4523-9D4A-95E9AEF21ED1}" name="Column14545"/>
    <tableColumn id="14546" xr3:uid="{A01D152A-5837-4E38-B09F-A401549D2694}" name="Column14546"/>
    <tableColumn id="14547" xr3:uid="{A4801733-8B97-4815-8FBE-D3E04883D410}" name="Column14547"/>
    <tableColumn id="14548" xr3:uid="{082C43A1-67AC-4E86-9D00-55FB185B1CB5}" name="Column14548"/>
    <tableColumn id="14549" xr3:uid="{FD1824A9-6E84-44F9-8656-FF86F24959CC}" name="Column14549"/>
    <tableColumn id="14550" xr3:uid="{60B6A1E5-4B0D-43A3-B67A-C023E4B068B0}" name="Column14550"/>
    <tableColumn id="14551" xr3:uid="{08DE677A-DD5E-4DF8-9F2F-B95F6F9E2ED8}" name="Column14551"/>
    <tableColumn id="14552" xr3:uid="{67E6FD11-9C69-4BE3-95A9-CE4CB6220633}" name="Column14552"/>
    <tableColumn id="14553" xr3:uid="{95BE6B29-27CA-407A-B3A4-E8C2C79B74EA}" name="Column14553"/>
    <tableColumn id="14554" xr3:uid="{44E60CA7-0811-41AF-BDDC-6329A191DF56}" name="Column14554"/>
    <tableColumn id="14555" xr3:uid="{CD6B8CB9-1572-4AA7-9109-D447C43FE5DB}" name="Column14555"/>
    <tableColumn id="14556" xr3:uid="{3F25A026-99C1-41D8-8E8C-1CBBAC4CEDAB}" name="Column14556"/>
    <tableColumn id="14557" xr3:uid="{E65DE9DD-414A-4456-97E7-699E5FD5C434}" name="Column14557"/>
    <tableColumn id="14558" xr3:uid="{09FA22D5-943F-490B-8FA8-1E067FE37443}" name="Column14558"/>
    <tableColumn id="14559" xr3:uid="{8CC42C9B-2824-4D08-98DA-7E78D564419F}" name="Column14559"/>
    <tableColumn id="14560" xr3:uid="{809A53DB-EC96-4242-9429-A205618AD6F6}" name="Column14560"/>
    <tableColumn id="14561" xr3:uid="{0C7CF751-4428-40E0-9D65-70A0153B11D7}" name="Column14561"/>
    <tableColumn id="14562" xr3:uid="{25C0FF3D-2B50-40C5-8445-B2812281F753}" name="Column14562"/>
    <tableColumn id="14563" xr3:uid="{6AA276C0-7D0A-49B8-B5A4-039DA9F4807F}" name="Column14563"/>
    <tableColumn id="14564" xr3:uid="{9BA0FC55-F1D9-461C-A4C9-7491CEE6130A}" name="Column14564"/>
    <tableColumn id="14565" xr3:uid="{EF15C405-71AC-434F-AD6F-514285FF7667}" name="Column14565"/>
    <tableColumn id="14566" xr3:uid="{CCD0B520-E8D4-4CAB-B95D-2F035D82C497}" name="Column14566"/>
    <tableColumn id="14567" xr3:uid="{5E474EC4-D53D-4A49-90A1-D5F978A41F59}" name="Column14567"/>
    <tableColumn id="14568" xr3:uid="{185869CE-824E-452A-B500-15B258F4D0DD}" name="Column14568"/>
    <tableColumn id="14569" xr3:uid="{176BBCF5-C312-4551-B241-81E747AD46F4}" name="Column14569"/>
    <tableColumn id="14570" xr3:uid="{D99F0F4D-004E-4509-A854-28317F6B9470}" name="Column14570"/>
    <tableColumn id="14571" xr3:uid="{5C7915E6-C167-4268-B824-6C4B6D5AECCC}" name="Column14571"/>
    <tableColumn id="14572" xr3:uid="{4E21D7C7-2F3D-44DC-8850-FA98527EA52A}" name="Column14572"/>
    <tableColumn id="14573" xr3:uid="{E8B83755-F244-437B-9FF1-90173972426E}" name="Column14573"/>
    <tableColumn id="14574" xr3:uid="{C4EC8EF5-1746-49B0-AC02-D5341F75C943}" name="Column14574"/>
    <tableColumn id="14575" xr3:uid="{BC169BC3-9548-47ED-8B73-D091479E5C49}" name="Column14575"/>
    <tableColumn id="14576" xr3:uid="{2B245032-1F1B-43B8-8085-E0C2B90C8F24}" name="Column14576"/>
    <tableColumn id="14577" xr3:uid="{E1B13114-164C-42B3-8C67-D17EBC4B5154}" name="Column14577"/>
    <tableColumn id="14578" xr3:uid="{E078F72E-40E6-4607-A079-2BABE46350C5}" name="Column14578"/>
    <tableColumn id="14579" xr3:uid="{FB5C9905-75B4-4F43-B7A7-807841D9DB79}" name="Column14579"/>
    <tableColumn id="14580" xr3:uid="{686B0148-1E12-42A8-9AFF-9823070931E0}" name="Column14580"/>
    <tableColumn id="14581" xr3:uid="{F38C37D6-F333-482D-BBCF-2F730ADA7922}" name="Column14581"/>
    <tableColumn id="14582" xr3:uid="{FA9BC1F2-0C2D-48BB-A3A3-FF41CAEBD3E9}" name="Column14582"/>
    <tableColumn id="14583" xr3:uid="{621FE002-3799-4228-9A71-1ABEFF6894AB}" name="Column14583"/>
    <tableColumn id="14584" xr3:uid="{8BA71B98-160B-4B35-88C5-D715B9E0E4D2}" name="Column14584"/>
    <tableColumn id="14585" xr3:uid="{1EEF3D42-7A5F-4727-8EAC-87FFB19EDF42}" name="Column14585"/>
    <tableColumn id="14586" xr3:uid="{03584EBB-B6FD-45D1-8221-F2DB77DDDA3A}" name="Column14586"/>
    <tableColumn id="14587" xr3:uid="{D7BFE878-D580-47BA-A28F-8F9F98324F31}" name="Column14587"/>
    <tableColumn id="14588" xr3:uid="{F99D7B66-C9F1-40DA-BC50-3B7A351DF485}" name="Column14588"/>
    <tableColumn id="14589" xr3:uid="{D787E271-7A4B-4BEF-B4BB-FDBF747AED1D}" name="Column14589"/>
    <tableColumn id="14590" xr3:uid="{E08DCFD0-953B-45BE-9058-F7FD3E15CCC4}" name="Column14590"/>
    <tableColumn id="14591" xr3:uid="{EEE93845-5515-4770-AE21-06D7FA22B262}" name="Column14591"/>
    <tableColumn id="14592" xr3:uid="{B32AD2A6-5854-4961-8251-3F25F062BF31}" name="Column14592"/>
    <tableColumn id="14593" xr3:uid="{70C8D3CC-40FB-406D-A6B6-EEE907ADD44C}" name="Column14593"/>
    <tableColumn id="14594" xr3:uid="{A30B5913-096B-465C-B9FE-368BB25C6CC8}" name="Column14594"/>
    <tableColumn id="14595" xr3:uid="{7B88CF25-B039-43C1-95D7-F27D590EB2B0}" name="Column14595"/>
    <tableColumn id="14596" xr3:uid="{BE9D4690-E762-42B5-ACAC-F2AE5771EBBB}" name="Column14596"/>
    <tableColumn id="14597" xr3:uid="{1C3B1D65-9C54-4B7D-A007-C7C2326CECED}" name="Column14597"/>
    <tableColumn id="14598" xr3:uid="{6F44612A-ABCD-442F-872E-877380E3B370}" name="Column14598"/>
    <tableColumn id="14599" xr3:uid="{79124A6F-4B9C-4FFD-B56E-AA5126FFAE64}" name="Column14599"/>
    <tableColumn id="14600" xr3:uid="{6F38F68C-55F1-4FA9-98E1-31A4FB870CD9}" name="Column14600"/>
    <tableColumn id="14601" xr3:uid="{7E31BB70-F4E3-434F-99A9-00036C383D1F}" name="Column14601"/>
    <tableColumn id="14602" xr3:uid="{24EB5D1F-8B75-40EA-847B-81CEA9D03525}" name="Column14602"/>
    <tableColumn id="14603" xr3:uid="{37586E84-4D09-45D1-9BC2-73C556798458}" name="Column14603"/>
    <tableColumn id="14604" xr3:uid="{98910897-2046-47F7-9DD9-41486560723A}" name="Column14604"/>
    <tableColumn id="14605" xr3:uid="{F4CDAD36-E5A8-49D1-A848-0637D4133B16}" name="Column14605"/>
    <tableColumn id="14606" xr3:uid="{903A812D-40F2-4983-AE19-81B6F1392B9F}" name="Column14606"/>
    <tableColumn id="14607" xr3:uid="{B9535798-8261-40D9-862F-AB8F4B9C7CCA}" name="Column14607"/>
    <tableColumn id="14608" xr3:uid="{10A47C51-C095-4E20-9214-999C56B888A8}" name="Column14608"/>
    <tableColumn id="14609" xr3:uid="{C7310588-F4DD-4D5D-8C93-8EAED0D913C8}" name="Column14609"/>
    <tableColumn id="14610" xr3:uid="{0C0582E3-2842-4015-9953-D3DB07CEA5A2}" name="Column14610"/>
    <tableColumn id="14611" xr3:uid="{9628C165-B2AA-423F-A3DF-9CC676EB3E86}" name="Column14611"/>
    <tableColumn id="14612" xr3:uid="{C0D591AC-B9CB-43D0-A181-B03EF5B81DCF}" name="Column14612"/>
    <tableColumn id="14613" xr3:uid="{A1AA1AD6-033E-4D1C-8302-5F105316DB0C}" name="Column14613"/>
    <tableColumn id="14614" xr3:uid="{6C1BBE85-5E46-4786-A792-21A4583AA0CF}" name="Column14614"/>
    <tableColumn id="14615" xr3:uid="{29FCA762-D66B-40A0-BACB-73E8BE9DFFF3}" name="Column14615"/>
    <tableColumn id="14616" xr3:uid="{357351D3-2B18-4580-BD75-0C53525EAE40}" name="Column14616"/>
    <tableColumn id="14617" xr3:uid="{A93731C1-95D5-41EC-AADF-5F5A73F83272}" name="Column14617"/>
    <tableColumn id="14618" xr3:uid="{812BF221-C344-4B55-81DB-2A9FFB929CBC}" name="Column14618"/>
    <tableColumn id="14619" xr3:uid="{F8F9380C-DD8F-467B-BF96-454B0D7EC2C7}" name="Column14619"/>
    <tableColumn id="14620" xr3:uid="{A153406D-4E80-40C0-9974-173D26CFDE38}" name="Column14620"/>
    <tableColumn id="14621" xr3:uid="{E3A158E5-DEA6-4022-B983-E7A3FFDBA9F5}" name="Column14621"/>
    <tableColumn id="14622" xr3:uid="{B7C50F1F-3419-4D66-9AD6-E2F8FCE98224}" name="Column14622"/>
    <tableColumn id="14623" xr3:uid="{B879DE45-D486-4EB7-9331-62444310A133}" name="Column14623"/>
    <tableColumn id="14624" xr3:uid="{CC57448E-6EE4-41B9-AC2C-CEFDDDD061A1}" name="Column14624"/>
    <tableColumn id="14625" xr3:uid="{9AD3968A-49C3-4F53-A640-450B67D7BAC0}" name="Column14625"/>
    <tableColumn id="14626" xr3:uid="{9746EC49-1150-42CF-8413-954F2290EA51}" name="Column14626"/>
    <tableColumn id="14627" xr3:uid="{FCBB0119-3472-4A34-8359-99764B02C0DC}" name="Column14627"/>
    <tableColumn id="14628" xr3:uid="{2E812274-6C18-4F62-80C7-A30F77293650}" name="Column14628"/>
    <tableColumn id="14629" xr3:uid="{7DB73E28-11C0-4B7C-83D7-D18BFD53B1DE}" name="Column14629"/>
    <tableColumn id="14630" xr3:uid="{38E247D0-91CC-415E-BD53-7E3DC4846F08}" name="Column14630"/>
    <tableColumn id="14631" xr3:uid="{CDDB8752-A655-43F1-847E-C2A31C0425F1}" name="Column14631"/>
    <tableColumn id="14632" xr3:uid="{288A4973-5239-4621-ABD8-43B18C03B54C}" name="Column14632"/>
    <tableColumn id="14633" xr3:uid="{2919C5D0-88B9-4330-8429-9205C79F9214}" name="Column14633"/>
    <tableColumn id="14634" xr3:uid="{D45A21D9-4FA2-44E0-986D-9FAB026442E3}" name="Column14634"/>
    <tableColumn id="14635" xr3:uid="{FC3F8352-BF05-4E40-8C65-F3242AE97E90}" name="Column14635"/>
    <tableColumn id="14636" xr3:uid="{B9210B7A-1A79-4026-AC55-10BEFC44EFAF}" name="Column14636"/>
    <tableColumn id="14637" xr3:uid="{102725E0-0C1B-4324-975F-05755E0FC761}" name="Column14637"/>
    <tableColumn id="14638" xr3:uid="{A2F61DEF-EC0B-4719-9C88-B357072069B0}" name="Column14638"/>
    <tableColumn id="14639" xr3:uid="{A5922C7B-EEDE-47C0-B94A-EE750153E520}" name="Column14639"/>
    <tableColumn id="14640" xr3:uid="{3763A36E-9D99-44CF-A070-B011F219F2E8}" name="Column14640"/>
    <tableColumn id="14641" xr3:uid="{80B0C9DF-96E3-48E1-8DFB-D7037A4F8166}" name="Column14641"/>
    <tableColumn id="14642" xr3:uid="{99C3FAAD-2F74-4DE6-B293-DF44BC40CDDF}" name="Column14642"/>
    <tableColumn id="14643" xr3:uid="{0603E166-21E8-4009-9E96-21872C6BB713}" name="Column14643"/>
    <tableColumn id="14644" xr3:uid="{69FE9E45-B0BE-4C87-A5FA-319ECA5042A4}" name="Column14644"/>
    <tableColumn id="14645" xr3:uid="{A468231B-0267-48DF-B67D-54391A004728}" name="Column14645"/>
    <tableColumn id="14646" xr3:uid="{C9F5615C-FF0E-4099-AF8A-D3D67AD5E1BE}" name="Column14646"/>
    <tableColumn id="14647" xr3:uid="{1DBC8F3F-5516-43C8-BCFB-873D7EFC2E1A}" name="Column14647"/>
    <tableColumn id="14648" xr3:uid="{1C14E12C-7E0D-4739-A8B2-C1478B374047}" name="Column14648"/>
    <tableColumn id="14649" xr3:uid="{B0C89CBB-C2EC-4E48-89BD-B1F8732FC1E6}" name="Column14649"/>
    <tableColumn id="14650" xr3:uid="{75E336D5-CAD7-41AE-B89B-56437DD2A492}" name="Column14650"/>
    <tableColumn id="14651" xr3:uid="{9DFEFABE-EF09-4229-83E8-F036380A4DDE}" name="Column14651"/>
    <tableColumn id="14652" xr3:uid="{34F84198-6FCF-424C-9D3C-988ABB330F98}" name="Column14652"/>
    <tableColumn id="14653" xr3:uid="{683755B1-61FD-4554-8234-3BEE508C25D7}" name="Column14653"/>
    <tableColumn id="14654" xr3:uid="{81DC5DB7-CE70-43CE-8224-975F51F9D7AC}" name="Column14654"/>
    <tableColumn id="14655" xr3:uid="{0E928C29-2F5F-4A66-9ED8-5E6C3B9299EE}" name="Column14655"/>
    <tableColumn id="14656" xr3:uid="{740EA58C-DF57-4B7B-95C4-2C8E7F53368C}" name="Column14656"/>
    <tableColumn id="14657" xr3:uid="{9257551E-A293-4290-A8E9-87E74C72FB57}" name="Column14657"/>
    <tableColumn id="14658" xr3:uid="{2F05B654-448A-43F8-9200-6869FD072E27}" name="Column14658"/>
    <tableColumn id="14659" xr3:uid="{27CCFCC1-A14A-44B0-A912-D5AF2D60380F}" name="Column14659"/>
    <tableColumn id="14660" xr3:uid="{95F4D409-C2C8-4FC0-8ACC-729C675F8CD4}" name="Column14660"/>
    <tableColumn id="14661" xr3:uid="{D4366454-7D03-4238-B036-91DC7D4B351C}" name="Column14661"/>
    <tableColumn id="14662" xr3:uid="{1360C936-195E-4CB0-8590-593050CEF18C}" name="Column14662"/>
    <tableColumn id="14663" xr3:uid="{C2DA63E4-2C8D-4925-8E98-E2A68FE449EE}" name="Column14663"/>
    <tableColumn id="14664" xr3:uid="{DF0BE5CD-8059-4907-B3E5-2571DAFF56B6}" name="Column14664"/>
    <tableColumn id="14665" xr3:uid="{C5A7F33C-54FD-48FC-8C14-7894DEFBCE2C}" name="Column14665"/>
    <tableColumn id="14666" xr3:uid="{75284FEA-17F0-48B2-9E9F-004945E9DF37}" name="Column14666"/>
    <tableColumn id="14667" xr3:uid="{DB56CBC4-6697-4A0B-9234-99ABBAE89A7F}" name="Column14667"/>
    <tableColumn id="14668" xr3:uid="{149A9876-CE64-4BBE-B719-E90E67F0C714}" name="Column14668"/>
    <tableColumn id="14669" xr3:uid="{3D8501A1-1FC4-4F7E-ADEC-7E9FC310FA02}" name="Column14669"/>
    <tableColumn id="14670" xr3:uid="{37249490-CD4D-4058-823D-6B1C131359F8}" name="Column14670"/>
    <tableColumn id="14671" xr3:uid="{D99C1D70-BEBD-4700-828F-0429826FA2D5}" name="Column14671"/>
    <tableColumn id="14672" xr3:uid="{6109DBB9-37D2-4E29-898E-DBE849A8D3A8}" name="Column14672"/>
    <tableColumn id="14673" xr3:uid="{B8D91768-1B2C-4865-9BBB-E90A312C84DD}" name="Column14673"/>
    <tableColumn id="14674" xr3:uid="{1633A139-FFB5-4A30-9969-967E3C81B7F7}" name="Column14674"/>
    <tableColumn id="14675" xr3:uid="{970AAA73-AC95-4035-A0ED-2AFC78D38594}" name="Column14675"/>
    <tableColumn id="14676" xr3:uid="{FCBE2A38-8E29-4EBF-B4EE-EAA49F82DCE0}" name="Column14676"/>
    <tableColumn id="14677" xr3:uid="{8C1F432D-1329-4868-86CC-B423C24B88F3}" name="Column14677"/>
    <tableColumn id="14678" xr3:uid="{8EA275AE-528B-432B-8BA5-3BD473497830}" name="Column14678"/>
    <tableColumn id="14679" xr3:uid="{220D57B9-6D0C-4F00-9AE2-18405F10C070}" name="Column14679"/>
    <tableColumn id="14680" xr3:uid="{ACBFDBA3-1685-4C2C-A09D-D92AF5603713}" name="Column14680"/>
    <tableColumn id="14681" xr3:uid="{D37599B1-0796-4AA3-A0A7-97EDDC1588B9}" name="Column14681"/>
    <tableColumn id="14682" xr3:uid="{DF48C354-E786-4CFC-9F6E-3FBC97F1329D}" name="Column14682"/>
    <tableColumn id="14683" xr3:uid="{EF16277D-11CE-4138-BBF0-79496FC83384}" name="Column14683"/>
    <tableColumn id="14684" xr3:uid="{3744490F-92C8-40E9-9CBF-2CEE33C1AD9F}" name="Column14684"/>
    <tableColumn id="14685" xr3:uid="{34948BD1-372B-4B08-A26A-BA6A9A73A94A}" name="Column14685"/>
    <tableColumn id="14686" xr3:uid="{F8D63DE2-5688-49FE-8303-B37D940E2536}" name="Column14686"/>
    <tableColumn id="14687" xr3:uid="{D64F27A0-22E7-4462-9657-4B21E7592502}" name="Column14687"/>
    <tableColumn id="14688" xr3:uid="{B1A283E3-21FF-4A47-ACAF-09C881161ADA}" name="Column14688"/>
    <tableColumn id="14689" xr3:uid="{CB4D406F-FE7E-4034-BCD2-4CB746E3F9A2}" name="Column14689"/>
    <tableColumn id="14690" xr3:uid="{97EDEB0B-8536-4800-8948-CE9E4F0D81DF}" name="Column14690"/>
    <tableColumn id="14691" xr3:uid="{DBD974C8-C16F-469C-8BAA-A8621B6AD1DE}" name="Column14691"/>
    <tableColumn id="14692" xr3:uid="{DF9A0EE1-99EE-4B6A-B1F7-3C2210996E7F}" name="Column14692"/>
    <tableColumn id="14693" xr3:uid="{DFBD6FFB-0CD0-4665-A9E2-99CD4D957303}" name="Column14693"/>
    <tableColumn id="14694" xr3:uid="{C4C74F05-8578-4A30-A46E-C96ECB3BAA7C}" name="Column14694"/>
    <tableColumn id="14695" xr3:uid="{B8EBDE34-5C5D-44EF-91BE-F3B243BDFCCC}" name="Column14695"/>
    <tableColumn id="14696" xr3:uid="{54A9040F-4A18-4F15-9CC4-3DE025E34905}" name="Column14696"/>
    <tableColumn id="14697" xr3:uid="{329C446E-790F-4824-AF1A-CA6E8FCC1A71}" name="Column14697"/>
    <tableColumn id="14698" xr3:uid="{2471514B-99E7-4D4D-88EC-D99B707F5B54}" name="Column14698"/>
    <tableColumn id="14699" xr3:uid="{96D88E58-6FEB-4CFE-9C92-DACDB609B173}" name="Column14699"/>
    <tableColumn id="14700" xr3:uid="{07C9E6B2-388E-4B40-99CB-DEB7C235649D}" name="Column14700"/>
    <tableColumn id="14701" xr3:uid="{AF73BECD-90C7-40DD-BCD7-EC1F155E3879}" name="Column14701"/>
    <tableColumn id="14702" xr3:uid="{ED38869C-0249-468C-91D7-DA34C6D6B5E3}" name="Column14702"/>
    <tableColumn id="14703" xr3:uid="{CD10953C-A5BC-4D2B-AF14-F1C63DA1A2C2}" name="Column14703"/>
    <tableColumn id="14704" xr3:uid="{8668FBE6-CA70-41A7-BB15-5D0A2299B1A5}" name="Column14704"/>
    <tableColumn id="14705" xr3:uid="{811CD7B0-26A3-485E-95B4-8A0887AA0517}" name="Column14705"/>
    <tableColumn id="14706" xr3:uid="{8F9B5F76-5DE2-448F-82B6-C4CB114F9D43}" name="Column14706"/>
    <tableColumn id="14707" xr3:uid="{2FCF30F4-2D52-4FF9-91C0-3EE8A72DE98F}" name="Column14707"/>
    <tableColumn id="14708" xr3:uid="{AB7F08C5-E4EF-493B-8294-84D10A87A0C2}" name="Column14708"/>
    <tableColumn id="14709" xr3:uid="{F0B66395-0274-4196-93E8-0103BAC1BE73}" name="Column14709"/>
    <tableColumn id="14710" xr3:uid="{CA308C40-918A-4572-8044-49CE11C49168}" name="Column14710"/>
    <tableColumn id="14711" xr3:uid="{35747FED-3ADB-4027-994B-D0DB3073A7E5}" name="Column14711"/>
    <tableColumn id="14712" xr3:uid="{26B7B478-622C-4ED4-AC1B-813ACF6B0858}" name="Column14712"/>
    <tableColumn id="14713" xr3:uid="{01BE5650-36F3-415B-AA01-1FAB1A4034DA}" name="Column14713"/>
    <tableColumn id="14714" xr3:uid="{35D4C648-E83C-4FB9-A3F4-A3A4C40804D2}" name="Column14714"/>
    <tableColumn id="14715" xr3:uid="{5BAFCC11-1534-4075-BB76-D10586C19CB8}" name="Column14715"/>
    <tableColumn id="14716" xr3:uid="{B59EDDEE-2D5E-4032-B44D-1BE30B68AA64}" name="Column14716"/>
    <tableColumn id="14717" xr3:uid="{E0C4C1B7-0A87-4CDE-8B5C-40FC0F9D9E4A}" name="Column14717"/>
    <tableColumn id="14718" xr3:uid="{3BE89A89-4FB7-4888-A490-A16E70D506F3}" name="Column14718"/>
    <tableColumn id="14719" xr3:uid="{1F1CB1A8-E761-47BA-A001-B28A7BDF188B}" name="Column14719"/>
    <tableColumn id="14720" xr3:uid="{A03FA73C-95DC-42CF-8140-38519D3D989A}" name="Column14720"/>
    <tableColumn id="14721" xr3:uid="{A6E72B40-097E-4CD2-8A12-BCBCD2581B9B}" name="Column14721"/>
    <tableColumn id="14722" xr3:uid="{E9418A86-CEEC-432B-9354-C143071315F6}" name="Column14722"/>
    <tableColumn id="14723" xr3:uid="{9FC989E0-5F9D-4024-9C65-D4606578A421}" name="Column14723"/>
    <tableColumn id="14724" xr3:uid="{14660F2B-3EB1-4A02-A480-1F26FEC03B86}" name="Column14724"/>
    <tableColumn id="14725" xr3:uid="{E138BBA5-0ACD-4367-A242-0A1B315F4EB8}" name="Column14725"/>
    <tableColumn id="14726" xr3:uid="{E856F5AB-5DFF-4B45-9718-2CFD22823D37}" name="Column14726"/>
    <tableColumn id="14727" xr3:uid="{41FAACB0-A8CA-4045-A9B7-F91E3EF315D0}" name="Column14727"/>
    <tableColumn id="14728" xr3:uid="{AA00527A-27EF-49D3-9E9F-F8AFECA66B53}" name="Column14728"/>
    <tableColumn id="14729" xr3:uid="{4210F423-EE28-48B5-8953-10882BC87502}" name="Column14729"/>
    <tableColumn id="14730" xr3:uid="{D9E4D655-BBFA-466A-86ED-50E1BE993E4D}" name="Column14730"/>
    <tableColumn id="14731" xr3:uid="{38647610-F33F-4AD0-A6BF-9A74CCF6E47D}" name="Column14731"/>
    <tableColumn id="14732" xr3:uid="{FCDCE687-F3F4-4B72-9C89-1557F4681690}" name="Column14732"/>
    <tableColumn id="14733" xr3:uid="{2AD460CD-4269-42A1-9A7B-D05305AF5C08}" name="Column14733"/>
    <tableColumn id="14734" xr3:uid="{109BB736-8FC1-4074-B3EA-1847BA3B071B}" name="Column14734"/>
    <tableColumn id="14735" xr3:uid="{795FE487-1EDF-47B9-9722-8B6139894061}" name="Column14735"/>
    <tableColumn id="14736" xr3:uid="{9987D4A5-2F07-476E-AF2E-0F771C0BFEDA}" name="Column14736"/>
    <tableColumn id="14737" xr3:uid="{AE7EB4FB-177D-4D1B-9343-CF25270A53F1}" name="Column14737"/>
    <tableColumn id="14738" xr3:uid="{E5B3C05A-5045-4D08-96E2-E15D76CEF986}" name="Column14738"/>
    <tableColumn id="14739" xr3:uid="{BCEAE821-63B0-413B-9727-3C4D3939C8A4}" name="Column14739"/>
    <tableColumn id="14740" xr3:uid="{D42C6324-64D5-4639-9CB5-40DF01CB1478}" name="Column14740"/>
    <tableColumn id="14741" xr3:uid="{99C92739-2F43-45EC-B377-426C66693DBE}" name="Column14741"/>
    <tableColumn id="14742" xr3:uid="{DF2A3FF8-0397-43D7-8665-441983F2A2F3}" name="Column14742"/>
    <tableColumn id="14743" xr3:uid="{D9545B5C-0BD1-45D4-823A-8E37875A9D87}" name="Column14743"/>
    <tableColumn id="14744" xr3:uid="{F87C442E-1648-465A-BC37-CD08985A79C6}" name="Column14744"/>
    <tableColumn id="14745" xr3:uid="{D1D29029-82E0-45D7-AF32-650BF5B7E978}" name="Column14745"/>
    <tableColumn id="14746" xr3:uid="{32F925B1-D491-4AF7-BF75-5C56E81E5B51}" name="Column14746"/>
    <tableColumn id="14747" xr3:uid="{567B656B-CEC2-4A40-BE46-E0DDC9953E4D}" name="Column14747"/>
    <tableColumn id="14748" xr3:uid="{C2E40C8F-E098-43C4-84E3-B014D366BAD7}" name="Column14748"/>
    <tableColumn id="14749" xr3:uid="{2FCA4EFA-4FD8-48AE-9B75-03FE85A4AA2A}" name="Column14749"/>
    <tableColumn id="14750" xr3:uid="{3B1ADB31-8140-4D83-9F58-D6E50264CDCC}" name="Column14750"/>
    <tableColumn id="14751" xr3:uid="{4622AB1F-6790-4FA6-9CAF-0BB25E9D5486}" name="Column14751"/>
    <tableColumn id="14752" xr3:uid="{2895DB4C-26A5-4B40-B3FF-1A6011888001}" name="Column14752"/>
    <tableColumn id="14753" xr3:uid="{7A143DA9-D90E-44C5-A7B4-3BA128B0D00D}" name="Column14753"/>
    <tableColumn id="14754" xr3:uid="{3D9497D7-DD5B-4AD3-9829-4D5C4C51C3FB}" name="Column14754"/>
    <tableColumn id="14755" xr3:uid="{F51F41C6-E6FA-408E-8DAB-2DD9D1DEAEA4}" name="Column14755"/>
    <tableColumn id="14756" xr3:uid="{C46F94FB-3C95-4B79-A3D4-40F4D2613862}" name="Column14756"/>
    <tableColumn id="14757" xr3:uid="{B8358DE3-E68A-43D4-8737-05692FE1C5BE}" name="Column14757"/>
    <tableColumn id="14758" xr3:uid="{806D0CFD-6767-47B6-9029-E47DE17A7379}" name="Column14758"/>
    <tableColumn id="14759" xr3:uid="{7B7644E6-0F20-42E6-8068-ABEA51DFC0AD}" name="Column14759"/>
    <tableColumn id="14760" xr3:uid="{99AB1CDC-5F2C-47EB-94E8-953404931FD1}" name="Column14760"/>
    <tableColumn id="14761" xr3:uid="{1CA07E7B-B0DC-48D0-A3C4-35728C711E3C}" name="Column14761"/>
    <tableColumn id="14762" xr3:uid="{DB326F85-D586-4407-A6D8-6C8640648532}" name="Column14762"/>
    <tableColumn id="14763" xr3:uid="{A294AA20-8C18-4367-A591-BE792B4A878B}" name="Column14763"/>
    <tableColumn id="14764" xr3:uid="{CFAE3C70-FBB6-4B3B-8ED6-E8AA323DD0AD}" name="Column14764"/>
    <tableColumn id="14765" xr3:uid="{AC805183-847C-4F62-99D6-DD5D71DE80F6}" name="Column14765"/>
    <tableColumn id="14766" xr3:uid="{9024CFF2-C95B-448A-91B5-328219793210}" name="Column14766"/>
    <tableColumn id="14767" xr3:uid="{5A0AC648-7437-47B5-93C5-49BA95F444E0}" name="Column14767"/>
    <tableColumn id="14768" xr3:uid="{0CCF579A-F268-423D-A96A-EA10A61DDA8B}" name="Column14768"/>
    <tableColumn id="14769" xr3:uid="{188F162C-B6CC-43A4-A721-6805D4D0EA39}" name="Column14769"/>
    <tableColumn id="14770" xr3:uid="{C268D9BF-6701-4E77-A15C-2953F5F658E8}" name="Column14770"/>
    <tableColumn id="14771" xr3:uid="{1E8DA752-864A-4875-A77C-9E0D1D09C198}" name="Column14771"/>
    <tableColumn id="14772" xr3:uid="{6472046F-C243-4581-BA48-9C64B2E8FC2E}" name="Column14772"/>
    <tableColumn id="14773" xr3:uid="{2C22CE91-F262-47C4-A2EC-FA98E2D9A43F}" name="Column14773"/>
    <tableColumn id="14774" xr3:uid="{9DF28E69-82D8-4E18-85B6-1DD4924CD48B}" name="Column14774"/>
    <tableColumn id="14775" xr3:uid="{07DAF659-E196-4C93-85E5-0947E78893E4}" name="Column14775"/>
    <tableColumn id="14776" xr3:uid="{D0A24DD5-C034-4322-888A-DDB47CD06881}" name="Column14776"/>
    <tableColumn id="14777" xr3:uid="{D31819DA-ACBE-4026-B484-B4E8ACD29D61}" name="Column14777"/>
    <tableColumn id="14778" xr3:uid="{41C2EA03-D000-4D26-A0C8-1F660746B504}" name="Column14778"/>
    <tableColumn id="14779" xr3:uid="{99CC3CB2-B198-4D3E-B2D5-A492D377385E}" name="Column14779"/>
    <tableColumn id="14780" xr3:uid="{70FB122A-568F-4B4A-88C7-199DED1354CC}" name="Column14780"/>
    <tableColumn id="14781" xr3:uid="{74822150-8F33-4C42-8743-C4E6F8C3152D}" name="Column14781"/>
    <tableColumn id="14782" xr3:uid="{7D860DE2-04D3-4EE4-ADD0-0D608BF84FFA}" name="Column14782"/>
    <tableColumn id="14783" xr3:uid="{BA3CD3EA-EA28-4A5A-AF85-4F2338513F09}" name="Column14783"/>
    <tableColumn id="14784" xr3:uid="{8A4DC868-BFC4-480E-AB85-E21FD9DFAF5E}" name="Column14784"/>
    <tableColumn id="14785" xr3:uid="{135A2EF3-248F-4AB2-961C-9C60EC63B229}" name="Column14785"/>
    <tableColumn id="14786" xr3:uid="{11BB90ED-EC64-4255-AA25-1E656B11509B}" name="Column14786"/>
    <tableColumn id="14787" xr3:uid="{55B222B2-FD55-4832-B8C7-E1BDDF01FAFC}" name="Column14787"/>
    <tableColumn id="14788" xr3:uid="{3E7B2B1A-276B-404C-AADC-B7D66EF67E62}" name="Column14788"/>
    <tableColumn id="14789" xr3:uid="{30BD5A40-B2F6-4780-BB1F-16881642AC99}" name="Column14789"/>
    <tableColumn id="14790" xr3:uid="{737AA1CD-58FD-4392-8B85-DADB9395AFAF}" name="Column14790"/>
    <tableColumn id="14791" xr3:uid="{AB5DDD6B-8B00-48D9-83B6-41A559B20BEF}" name="Column14791"/>
    <tableColumn id="14792" xr3:uid="{2408D17C-B7B3-408C-9A48-70D429D81CA3}" name="Column14792"/>
    <tableColumn id="14793" xr3:uid="{99C32C81-635B-435E-93B0-76671AF75B83}" name="Column14793"/>
    <tableColumn id="14794" xr3:uid="{3097B2D6-5D5D-494B-85A0-AC3A8E4CECBF}" name="Column14794"/>
    <tableColumn id="14795" xr3:uid="{6C2D260A-B444-4B50-9E57-B9F7362BA0C1}" name="Column14795"/>
    <tableColumn id="14796" xr3:uid="{92CFCBB4-EE08-46E9-97DF-5236111EEA25}" name="Column14796"/>
    <tableColumn id="14797" xr3:uid="{D776C887-8C14-4E8A-B410-486152A2C684}" name="Column14797"/>
    <tableColumn id="14798" xr3:uid="{A152BFF2-31DF-486B-B3DE-806C8F1EDDD2}" name="Column14798"/>
    <tableColumn id="14799" xr3:uid="{EF50F3EB-D75F-4E95-9CD2-132B355B6899}" name="Column14799"/>
    <tableColumn id="14800" xr3:uid="{FA2A85C1-7A08-412B-9C36-42929B05AA7F}" name="Column14800"/>
    <tableColumn id="14801" xr3:uid="{27647021-AEA9-468F-8911-D20CC4CCA8E6}" name="Column14801"/>
    <tableColumn id="14802" xr3:uid="{9EAD1630-5E68-4755-9580-BD37B926739A}" name="Column14802"/>
    <tableColumn id="14803" xr3:uid="{5A93729F-B06E-4B5A-AD6E-5568A4D4854A}" name="Column14803"/>
    <tableColumn id="14804" xr3:uid="{D8839C4F-4CB8-4E2A-BFC1-A1D049403098}" name="Column14804"/>
    <tableColumn id="14805" xr3:uid="{DE0B8D45-D590-45E8-AE92-210E1EF7E768}" name="Column14805"/>
    <tableColumn id="14806" xr3:uid="{D8D01471-E9AB-40D3-B55C-7C382261CFC7}" name="Column14806"/>
    <tableColumn id="14807" xr3:uid="{536DE817-6987-47D7-A807-88AB2F7A2365}" name="Column14807"/>
    <tableColumn id="14808" xr3:uid="{CDBF4213-6B5E-4302-9147-79930CFB6955}" name="Column14808"/>
    <tableColumn id="14809" xr3:uid="{AC00B26B-3335-4451-A3D6-4609B4A5746F}" name="Column14809"/>
    <tableColumn id="14810" xr3:uid="{1FE946F7-6029-4B2E-A809-31D83684B892}" name="Column14810"/>
    <tableColumn id="14811" xr3:uid="{D200BC42-9602-4271-84FA-50828306A0A9}" name="Column14811"/>
    <tableColumn id="14812" xr3:uid="{1EF7AF74-27C7-4101-98A5-6B54BD86AB88}" name="Column14812"/>
    <tableColumn id="14813" xr3:uid="{6BF05F90-3978-4F4A-A2BB-9EA195F712A4}" name="Column14813"/>
    <tableColumn id="14814" xr3:uid="{CECD7FDC-9BB4-4957-A30C-A6E34DC435B9}" name="Column14814"/>
    <tableColumn id="14815" xr3:uid="{00D9DB02-79A7-40FD-B303-E7D229A57219}" name="Column14815"/>
    <tableColumn id="14816" xr3:uid="{C580AACF-AB05-4E5A-8A1E-948B05DF4759}" name="Column14816"/>
    <tableColumn id="14817" xr3:uid="{9A291EA2-C121-4390-A013-65B5F596B28A}" name="Column14817"/>
    <tableColumn id="14818" xr3:uid="{90B0AC9F-2A66-4084-98EE-9DEAABB3E3FE}" name="Column14818"/>
    <tableColumn id="14819" xr3:uid="{B24E8711-9380-47C8-BB26-8C6C96224CE1}" name="Column14819"/>
    <tableColumn id="14820" xr3:uid="{154C0E27-7941-4362-8C4E-BDBC493E8F7C}" name="Column14820"/>
    <tableColumn id="14821" xr3:uid="{05BFC3C8-F009-4D43-9345-CE3FECFC174F}" name="Column14821"/>
    <tableColumn id="14822" xr3:uid="{0C89F9BD-EAA0-49B5-96ED-3C7196F22ED4}" name="Column14822"/>
    <tableColumn id="14823" xr3:uid="{CB2B4CE7-CE46-4F58-8AC0-3931D325C53B}" name="Column14823"/>
    <tableColumn id="14824" xr3:uid="{22DD0C97-5D7C-4749-9F1B-44A25980B39A}" name="Column14824"/>
    <tableColumn id="14825" xr3:uid="{054AE805-7852-41FA-BA11-CC9B9778F48E}" name="Column14825"/>
    <tableColumn id="14826" xr3:uid="{46A9C90D-22C8-409A-87E1-5B3816FC7612}" name="Column14826"/>
    <tableColumn id="14827" xr3:uid="{AD549F1B-43C7-4112-AF4B-16DF8AFBF21E}" name="Column14827"/>
    <tableColumn id="14828" xr3:uid="{C2098B52-8094-4578-B3A2-3636C0A6D269}" name="Column14828"/>
    <tableColumn id="14829" xr3:uid="{F1CA77BE-C0D1-4B1E-BD35-D8AADFD5A051}" name="Column14829"/>
    <tableColumn id="14830" xr3:uid="{D824C3A0-3001-4D4B-A78A-6EAAF75997DC}" name="Column14830"/>
    <tableColumn id="14831" xr3:uid="{065800ED-A5FC-42A0-8DDD-040BE0A0A71D}" name="Column14831"/>
    <tableColumn id="14832" xr3:uid="{66DB8517-959B-44F4-BBA5-4D59A7670D6C}" name="Column14832"/>
    <tableColumn id="14833" xr3:uid="{0B5244D1-36CB-42A5-ABC9-3A06D6BB847D}" name="Column14833"/>
    <tableColumn id="14834" xr3:uid="{CD9A95D9-EE5C-4200-817E-A7C0B019FF04}" name="Column14834"/>
    <tableColumn id="14835" xr3:uid="{658F904A-2305-421B-81F9-8C13BB464880}" name="Column14835"/>
    <tableColumn id="14836" xr3:uid="{2C789E08-956C-4055-A594-C37A7DE29B8E}" name="Column14836"/>
    <tableColumn id="14837" xr3:uid="{3FFE3677-9C14-4C09-8018-80EC7F1EEB26}" name="Column14837"/>
    <tableColumn id="14838" xr3:uid="{ED87BBCD-FE25-44F4-A947-100DFDE39D03}" name="Column14838"/>
    <tableColumn id="14839" xr3:uid="{92520C4F-2244-4E46-8E6B-424B0F256B6D}" name="Column14839"/>
    <tableColumn id="14840" xr3:uid="{AF3DE122-A9E5-4A6A-81DE-EAEC6184C73C}" name="Column14840"/>
    <tableColumn id="14841" xr3:uid="{0E93D006-4F03-4AA5-85E5-032EA2FE8F63}" name="Column14841"/>
    <tableColumn id="14842" xr3:uid="{2531DB05-C75C-40DC-87F0-FD63D24B566F}" name="Column14842"/>
    <tableColumn id="14843" xr3:uid="{655BFC09-89BD-420C-AD73-33E9162D4FB7}" name="Column14843"/>
    <tableColumn id="14844" xr3:uid="{D71DF404-8726-4779-9ED9-D0314ADEA717}" name="Column14844"/>
    <tableColumn id="14845" xr3:uid="{0CACD934-B675-4A07-BF67-7F1D1CE01F1E}" name="Column14845"/>
    <tableColumn id="14846" xr3:uid="{22F2FC74-CDB4-4CBE-9F1C-B0BDCADA3354}" name="Column14846"/>
    <tableColumn id="14847" xr3:uid="{3CE07E4E-39EC-4C4A-A99C-ADAA39B9CDE6}" name="Column14847"/>
    <tableColumn id="14848" xr3:uid="{2FBBAF20-A757-4E82-B54D-C0658B6AA8FA}" name="Column14848"/>
    <tableColumn id="14849" xr3:uid="{6CD68D66-513C-4307-8317-C9254E01DDA3}" name="Column14849"/>
    <tableColumn id="14850" xr3:uid="{725957B6-00D6-46B6-A8C1-67E62CAEB6D3}" name="Column14850"/>
    <tableColumn id="14851" xr3:uid="{8DAFC88F-C7AE-4F33-AFF2-E7BAD4A06AD5}" name="Column14851"/>
    <tableColumn id="14852" xr3:uid="{9AC0F494-7EC8-4199-A5F0-BA832E8E6A54}" name="Column14852"/>
    <tableColumn id="14853" xr3:uid="{5475C372-C32E-4B48-A76C-787A501CBE50}" name="Column14853"/>
    <tableColumn id="14854" xr3:uid="{72ECF4FC-E23B-438A-80EE-71B93F504C6E}" name="Column14854"/>
    <tableColumn id="14855" xr3:uid="{7236EB52-22DB-40FC-8A63-045C61F02059}" name="Column14855"/>
    <tableColumn id="14856" xr3:uid="{5663DEE9-A76F-4C20-BD53-5D40AE08DBDB}" name="Column14856"/>
    <tableColumn id="14857" xr3:uid="{574E43DC-DB95-47FB-9BBC-87BE6D6F6D4A}" name="Column14857"/>
    <tableColumn id="14858" xr3:uid="{305F4D9D-8E90-4735-AF4B-0425AE2913E4}" name="Column14858"/>
    <tableColumn id="14859" xr3:uid="{78353850-0BA0-4EE6-9CC1-2E8EA875D49B}" name="Column14859"/>
    <tableColumn id="14860" xr3:uid="{9EEC1CC4-A46B-47A9-8EFA-D467D92BEBBA}" name="Column14860"/>
    <tableColumn id="14861" xr3:uid="{E365CBE8-42D0-44DC-9DE5-C63E50E8C7B4}" name="Column14861"/>
    <tableColumn id="14862" xr3:uid="{4F1EC591-AA8C-44B2-AA0E-9C911A286377}" name="Column14862"/>
    <tableColumn id="14863" xr3:uid="{C1469759-0223-432E-9CAA-5D5FA1D8EA11}" name="Column14863"/>
    <tableColumn id="14864" xr3:uid="{ACEBD356-CF08-4CE1-936D-A6C474677120}" name="Column14864"/>
    <tableColumn id="14865" xr3:uid="{B86019E0-280B-4253-934B-E9473D258C1A}" name="Column14865"/>
    <tableColumn id="14866" xr3:uid="{CEFBAB4A-210E-4E73-B5D6-D36521428EC5}" name="Column14866"/>
    <tableColumn id="14867" xr3:uid="{5D409D99-07C0-48C1-BA87-E2EC7E494327}" name="Column14867"/>
    <tableColumn id="14868" xr3:uid="{1ED542DA-7A2D-4091-81C9-C3324CDAE762}" name="Column14868"/>
    <tableColumn id="14869" xr3:uid="{88C532DC-A9DC-46D5-8980-FF956D550D22}" name="Column14869"/>
    <tableColumn id="14870" xr3:uid="{2523BCF2-9455-447E-96E4-5338A90282D9}" name="Column14870"/>
    <tableColumn id="14871" xr3:uid="{12CE98D4-887C-417F-97EF-4BFCF4831DAE}" name="Column14871"/>
    <tableColumn id="14872" xr3:uid="{4521F49F-23F6-409D-976F-B41BD834EAF1}" name="Column14872"/>
    <tableColumn id="14873" xr3:uid="{F107E8DE-FCC7-4C08-9EAB-4B0B3F1C5DB5}" name="Column14873"/>
    <tableColumn id="14874" xr3:uid="{CDCB6CD7-6091-4544-9538-C335EFAFE32F}" name="Column14874"/>
    <tableColumn id="14875" xr3:uid="{B4B9F7A3-DE8A-4B37-93D9-C4FC363E5D6E}" name="Column14875"/>
    <tableColumn id="14876" xr3:uid="{82F0C336-1B92-4026-9243-E72FDF18097E}" name="Column14876"/>
    <tableColumn id="14877" xr3:uid="{72D65A49-872B-424E-8380-FFB922307CDF}" name="Column14877"/>
    <tableColumn id="14878" xr3:uid="{5F75785D-9A8B-439A-AF5F-E5885AE120C7}" name="Column14878"/>
    <tableColumn id="14879" xr3:uid="{8A0E4853-D8CA-47D1-BE48-482EB0291FD0}" name="Column14879"/>
    <tableColumn id="14880" xr3:uid="{F06AC003-BDEE-4622-9331-CCCD4B0C326C}" name="Column14880"/>
    <tableColumn id="14881" xr3:uid="{8E38FDF4-92AE-43CD-B40A-69291657A444}" name="Column14881"/>
    <tableColumn id="14882" xr3:uid="{68A28D5F-BF59-41E4-8863-3CF4189B36F8}" name="Column14882"/>
    <tableColumn id="14883" xr3:uid="{9FD12E3F-31C6-402B-A0C1-E7454101E1DE}" name="Column14883"/>
    <tableColumn id="14884" xr3:uid="{B7A7C74D-E41B-446B-9603-92F8A49F5553}" name="Column14884"/>
    <tableColumn id="14885" xr3:uid="{47BAE958-22BF-4A4F-84C8-2198748DE31F}" name="Column14885"/>
    <tableColumn id="14886" xr3:uid="{33337857-EBD2-4DAA-A83F-1FD159DDBF24}" name="Column14886"/>
    <tableColumn id="14887" xr3:uid="{AD72C832-84F9-4428-811B-FE03A2AF7734}" name="Column14887"/>
    <tableColumn id="14888" xr3:uid="{E90C805B-7876-47CA-99F1-8117D46B9618}" name="Column14888"/>
    <tableColumn id="14889" xr3:uid="{8D11D0DC-329F-4D99-8F9C-D467B6128ECB}" name="Column14889"/>
    <tableColumn id="14890" xr3:uid="{B3A80AB9-898C-47B2-8C4B-7E6542BD91DE}" name="Column14890"/>
    <tableColumn id="14891" xr3:uid="{918690E0-711E-4AC0-B6AA-C6DC05E8589A}" name="Column14891"/>
    <tableColumn id="14892" xr3:uid="{79C72634-5F12-41F1-A936-25F3B0EE49D6}" name="Column14892"/>
    <tableColumn id="14893" xr3:uid="{B30979CC-4FE6-46F9-923A-EE93F057FB45}" name="Column14893"/>
    <tableColumn id="14894" xr3:uid="{50921698-BC6A-426F-B677-84033DE6DED0}" name="Column14894"/>
    <tableColumn id="14895" xr3:uid="{10A62FA0-DEB8-4929-9EFE-5A620F64492F}" name="Column14895"/>
    <tableColumn id="14896" xr3:uid="{404959B9-EB8E-4610-981D-AFAC0F36F8FC}" name="Column14896"/>
    <tableColumn id="14897" xr3:uid="{AF2F066A-BCE9-4983-8545-42353D191527}" name="Column14897"/>
    <tableColumn id="14898" xr3:uid="{50616FA0-0405-4FCD-BB84-8540C00A6487}" name="Column14898"/>
    <tableColumn id="14899" xr3:uid="{5F0AB8F3-26E5-41C1-9678-68530290CAB5}" name="Column14899"/>
    <tableColumn id="14900" xr3:uid="{84FEA75C-B9AE-45E7-9BCD-F48360C7035E}" name="Column14900"/>
    <tableColumn id="14901" xr3:uid="{6B9EE410-BD9A-49E8-AC72-5BD4644DD127}" name="Column14901"/>
    <tableColumn id="14902" xr3:uid="{84C5F522-072F-48FB-BD1D-19AA30C36C84}" name="Column14902"/>
    <tableColumn id="14903" xr3:uid="{3652FEE8-16B3-4738-8FC0-7F3FE2E014BE}" name="Column14903"/>
    <tableColumn id="14904" xr3:uid="{9847C649-5FA8-4B0F-B836-D675864FDDA2}" name="Column14904"/>
    <tableColumn id="14905" xr3:uid="{08339A3B-1C48-4A91-A0A8-839B30B102D9}" name="Column14905"/>
    <tableColumn id="14906" xr3:uid="{A5C45909-4E68-4790-A1EA-5667BC5415FB}" name="Column14906"/>
    <tableColumn id="14907" xr3:uid="{CF62D767-7C4F-46D5-9B47-4C502B0A918B}" name="Column14907"/>
    <tableColumn id="14908" xr3:uid="{CD141669-CDC5-4110-BFCC-8EEEED5255BC}" name="Column14908"/>
    <tableColumn id="14909" xr3:uid="{C423AE22-D540-4054-B7AF-D8E30C4A55E5}" name="Column14909"/>
    <tableColumn id="14910" xr3:uid="{FE8D8C05-BB58-46B6-9E5F-FA7BDD664638}" name="Column14910"/>
    <tableColumn id="14911" xr3:uid="{8E4FF8EF-0EF2-4287-BC7F-C2E2E5DE7952}" name="Column14911"/>
    <tableColumn id="14912" xr3:uid="{F0F02C7E-EFEE-4A53-B05F-7C735C259C79}" name="Column14912"/>
    <tableColumn id="14913" xr3:uid="{756D7457-84AE-4B45-AA3D-B359C0DDB02B}" name="Column14913"/>
    <tableColumn id="14914" xr3:uid="{ADDF2DBC-6592-4BD9-B453-8EF13FBA27C8}" name="Column14914"/>
    <tableColumn id="14915" xr3:uid="{018A938D-A2CE-44BC-9AB0-374334F26929}" name="Column14915"/>
    <tableColumn id="14916" xr3:uid="{F2930B0D-63DC-4883-BDC2-C4A7292F866C}" name="Column14916"/>
    <tableColumn id="14917" xr3:uid="{00B60E27-751A-4D75-8597-DB664B61AD2C}" name="Column14917"/>
    <tableColumn id="14918" xr3:uid="{ACE5D3A0-A1C0-4A22-854F-97254A131E13}" name="Column14918"/>
    <tableColumn id="14919" xr3:uid="{AF60321D-3BC4-43DF-BE03-FD4A0A71CB02}" name="Column14919"/>
    <tableColumn id="14920" xr3:uid="{249593A1-A35B-47F1-A1DA-5A62C000BE19}" name="Column14920"/>
    <tableColumn id="14921" xr3:uid="{231FBD5A-B89A-4BCF-8BAB-0665CAEB58D5}" name="Column14921"/>
    <tableColumn id="14922" xr3:uid="{A855BC86-280F-42F4-A053-14FC5268D254}" name="Column14922"/>
    <tableColumn id="14923" xr3:uid="{EB6ED298-C3C5-47E0-918C-7645A492CE96}" name="Column14923"/>
    <tableColumn id="14924" xr3:uid="{7F5A6A38-497A-441B-B5F9-3AB56E040797}" name="Column14924"/>
    <tableColumn id="14925" xr3:uid="{2F70089E-F7DB-4982-952F-C17AC84B1103}" name="Column14925"/>
    <tableColumn id="14926" xr3:uid="{F221C599-D857-47CD-98B7-B686BB691897}" name="Column14926"/>
    <tableColumn id="14927" xr3:uid="{54C528C3-0D55-40E7-95CE-70956B38CBD4}" name="Column14927"/>
    <tableColumn id="14928" xr3:uid="{26F462C6-852F-4493-B9D3-75741CB35D82}" name="Column14928"/>
    <tableColumn id="14929" xr3:uid="{216CD205-3F60-4140-94F7-B20C466A2AC3}" name="Column14929"/>
    <tableColumn id="14930" xr3:uid="{A018A3D5-C9D1-4439-A4B3-FC67F8D80118}" name="Column14930"/>
    <tableColumn id="14931" xr3:uid="{82D4F566-636B-4EDF-B558-03DC790554D1}" name="Column14931"/>
    <tableColumn id="14932" xr3:uid="{75B87D7F-DC3D-4D15-B782-9A1F3711607E}" name="Column14932"/>
    <tableColumn id="14933" xr3:uid="{E8FBA91C-1D6E-40D7-914A-69E3FDFED3CF}" name="Column14933"/>
    <tableColumn id="14934" xr3:uid="{843BA0D8-21A7-426E-8178-C317D8C1568B}" name="Column14934"/>
    <tableColumn id="14935" xr3:uid="{3EE58287-778F-4DB4-A53D-C6685A6F72E1}" name="Column14935"/>
    <tableColumn id="14936" xr3:uid="{0FF59C27-970B-4B8E-ADFD-2BBDD2D5C9D8}" name="Column14936"/>
    <tableColumn id="14937" xr3:uid="{BFFB4A82-2350-4CEE-86AA-C084820CC8EA}" name="Column14937"/>
    <tableColumn id="14938" xr3:uid="{C3AB582F-9176-4BCB-B4BD-D04A4C0EE5F7}" name="Column14938"/>
    <tableColumn id="14939" xr3:uid="{4A1FEAA7-5FA9-4418-BEE2-D5F89A9F8799}" name="Column14939"/>
    <tableColumn id="14940" xr3:uid="{4726797C-AF62-403A-B89C-7343F24D9DD7}" name="Column14940"/>
    <tableColumn id="14941" xr3:uid="{52724E13-DFCE-4CC3-A6C5-8103418D3862}" name="Column14941"/>
    <tableColumn id="14942" xr3:uid="{A794BD9C-2B82-47F2-8181-362B4DDCBCCD}" name="Column14942"/>
    <tableColumn id="14943" xr3:uid="{A5C79EA0-4512-4864-BAD3-1327A0F70DF7}" name="Column14943"/>
    <tableColumn id="14944" xr3:uid="{A04EE29D-3300-42E6-A0B1-92A6C91CF29E}" name="Column14944"/>
    <tableColumn id="14945" xr3:uid="{9424BDC1-5C72-41A0-A522-B223294CF2D8}" name="Column14945"/>
    <tableColumn id="14946" xr3:uid="{2A112EDC-8510-47EF-8B65-65F473446E59}" name="Column14946"/>
    <tableColumn id="14947" xr3:uid="{36FF33E1-E700-4CD7-9299-40AA8930EEF6}" name="Column14947"/>
    <tableColumn id="14948" xr3:uid="{78271668-9737-49C5-8F3B-9B353BCA92D6}" name="Column14948"/>
    <tableColumn id="14949" xr3:uid="{6ED3CB06-2BFF-4766-8FA0-665E377B4848}" name="Column14949"/>
    <tableColumn id="14950" xr3:uid="{9E8BD0B8-8AEE-479B-8CB9-08791E908B93}" name="Column14950"/>
    <tableColumn id="14951" xr3:uid="{6FB53255-D819-4BC5-9EB2-C4CC60C12199}" name="Column14951"/>
    <tableColumn id="14952" xr3:uid="{3A0F6971-C9A2-45AA-8AB8-FCCCFA97FDBD}" name="Column14952"/>
    <tableColumn id="14953" xr3:uid="{6F9413E5-DE13-4104-A936-07AC75A40B78}" name="Column14953"/>
    <tableColumn id="14954" xr3:uid="{35B47706-BE17-402C-BE7C-8DA781B0D52D}" name="Column14954"/>
    <tableColumn id="14955" xr3:uid="{8399A39D-D1A4-40E9-A823-AEBBA1B3C1BA}" name="Column14955"/>
    <tableColumn id="14956" xr3:uid="{C1D89FBC-E5BF-452D-A3C7-712B0F1DB49E}" name="Column14956"/>
    <tableColumn id="14957" xr3:uid="{6237D01D-7E9A-4CC1-9DB3-FEA7B86A6950}" name="Column14957"/>
    <tableColumn id="14958" xr3:uid="{1E947D33-C0B5-4381-B77D-A5A1CC1C2CE0}" name="Column14958"/>
    <tableColumn id="14959" xr3:uid="{159FD59E-50C4-4E1A-B687-2CFF9DF408ED}" name="Column14959"/>
    <tableColumn id="14960" xr3:uid="{4DCEC3FF-A1A9-4F1C-804F-002C7A010B1A}" name="Column14960"/>
    <tableColumn id="14961" xr3:uid="{11522C43-0B5A-4D55-877E-0438A770A0E8}" name="Column14961"/>
    <tableColumn id="14962" xr3:uid="{C7EC2598-AC13-426F-8229-8BD292DEB60C}" name="Column14962"/>
    <tableColumn id="14963" xr3:uid="{7B29D415-A98B-4BED-BB45-75849EC79650}" name="Column14963"/>
    <tableColumn id="14964" xr3:uid="{042D3E4A-BC53-4114-9415-8D5865809A25}" name="Column14964"/>
    <tableColumn id="14965" xr3:uid="{55617402-20B0-4F43-B93F-A6B3862F0F36}" name="Column14965"/>
    <tableColumn id="14966" xr3:uid="{FF4E3D48-AE6C-4C4D-AB40-F67B77F82332}" name="Column14966"/>
    <tableColumn id="14967" xr3:uid="{ECAF4593-5E70-43DD-BA9E-9E753A392BC6}" name="Column14967"/>
    <tableColumn id="14968" xr3:uid="{B4D65FA6-04CA-4448-9005-9FC79A07120D}" name="Column14968"/>
    <tableColumn id="14969" xr3:uid="{CC22F57F-78FA-4B41-877E-9FEDEACA3AC8}" name="Column14969"/>
    <tableColumn id="14970" xr3:uid="{1CC2252A-DE17-4410-9A4B-EDFBBEB0E012}" name="Column14970"/>
    <tableColumn id="14971" xr3:uid="{9EE5816E-DF2E-466C-992A-85616107C79D}" name="Column14971"/>
    <tableColumn id="14972" xr3:uid="{437EF206-78DB-44CC-84B4-A8ACA4803A0A}" name="Column14972"/>
    <tableColumn id="14973" xr3:uid="{1DAB8A0D-4FE8-4C3B-83E9-5B0F88B8AA70}" name="Column14973"/>
    <tableColumn id="14974" xr3:uid="{BB9ADEF8-4BAD-4975-8900-0E8CB2DA45B8}" name="Column14974"/>
    <tableColumn id="14975" xr3:uid="{2B8F9B02-C004-4489-9990-F7952C0A4D4A}" name="Column14975"/>
    <tableColumn id="14976" xr3:uid="{67F1E420-89E7-4C44-B427-A5708DCACBDB}" name="Column14976"/>
    <tableColumn id="14977" xr3:uid="{58B631C9-C378-4593-9561-662E41ACFAE3}" name="Column14977"/>
    <tableColumn id="14978" xr3:uid="{E9450A9D-A4F8-4F13-B5A9-F8758673B045}" name="Column14978"/>
    <tableColumn id="14979" xr3:uid="{69B236D3-03A9-423B-97E8-A09CA1572816}" name="Column14979"/>
    <tableColumn id="14980" xr3:uid="{3E870887-0CFC-4A18-A90A-7F8315704FB2}" name="Column14980"/>
    <tableColumn id="14981" xr3:uid="{C8E97611-C79F-48E0-A114-85776BDA50C8}" name="Column14981"/>
    <tableColumn id="14982" xr3:uid="{C66974BC-9E9D-4A38-9EED-EA58C3A04686}" name="Column14982"/>
    <tableColumn id="14983" xr3:uid="{F4A2E37E-4B6C-4F49-83D8-5E43622862AB}" name="Column14983"/>
    <tableColumn id="14984" xr3:uid="{52CE487A-D2C4-4FE7-A0E2-1F56C2BE0587}" name="Column14984"/>
    <tableColumn id="14985" xr3:uid="{F36A52C2-E9E9-4316-B17F-76190CDFEB8D}" name="Column14985"/>
    <tableColumn id="14986" xr3:uid="{DB91C6C4-F92A-43E6-A428-007142325868}" name="Column14986"/>
    <tableColumn id="14987" xr3:uid="{D36CA0A9-DC19-4B62-9F00-A7FA09224739}" name="Column14987"/>
    <tableColumn id="14988" xr3:uid="{3D531584-6885-4A49-A6A1-B6A126D8119C}" name="Column14988"/>
    <tableColumn id="14989" xr3:uid="{681EE098-7343-4613-A5F5-6272A5A71263}" name="Column14989"/>
    <tableColumn id="14990" xr3:uid="{8B833366-5F4E-447A-9FB8-9CC6E2DA06F2}" name="Column14990"/>
    <tableColumn id="14991" xr3:uid="{8AF9708E-A300-4B1B-AF57-41B28C13C77D}" name="Column14991"/>
    <tableColumn id="14992" xr3:uid="{BC632590-433C-4F17-B916-6348AF9A77B9}" name="Column14992"/>
    <tableColumn id="14993" xr3:uid="{F6679088-1562-498E-9F09-C8C9A3B1157E}" name="Column14993"/>
    <tableColumn id="14994" xr3:uid="{8ED05E8A-7E23-48D5-8BC0-25FB47565036}" name="Column14994"/>
    <tableColumn id="14995" xr3:uid="{63197839-6B3E-4C30-B1E3-AB58EBF5FE06}" name="Column14995"/>
    <tableColumn id="14996" xr3:uid="{C671DC2F-19D9-4014-A6BB-5A5EF0EBCD7F}" name="Column14996"/>
    <tableColumn id="14997" xr3:uid="{6203FCDF-7315-4643-9215-0510677824F2}" name="Column14997"/>
    <tableColumn id="14998" xr3:uid="{DED7979F-2BB3-47D7-ABBB-401AC1DD4051}" name="Column14998"/>
    <tableColumn id="14999" xr3:uid="{F4D689C2-0AA3-4886-B6C3-93C1397951D7}" name="Column14999"/>
    <tableColumn id="15000" xr3:uid="{4A664DB9-7676-46BF-9ADC-B8AF51DB05D3}" name="Column15000"/>
    <tableColumn id="15001" xr3:uid="{AFE37E1D-DD31-4AC0-8070-00B830F16047}" name="Column15001"/>
    <tableColumn id="15002" xr3:uid="{4E39E680-7421-434C-8386-699C7F539F17}" name="Column15002"/>
    <tableColumn id="15003" xr3:uid="{FCEE9922-FB0A-4227-90F6-5C4446DF35E1}" name="Column15003"/>
    <tableColumn id="15004" xr3:uid="{5F46FF46-E6E9-4869-9670-430BCF887567}" name="Column15004"/>
    <tableColumn id="15005" xr3:uid="{0921267B-3A4A-4AEE-A52A-C8D9A9127B05}" name="Column15005"/>
    <tableColumn id="15006" xr3:uid="{0AA2E784-9FF9-454D-BAC4-6A3395A4ED7F}" name="Column15006"/>
    <tableColumn id="15007" xr3:uid="{92889D70-750E-4632-9C55-B821E7C4787F}" name="Column15007"/>
    <tableColumn id="15008" xr3:uid="{96A028F0-05C6-4403-B9A3-5E42EAC00EA3}" name="Column15008"/>
    <tableColumn id="15009" xr3:uid="{670F3698-29E8-475F-B999-96B870E7D563}" name="Column15009"/>
    <tableColumn id="15010" xr3:uid="{FFABD64F-F5A1-4A7D-BC2D-89069579BDB7}" name="Column15010"/>
    <tableColumn id="15011" xr3:uid="{F2E6D5EF-0318-4DD3-BACF-CED97C34F294}" name="Column15011"/>
    <tableColumn id="15012" xr3:uid="{238AAC65-1EEA-4CAE-8314-775A02F49F4B}" name="Column15012"/>
    <tableColumn id="15013" xr3:uid="{890BE122-1C44-4632-BBC6-82E6B56CB6B2}" name="Column15013"/>
    <tableColumn id="15014" xr3:uid="{0FAED037-CE5A-489B-9929-7E5253499C28}" name="Column15014"/>
    <tableColumn id="15015" xr3:uid="{CA682C6D-E209-40A0-983F-3F0E90A359D4}" name="Column15015"/>
    <tableColumn id="15016" xr3:uid="{FECB5EBC-53C8-4733-80FF-33869D3F9828}" name="Column15016"/>
    <tableColumn id="15017" xr3:uid="{D952F850-EF0A-400C-9D70-1B53791AE868}" name="Column15017"/>
    <tableColumn id="15018" xr3:uid="{9CDF335B-F007-4AC6-B50E-FBB1D031B2FA}" name="Column15018"/>
    <tableColumn id="15019" xr3:uid="{B682D13F-E988-41C6-9D78-05C6674E67D6}" name="Column15019"/>
    <tableColumn id="15020" xr3:uid="{B1125B19-8286-4558-871A-A559C78E214B}" name="Column15020"/>
    <tableColumn id="15021" xr3:uid="{56D00F33-CC48-4FFA-8252-8405E2C0EE6A}" name="Column15021"/>
    <tableColumn id="15022" xr3:uid="{03726C8F-BAB6-4C2A-A5C8-2417E71F96D7}" name="Column15022"/>
    <tableColumn id="15023" xr3:uid="{88592953-E067-41F4-BE50-FA30F7626C77}" name="Column15023"/>
    <tableColumn id="15024" xr3:uid="{9A391244-1FA7-47F2-8BBF-E069C7953DA6}" name="Column15024"/>
    <tableColumn id="15025" xr3:uid="{DB11F32A-A17E-442C-A1D5-EFCFB968F421}" name="Column15025"/>
    <tableColumn id="15026" xr3:uid="{864B43CC-7F3F-48CF-B023-2250A842804D}" name="Column15026"/>
    <tableColumn id="15027" xr3:uid="{745DA8A8-52D5-4818-BAE1-2E860263BE56}" name="Column15027"/>
    <tableColumn id="15028" xr3:uid="{F51FF294-6F65-4A5D-9C05-C095885785ED}" name="Column15028"/>
    <tableColumn id="15029" xr3:uid="{52649638-DBA2-45F7-ADF8-3A074C2AFF55}" name="Column15029"/>
    <tableColumn id="15030" xr3:uid="{807E8F35-E162-44F2-A450-026A5AEDF728}" name="Column15030"/>
    <tableColumn id="15031" xr3:uid="{BE6094E5-72CA-4DC5-8D8E-35431F116DD1}" name="Column15031"/>
    <tableColumn id="15032" xr3:uid="{8EE6C98D-4169-4AFD-8D20-1B256E923719}" name="Column15032"/>
    <tableColumn id="15033" xr3:uid="{8320F01C-E8A9-4FEC-A6B3-8414F7E7D7FB}" name="Column15033"/>
    <tableColumn id="15034" xr3:uid="{421A9983-6C10-43EF-BB51-C96E9D821351}" name="Column15034"/>
    <tableColumn id="15035" xr3:uid="{F39A0F04-0962-41A8-8F41-7AAC2EFBDDBB}" name="Column15035"/>
    <tableColumn id="15036" xr3:uid="{B05D772B-5B19-4168-BA82-A5AD71483FC7}" name="Column15036"/>
    <tableColumn id="15037" xr3:uid="{89562923-951C-4DAC-80F5-8BD450BFD22E}" name="Column15037"/>
    <tableColumn id="15038" xr3:uid="{BAC5FB7F-2982-45CD-A12E-AE17138372F4}" name="Column15038"/>
    <tableColumn id="15039" xr3:uid="{C5AA38F1-442B-477A-AA70-39EE9E0CE146}" name="Column15039"/>
    <tableColumn id="15040" xr3:uid="{A5C4FE02-2B06-4FF9-A841-91FC1C118575}" name="Column15040"/>
    <tableColumn id="15041" xr3:uid="{1B246BCA-9F23-43C8-9150-D69FA81BDD68}" name="Column15041"/>
    <tableColumn id="15042" xr3:uid="{CB253485-8962-497E-9D20-B8B5404A8DB0}" name="Column15042"/>
    <tableColumn id="15043" xr3:uid="{822A941D-6DA2-4030-BE1D-1E09B84FC61A}" name="Column15043"/>
    <tableColumn id="15044" xr3:uid="{A9E4B3C1-3E2F-449E-8F12-52A38D97C41E}" name="Column15044"/>
    <tableColumn id="15045" xr3:uid="{35075E7A-96D5-4D31-832D-66E9D479064F}" name="Column15045"/>
    <tableColumn id="15046" xr3:uid="{17200EAB-6EE9-42DE-9020-29E74321192C}" name="Column15046"/>
    <tableColumn id="15047" xr3:uid="{C3D69C33-712B-42BD-82FE-BDFE030C0C84}" name="Column15047"/>
    <tableColumn id="15048" xr3:uid="{D71144CC-FB54-4A8B-98C7-32F47A4EB437}" name="Column15048"/>
    <tableColumn id="15049" xr3:uid="{37DE8D71-3769-43D5-947E-596F92EDA6FB}" name="Column15049"/>
    <tableColumn id="15050" xr3:uid="{D3FF5DAC-8485-4598-B3ED-C0758FC725CC}" name="Column15050"/>
    <tableColumn id="15051" xr3:uid="{6BF46436-4949-4BD7-955F-08EFF3133688}" name="Column15051"/>
    <tableColumn id="15052" xr3:uid="{E30E40DE-03FC-4090-A0B8-3FED0F7B746F}" name="Column15052"/>
    <tableColumn id="15053" xr3:uid="{E978DFB9-E001-40F0-B5D8-B822116067AB}" name="Column15053"/>
    <tableColumn id="15054" xr3:uid="{DEE03F5C-5CDD-4C48-A115-BF56E5C24260}" name="Column15054"/>
    <tableColumn id="15055" xr3:uid="{59957341-36D7-4004-A0B6-83CFB5E07131}" name="Column15055"/>
    <tableColumn id="15056" xr3:uid="{9C6C2CDD-ABBF-4405-883F-408D90F46EBE}" name="Column15056"/>
    <tableColumn id="15057" xr3:uid="{9D73247E-9058-4B31-A5F8-30E52778D14D}" name="Column15057"/>
    <tableColumn id="15058" xr3:uid="{C14AFD25-F077-40B2-891D-8E59692CCBDD}" name="Column15058"/>
    <tableColumn id="15059" xr3:uid="{9E145EDB-BA2D-4E28-B4E2-0C8D79ABB742}" name="Column15059"/>
    <tableColumn id="15060" xr3:uid="{B29E74EA-40A8-4A03-9015-2D80E3A86535}" name="Column15060"/>
    <tableColumn id="15061" xr3:uid="{3C7A9181-3B1C-4509-B558-0C96BDA1DEBC}" name="Column15061"/>
    <tableColumn id="15062" xr3:uid="{293F7F4A-7775-4ECA-BDC1-35E8B90C916B}" name="Column15062"/>
    <tableColumn id="15063" xr3:uid="{1A23270A-B00E-4395-8A97-CE5A096869F8}" name="Column15063"/>
    <tableColumn id="15064" xr3:uid="{D32D45B6-9725-4755-A6EE-959E56AAA7A4}" name="Column15064"/>
    <tableColumn id="15065" xr3:uid="{E5065B0A-EB56-44D1-97C1-B9BF6581559B}" name="Column15065"/>
    <tableColumn id="15066" xr3:uid="{7866380E-1621-454C-9E61-2DDF57673401}" name="Column15066"/>
    <tableColumn id="15067" xr3:uid="{60CD258D-7F22-4685-8806-071DFAFAFB9F}" name="Column15067"/>
    <tableColumn id="15068" xr3:uid="{E8F67605-2D28-4B1D-B11F-088260DA2F63}" name="Column15068"/>
    <tableColumn id="15069" xr3:uid="{7451AC21-076A-472A-8209-3EE4AA7CF412}" name="Column15069"/>
    <tableColumn id="15070" xr3:uid="{342437C1-D35E-4C2B-B45A-95EF91B6A5B2}" name="Column15070"/>
    <tableColumn id="15071" xr3:uid="{6656F03B-883F-4B33-B145-5C106D88E2EA}" name="Column15071"/>
    <tableColumn id="15072" xr3:uid="{7A2073F4-067E-4D39-96B0-64E183B427BC}" name="Column15072"/>
    <tableColumn id="15073" xr3:uid="{030268D4-BD23-4C82-BE41-A1D39794DDE1}" name="Column15073"/>
    <tableColumn id="15074" xr3:uid="{F5ECEDAD-8D48-4DA1-80DD-D4DB9F1AB6F3}" name="Column15074"/>
    <tableColumn id="15075" xr3:uid="{D8444916-81C6-49F7-A976-C20D4E48EEA5}" name="Column15075"/>
    <tableColumn id="15076" xr3:uid="{90DD12E2-A8FC-443F-A808-6E80FFB2830F}" name="Column15076"/>
    <tableColumn id="15077" xr3:uid="{9D96CAD5-381D-4773-98F5-EA4F9C1E86A2}" name="Column15077"/>
    <tableColumn id="15078" xr3:uid="{CE5A6EB7-3264-4E68-B146-0673331BB868}" name="Column15078"/>
    <tableColumn id="15079" xr3:uid="{A8ABBE92-8EFF-49BC-A67C-4E51377391FE}" name="Column15079"/>
    <tableColumn id="15080" xr3:uid="{10983307-E374-4EA1-8F92-243A631C72DF}" name="Column15080"/>
    <tableColumn id="15081" xr3:uid="{FDD51FE4-EB4D-437D-8723-D7BDF84684E1}" name="Column15081"/>
    <tableColumn id="15082" xr3:uid="{7F385710-91F8-48AD-AD90-7C86CF2F507C}" name="Column15082"/>
    <tableColumn id="15083" xr3:uid="{019A2056-BA7B-4AE6-8707-61ED294A8EC1}" name="Column15083"/>
    <tableColumn id="15084" xr3:uid="{A96F089C-C1FD-46DE-871B-317B0C78A520}" name="Column15084"/>
    <tableColumn id="15085" xr3:uid="{F24C7E20-3991-4668-AF01-4AE385E89396}" name="Column15085"/>
    <tableColumn id="15086" xr3:uid="{6472D565-5B52-4E66-A481-82011D10D103}" name="Column15086"/>
    <tableColumn id="15087" xr3:uid="{F7A4C29E-F60A-4A57-9E17-A3A4B5A57A74}" name="Column15087"/>
    <tableColumn id="15088" xr3:uid="{C9842403-3AA1-4742-B8F2-4F354D63AD63}" name="Column15088"/>
    <tableColumn id="15089" xr3:uid="{5C416322-5F6E-4077-86CD-5B474A1F29F5}" name="Column15089"/>
    <tableColumn id="15090" xr3:uid="{40103518-3E0A-490D-A908-E434C601E73F}" name="Column15090"/>
    <tableColumn id="15091" xr3:uid="{4E9CEEC3-E46E-403E-AD52-A462989C293F}" name="Column15091"/>
    <tableColumn id="15092" xr3:uid="{4691A91B-4345-437E-9F30-8C58AC167867}" name="Column15092"/>
    <tableColumn id="15093" xr3:uid="{ED43702D-8F19-46CB-ABF1-CE814A73D71B}" name="Column15093"/>
    <tableColumn id="15094" xr3:uid="{E5439303-E23E-4CE4-BA9E-E105FF104798}" name="Column15094"/>
    <tableColumn id="15095" xr3:uid="{FA9D7C25-0034-4208-B362-31FFF01A084D}" name="Column15095"/>
    <tableColumn id="15096" xr3:uid="{F77299B5-9EE1-4204-B012-A872AC83BF90}" name="Column15096"/>
    <tableColumn id="15097" xr3:uid="{22840288-E0C3-4950-8E2E-1C9FEF28EE77}" name="Column15097"/>
    <tableColumn id="15098" xr3:uid="{51391492-FD0E-42D5-BDDA-DE41A12FA0BB}" name="Column15098"/>
    <tableColumn id="15099" xr3:uid="{D1054A0B-57F5-4BD5-8E9C-91C1B75A4B23}" name="Column15099"/>
    <tableColumn id="15100" xr3:uid="{E51C33F5-44A2-47DE-A9A9-33F9CC9C1349}" name="Column15100"/>
    <tableColumn id="15101" xr3:uid="{BED3B527-204C-41B3-B4D8-F757EF00C1CC}" name="Column15101"/>
    <tableColumn id="15102" xr3:uid="{902F2480-B24A-497B-A995-B119E9D6B253}" name="Column15102"/>
    <tableColumn id="15103" xr3:uid="{82F19909-B1D2-49C0-902D-F7F0A62C4E3D}" name="Column15103"/>
    <tableColumn id="15104" xr3:uid="{324C41EF-36E4-431D-AAF3-C70CC0298571}" name="Column15104"/>
    <tableColumn id="15105" xr3:uid="{65F3AD17-A95D-41E4-810F-252771D80EC2}" name="Column15105"/>
    <tableColumn id="15106" xr3:uid="{206299F2-AB0C-4C4A-A486-8EA14132BA0D}" name="Column15106"/>
    <tableColumn id="15107" xr3:uid="{070D6D18-160E-4F9D-9434-B77206D46155}" name="Column15107"/>
    <tableColumn id="15108" xr3:uid="{868B13F4-7000-42B7-821F-731D704E0CE0}" name="Column15108"/>
    <tableColumn id="15109" xr3:uid="{683239C3-4B08-4AAB-8139-BE5452573D48}" name="Column15109"/>
    <tableColumn id="15110" xr3:uid="{8FD40A13-B969-401C-9A65-4F25F6C4266A}" name="Column15110"/>
    <tableColumn id="15111" xr3:uid="{7EFEB073-D746-4D7B-97A7-2F4592A619A1}" name="Column15111"/>
    <tableColumn id="15112" xr3:uid="{B31694F9-B893-4CAF-B236-C554DFC2A5DC}" name="Column15112"/>
    <tableColumn id="15113" xr3:uid="{DC56E161-C829-488E-AC96-9DEB4A3AD3E4}" name="Column15113"/>
    <tableColumn id="15114" xr3:uid="{674A144C-CCD9-4578-B2AC-686E040E5CFD}" name="Column15114"/>
    <tableColumn id="15115" xr3:uid="{E88CE4C0-BFB9-4ED0-A824-1953EED7FDA7}" name="Column15115"/>
    <tableColumn id="15116" xr3:uid="{BCE9A4D7-42EA-44B9-B020-B6B80435B72D}" name="Column15116"/>
    <tableColumn id="15117" xr3:uid="{F3C46DF2-BF88-4391-A686-F5B58FAFE8D3}" name="Column15117"/>
    <tableColumn id="15118" xr3:uid="{464331C1-3F3F-400D-8EEE-930A61CF733C}" name="Column15118"/>
    <tableColumn id="15119" xr3:uid="{0A7F6F17-2D76-453A-AAED-A5794B90E810}" name="Column15119"/>
    <tableColumn id="15120" xr3:uid="{F0DA5F94-DBC7-4676-B3BE-4FE204637A49}" name="Column15120"/>
    <tableColumn id="15121" xr3:uid="{52E88B40-D8E6-4DB8-9449-CDDB13DAD455}" name="Column15121"/>
    <tableColumn id="15122" xr3:uid="{F5DEBD89-588C-4C43-A312-B5BC64CCB81D}" name="Column15122"/>
    <tableColumn id="15123" xr3:uid="{102CC0E2-7D56-4728-9BEB-A8C8568BC0E5}" name="Column15123"/>
    <tableColumn id="15124" xr3:uid="{ECF841CF-F2DB-41A5-AE91-B848892FCC25}" name="Column15124"/>
    <tableColumn id="15125" xr3:uid="{1A49D024-1D27-4201-9F1B-42E8CF01B9C6}" name="Column15125"/>
    <tableColumn id="15126" xr3:uid="{86288C08-D1BB-4325-A315-DC94C347B092}" name="Column15126"/>
    <tableColumn id="15127" xr3:uid="{81020C3A-889B-43E8-BFDE-F4DD1D2C56D8}" name="Column15127"/>
    <tableColumn id="15128" xr3:uid="{619DD530-EB0E-403B-854B-AD9CC3C8A561}" name="Column15128"/>
    <tableColumn id="15129" xr3:uid="{661F9439-213D-4713-8CB3-2FED28310E6E}" name="Column15129"/>
    <tableColumn id="15130" xr3:uid="{41D151E2-476B-4F03-9A5B-6256468488F3}" name="Column15130"/>
    <tableColumn id="15131" xr3:uid="{2BA43114-702B-4107-ACCF-135E6217129F}" name="Column15131"/>
    <tableColumn id="15132" xr3:uid="{7700E642-8697-437E-98CD-5F63B6FF5A66}" name="Column15132"/>
    <tableColumn id="15133" xr3:uid="{3D9F0F37-1ED4-49FD-A6B4-261A43850EEB}" name="Column15133"/>
    <tableColumn id="15134" xr3:uid="{DC6765E7-472C-47B0-BFEC-E0C0F3FA2A64}" name="Column15134"/>
    <tableColumn id="15135" xr3:uid="{FE541591-9274-432E-94EC-8414911421B4}" name="Column15135"/>
    <tableColumn id="15136" xr3:uid="{5DAD7209-651D-4807-8022-CD3AEB204606}" name="Column15136"/>
    <tableColumn id="15137" xr3:uid="{5CF09B6A-2100-4A3E-B691-E873A1183976}" name="Column15137"/>
    <tableColumn id="15138" xr3:uid="{DA7E2F48-488E-4AB2-A28C-732F246E1059}" name="Column15138"/>
    <tableColumn id="15139" xr3:uid="{84ADEA0F-0953-45FA-9EFC-FCF5D7FF7311}" name="Column15139"/>
    <tableColumn id="15140" xr3:uid="{5113C9EF-34F7-4E12-98A2-3FF1C402996A}" name="Column15140"/>
    <tableColumn id="15141" xr3:uid="{1540D4BB-9378-4D16-88E7-B2C6FD89724F}" name="Column15141"/>
    <tableColumn id="15142" xr3:uid="{02CED381-61AC-42A3-BF8D-431EAA4FB001}" name="Column15142"/>
    <tableColumn id="15143" xr3:uid="{06390D9A-645B-4ADE-9EF4-E651C284B327}" name="Column15143"/>
    <tableColumn id="15144" xr3:uid="{EF5C179E-900F-4B02-86F1-73614B5C090B}" name="Column15144"/>
    <tableColumn id="15145" xr3:uid="{9865B190-261B-4229-A33D-D250AD41DBA6}" name="Column15145"/>
    <tableColumn id="15146" xr3:uid="{EE560129-BCC3-4C8F-9AA6-A202A845A9CB}" name="Column15146"/>
    <tableColumn id="15147" xr3:uid="{47649F92-FD25-44CE-A109-B4D378251138}" name="Column15147"/>
    <tableColumn id="15148" xr3:uid="{88EBAAE0-7E89-4344-959A-C835B9E8AF6B}" name="Column15148"/>
    <tableColumn id="15149" xr3:uid="{551A7DB4-45F9-4159-A948-EE7455BB60EA}" name="Column15149"/>
    <tableColumn id="15150" xr3:uid="{7ED399DF-82F5-4A8F-A1E9-19C1BD8F3EBC}" name="Column15150"/>
    <tableColumn id="15151" xr3:uid="{7D2E3941-3D1A-49CD-9F0E-85BA1E9FE840}" name="Column15151"/>
    <tableColumn id="15152" xr3:uid="{BC98729E-BA39-4DAF-9D13-21D5C8BF62E9}" name="Column15152"/>
    <tableColumn id="15153" xr3:uid="{54F21DF5-6C63-42DA-9C83-A9AB0EF7A9ED}" name="Column15153"/>
    <tableColumn id="15154" xr3:uid="{E1B55434-5A49-4FF6-AA67-6FD070BBA193}" name="Column15154"/>
    <tableColumn id="15155" xr3:uid="{078D184A-0697-4996-9DEE-DD42CD7EAFED}" name="Column15155"/>
    <tableColumn id="15156" xr3:uid="{E301C996-1646-4DC4-B6F3-FD0C9D759216}" name="Column15156"/>
    <tableColumn id="15157" xr3:uid="{A397D081-C650-4FC6-83DF-17C09D142439}" name="Column15157"/>
    <tableColumn id="15158" xr3:uid="{70550DAA-858F-486F-ADF9-D1508872C600}" name="Column15158"/>
    <tableColumn id="15159" xr3:uid="{CA128400-3301-458F-B5E7-7000FA483715}" name="Column15159"/>
    <tableColumn id="15160" xr3:uid="{20294DA0-0C9D-4414-AADE-DFB314D3E63A}" name="Column15160"/>
    <tableColumn id="15161" xr3:uid="{A3DC470A-FB10-44DF-856C-800E36D6C419}" name="Column15161"/>
    <tableColumn id="15162" xr3:uid="{075B0368-9867-4C0F-9F5E-3FD72DC0F32E}" name="Column15162"/>
    <tableColumn id="15163" xr3:uid="{B1DCE2BA-2664-4025-A766-CD0AA4FB8DF1}" name="Column15163"/>
    <tableColumn id="15164" xr3:uid="{B8D88FD4-9355-4553-A8F3-CD6D1624293A}" name="Column15164"/>
    <tableColumn id="15165" xr3:uid="{B0698CE9-651F-4B53-A755-F1DD5487256B}" name="Column15165"/>
    <tableColumn id="15166" xr3:uid="{44F1E128-C89A-433B-94DF-A299C2BE9E7A}" name="Column15166"/>
    <tableColumn id="15167" xr3:uid="{3F8AD14C-245E-4A61-B632-EE5386F64FF7}" name="Column15167"/>
    <tableColumn id="15168" xr3:uid="{21D97AE8-4173-4140-B9E1-4BB6D5DECD8A}" name="Column15168"/>
    <tableColumn id="15169" xr3:uid="{3AAC8BEA-C3A6-4243-8993-816DEEC05CC4}" name="Column15169"/>
    <tableColumn id="15170" xr3:uid="{DA6F4FF8-9729-45D4-AA7F-522AFF014746}" name="Column15170"/>
    <tableColumn id="15171" xr3:uid="{94922304-6A20-4035-8790-436A099C7E45}" name="Column15171"/>
    <tableColumn id="15172" xr3:uid="{1A95EF8B-FE6A-44E8-9CAA-D7A615F43450}" name="Column15172"/>
    <tableColumn id="15173" xr3:uid="{20A020EC-19A0-44AE-9C6E-ACFB631229D7}" name="Column15173"/>
    <tableColumn id="15174" xr3:uid="{86374214-1958-4A48-8700-475924856F6C}" name="Column15174"/>
    <tableColumn id="15175" xr3:uid="{F81491F4-E378-404E-95F2-F611C5D806B9}" name="Column15175"/>
    <tableColumn id="15176" xr3:uid="{5EDAEF0B-F0EB-4DB1-A21B-21373EBDE16E}" name="Column15176"/>
    <tableColumn id="15177" xr3:uid="{C06E698A-E2E3-4D97-B244-1E08C6DC8234}" name="Column15177"/>
    <tableColumn id="15178" xr3:uid="{6E5E3B39-9AF8-4953-8165-A1CFD3AAADDB}" name="Column15178"/>
    <tableColumn id="15179" xr3:uid="{AEB4EFEB-0691-4435-B6A6-AE76144C77E0}" name="Column15179"/>
    <tableColumn id="15180" xr3:uid="{54520FA6-9249-49AF-9D68-D7178FEAEED1}" name="Column15180"/>
    <tableColumn id="15181" xr3:uid="{A5920CBD-8365-4357-A15B-86BB35C824FB}" name="Column15181"/>
    <tableColumn id="15182" xr3:uid="{C1C1ED6A-D5C9-4F1C-BE17-753A61D47BD9}" name="Column15182"/>
    <tableColumn id="15183" xr3:uid="{B5444244-0BAA-4B4B-973B-940A379F4E07}" name="Column15183"/>
    <tableColumn id="15184" xr3:uid="{8662914F-0AEA-4666-A900-219FEF57B012}" name="Column15184"/>
    <tableColumn id="15185" xr3:uid="{1A4D9890-0F5C-4C7E-AD6B-F083C504B2AF}" name="Column15185"/>
    <tableColumn id="15186" xr3:uid="{E3879A0E-4B26-4DB7-9339-5871E31B1C46}" name="Column15186"/>
    <tableColumn id="15187" xr3:uid="{672B341C-338D-4E1B-B6F8-8563B75B648B}" name="Column15187"/>
    <tableColumn id="15188" xr3:uid="{590A7310-B4D6-478E-BEC7-46C46B783373}" name="Column15188"/>
    <tableColumn id="15189" xr3:uid="{410BC03F-A983-476A-8B99-CA55FC962607}" name="Column15189"/>
    <tableColumn id="15190" xr3:uid="{D16EED37-6A8A-4A3D-ABC4-0D63167C623D}" name="Column15190"/>
    <tableColumn id="15191" xr3:uid="{DA19EC0E-DBB7-43A4-B631-817FE67BAB75}" name="Column15191"/>
    <tableColumn id="15192" xr3:uid="{0D54E964-D30D-4B21-A81E-63873BFFB048}" name="Column15192"/>
    <tableColumn id="15193" xr3:uid="{E39A74FC-E7A5-497C-9EB9-411DDAE03B27}" name="Column15193"/>
    <tableColumn id="15194" xr3:uid="{32414F14-CA82-493B-8A8E-8358E42B818A}" name="Column15194"/>
    <tableColumn id="15195" xr3:uid="{E46D1BD4-CD99-43F0-93EE-6CE1ADE79642}" name="Column15195"/>
    <tableColumn id="15196" xr3:uid="{5DFEBEF8-C63F-4CDA-9B46-4B9AAE96FBD9}" name="Column15196"/>
    <tableColumn id="15197" xr3:uid="{1DC24424-8555-438F-9451-964A28CDEB5F}" name="Column15197"/>
    <tableColumn id="15198" xr3:uid="{97FD1C5F-AAB4-4DF8-9690-B6687CFD7403}" name="Column15198"/>
    <tableColumn id="15199" xr3:uid="{A72A98B0-8841-4D12-8743-47A90F5ABB5D}" name="Column15199"/>
    <tableColumn id="15200" xr3:uid="{0D8900D2-452C-4FC3-9768-69C9CA94E43C}" name="Column15200"/>
    <tableColumn id="15201" xr3:uid="{330B2B8E-33EC-46C4-AEED-7CC2E0540ACE}" name="Column15201"/>
    <tableColumn id="15202" xr3:uid="{8288EEAB-7F2B-48FE-9351-E678EBC4493C}" name="Column15202"/>
    <tableColumn id="15203" xr3:uid="{9BE32FE7-5DBB-4A79-B3C8-E72BBF697726}" name="Column15203"/>
    <tableColumn id="15204" xr3:uid="{426CC52F-3905-461D-9A8C-BBAA4F7FE49E}" name="Column15204"/>
    <tableColumn id="15205" xr3:uid="{B2D45AD2-B731-4D1A-993B-4B41AA215258}" name="Column15205"/>
    <tableColumn id="15206" xr3:uid="{DFDFF977-3167-4AE6-A2D7-4BD101D22804}" name="Column15206"/>
    <tableColumn id="15207" xr3:uid="{68AC0D73-3263-451B-91DC-701C6C1882A0}" name="Column15207"/>
    <tableColumn id="15208" xr3:uid="{2DDBE643-C5EE-44DF-BEB1-41044579BB8F}" name="Column15208"/>
    <tableColumn id="15209" xr3:uid="{7E1B7ACB-C52B-44D4-80B8-DCF6C397D023}" name="Column15209"/>
    <tableColumn id="15210" xr3:uid="{04742C5A-453B-4990-9B39-C3677B212D5B}" name="Column15210"/>
    <tableColumn id="15211" xr3:uid="{8B9AE92D-1A37-46EF-8407-05C3039C26FB}" name="Column15211"/>
    <tableColumn id="15212" xr3:uid="{5EFF4D60-65C8-4A32-9868-54C3E4EBF228}" name="Column15212"/>
    <tableColumn id="15213" xr3:uid="{3192FFB5-7C6A-44DF-9FC9-D0306CD74716}" name="Column15213"/>
    <tableColumn id="15214" xr3:uid="{73177FFB-6314-4EE1-B22E-BD2978068974}" name="Column15214"/>
    <tableColumn id="15215" xr3:uid="{9F13E3CE-E566-4B55-865E-4C45CFB466EB}" name="Column15215"/>
    <tableColumn id="15216" xr3:uid="{4F9101B1-57ED-4A0D-9A3D-54703D71BEC6}" name="Column15216"/>
    <tableColumn id="15217" xr3:uid="{AA0EAA0D-F394-4AC5-B028-6A8EFAC2BB68}" name="Column15217"/>
    <tableColumn id="15218" xr3:uid="{64718787-2523-4562-B55C-4F69DAD23470}" name="Column15218"/>
    <tableColumn id="15219" xr3:uid="{9B7CB4D6-A8E5-4828-B317-D7E14F4D4ABB}" name="Column15219"/>
    <tableColumn id="15220" xr3:uid="{A1277342-D749-435B-9F81-66D72C11E1A9}" name="Column15220"/>
    <tableColumn id="15221" xr3:uid="{F9E7E602-949B-4C38-BC2D-EF68819FF3F3}" name="Column15221"/>
    <tableColumn id="15222" xr3:uid="{88253EFA-FB40-43D7-AB02-6CC6582FBE88}" name="Column15222"/>
    <tableColumn id="15223" xr3:uid="{D9A4A7F4-908A-4A1C-9F9D-5810CF6E71C8}" name="Column15223"/>
    <tableColumn id="15224" xr3:uid="{BEFFFC41-F83B-4BD1-8F64-F2F592105C79}" name="Column15224"/>
    <tableColumn id="15225" xr3:uid="{34AFDB2A-1C0D-4003-9DE5-D167A1341A66}" name="Column15225"/>
    <tableColumn id="15226" xr3:uid="{B45A594E-1B5A-4752-8860-D9E99DE45197}" name="Column15226"/>
    <tableColumn id="15227" xr3:uid="{9FFA0EF8-B303-4E62-ACC9-362C08344F6D}" name="Column15227"/>
    <tableColumn id="15228" xr3:uid="{F4CC55DA-C6AF-478F-8305-425E50B79737}" name="Column15228"/>
    <tableColumn id="15229" xr3:uid="{7B14226F-1B62-4AEE-815A-10841626BAC0}" name="Column15229"/>
    <tableColumn id="15230" xr3:uid="{D178850B-5BC7-4EBC-9C81-1D87F7BAFA4E}" name="Column15230"/>
    <tableColumn id="15231" xr3:uid="{62D2D9CE-9836-4B84-9E7F-57D5E376480C}" name="Column15231"/>
    <tableColumn id="15232" xr3:uid="{552F95B3-CCEF-4D61-91A8-B00B255362D2}" name="Column15232"/>
    <tableColumn id="15233" xr3:uid="{07BA9DFE-2326-4940-BD87-34C02194B1CF}" name="Column15233"/>
    <tableColumn id="15234" xr3:uid="{5BF15814-45DE-4D28-BB2E-2B823509BBE9}" name="Column15234"/>
    <tableColumn id="15235" xr3:uid="{E6ED6515-4763-4E7D-8AB7-14E359E9DBE9}" name="Column15235"/>
    <tableColumn id="15236" xr3:uid="{0A868ABC-7ED3-4DA7-A885-B1E8B4B60BC6}" name="Column15236"/>
    <tableColumn id="15237" xr3:uid="{AC8D9DB3-F835-410C-A7D3-2FB176A9D06E}" name="Column15237"/>
    <tableColumn id="15238" xr3:uid="{D1690837-3E0A-42C6-BA1E-5C06F03E8F0E}" name="Column15238"/>
    <tableColumn id="15239" xr3:uid="{98A0D1A4-E20B-4879-965D-A706094A5E5B}" name="Column15239"/>
    <tableColumn id="15240" xr3:uid="{E008F79F-0E84-4F85-B569-E0C75E7100E7}" name="Column15240"/>
    <tableColumn id="15241" xr3:uid="{E484DCC3-FAB1-4BE7-8133-55710F9955DC}" name="Column15241"/>
    <tableColumn id="15242" xr3:uid="{E11068A6-8B9B-4882-A8C2-D4C381DCD2C1}" name="Column15242"/>
    <tableColumn id="15243" xr3:uid="{D11C11B0-0F5F-4F12-9988-B61C44A4D33B}" name="Column15243"/>
    <tableColumn id="15244" xr3:uid="{1B6D92F8-E6D9-4AD5-AF64-9E8048469258}" name="Column15244"/>
    <tableColumn id="15245" xr3:uid="{C7ED1E43-A669-4AE1-B43B-BC63CF3B9981}" name="Column15245"/>
    <tableColumn id="15246" xr3:uid="{C3E08AA5-CA66-4ED2-90CA-1E82C3A7C1E6}" name="Column15246"/>
    <tableColumn id="15247" xr3:uid="{60FC4289-A6F2-4040-A717-76757CEDF492}" name="Column15247"/>
    <tableColumn id="15248" xr3:uid="{2F7D5ADA-CF89-490A-8086-9FA95EBC1044}" name="Column15248"/>
    <tableColumn id="15249" xr3:uid="{E4F0FA4C-6DAC-4C3C-9566-CD9B74FEB9A3}" name="Column15249"/>
    <tableColumn id="15250" xr3:uid="{9D630546-A79E-4AAA-9F42-D9758D9C70EA}" name="Column15250"/>
    <tableColumn id="15251" xr3:uid="{05857700-D9B5-4D90-964B-5637B35D9483}" name="Column15251"/>
    <tableColumn id="15252" xr3:uid="{C5208113-16DF-4842-AF07-6DE0A6CA1C6D}" name="Column15252"/>
    <tableColumn id="15253" xr3:uid="{25C6F567-C987-405A-A62B-38B1FE78A162}" name="Column15253"/>
    <tableColumn id="15254" xr3:uid="{BBE72A57-5235-4443-ADDA-2603BCBA067E}" name="Column15254"/>
    <tableColumn id="15255" xr3:uid="{C11EE63A-D76F-49D0-8A19-C4687B7322DA}" name="Column15255"/>
    <tableColumn id="15256" xr3:uid="{C11BBEF4-49DD-41F8-B89D-4C3CC6EB4C8C}" name="Column15256"/>
    <tableColumn id="15257" xr3:uid="{B0435F12-7F41-4292-A44B-7F3CBBD770DA}" name="Column15257"/>
    <tableColumn id="15258" xr3:uid="{E9AE284D-6417-48ED-BA05-19AFE924D63C}" name="Column15258"/>
    <tableColumn id="15259" xr3:uid="{CA5F11A3-5498-4EB5-9456-E51077BF4879}" name="Column15259"/>
    <tableColumn id="15260" xr3:uid="{A7C01FDF-C0BA-4D59-8F2C-D3053E19DA13}" name="Column15260"/>
    <tableColumn id="15261" xr3:uid="{24F79EB1-3E10-4609-B193-A0C506050A0B}" name="Column15261"/>
    <tableColumn id="15262" xr3:uid="{609D130F-F0A3-4B69-830C-50EF6C5D119B}" name="Column15262"/>
    <tableColumn id="15263" xr3:uid="{B5C4FEB3-D1A6-4393-9B81-3F31A42D90B1}" name="Column15263"/>
    <tableColumn id="15264" xr3:uid="{E0D468E5-47D1-40CE-9F19-B04E060D021E}" name="Column15264"/>
    <tableColumn id="15265" xr3:uid="{37A75F1B-63AE-428C-A56A-4AC4855DA5EC}" name="Column15265"/>
    <tableColumn id="15266" xr3:uid="{DCFF0EF2-8B2D-47F5-87FD-6F45E36023F3}" name="Column15266"/>
    <tableColumn id="15267" xr3:uid="{2BD82BF7-D1E2-4B78-82E7-85F1B846B8B6}" name="Column15267"/>
    <tableColumn id="15268" xr3:uid="{AA5D9503-3089-4A2F-8B3C-1C63580DAA0B}" name="Column15268"/>
    <tableColumn id="15269" xr3:uid="{7C07188D-B7BC-4F80-8373-8607B13F52CB}" name="Column15269"/>
    <tableColumn id="15270" xr3:uid="{F041183E-0CAF-4B41-87C1-999AAE058401}" name="Column15270"/>
    <tableColumn id="15271" xr3:uid="{5ED73617-5363-4241-8E94-D7E34FEB5A53}" name="Column15271"/>
    <tableColumn id="15272" xr3:uid="{951788D7-30AF-4F78-A3EC-115327B0EEA7}" name="Column15272"/>
    <tableColumn id="15273" xr3:uid="{D09B3715-23E6-4AA7-AD33-4A4D0845BAB1}" name="Column15273"/>
    <tableColumn id="15274" xr3:uid="{5F143A44-E557-4E80-9B51-82C4A3E63836}" name="Column15274"/>
    <tableColumn id="15275" xr3:uid="{5E750D4E-99B2-40B2-96D6-7C5FD3B0BDED}" name="Column15275"/>
    <tableColumn id="15276" xr3:uid="{F6989A5F-6C32-4E30-B43B-49DE2B69960B}" name="Column15276"/>
    <tableColumn id="15277" xr3:uid="{20BADE0B-70A6-4BFD-9DFB-624C6F8BD0C4}" name="Column15277"/>
    <tableColumn id="15278" xr3:uid="{53EF7E9A-DABE-4807-9F61-C5198E119594}" name="Column15278"/>
    <tableColumn id="15279" xr3:uid="{21986C9A-ADFF-4AF7-85F9-D588EFFF7465}" name="Column15279"/>
    <tableColumn id="15280" xr3:uid="{A4FCC056-0E3D-464E-B99E-140667FEBF16}" name="Column15280"/>
    <tableColumn id="15281" xr3:uid="{929D6833-01FD-458B-8945-833CA24089BE}" name="Column15281"/>
    <tableColumn id="15282" xr3:uid="{A46434B3-D1BB-460C-955F-D64D4742254C}" name="Column15282"/>
    <tableColumn id="15283" xr3:uid="{A5E08A92-01B9-471F-B01A-C27871860601}" name="Column15283"/>
    <tableColumn id="15284" xr3:uid="{6F093A3B-A39D-4AC3-8F2D-B5B8412B1756}" name="Column15284"/>
    <tableColumn id="15285" xr3:uid="{CEFEFD75-64B7-49F6-AD80-8F0A4AE9D4AE}" name="Column15285"/>
    <tableColumn id="15286" xr3:uid="{C48B8241-D9C4-4905-BABA-ADAE8C95542F}" name="Column15286"/>
    <tableColumn id="15287" xr3:uid="{9B49173B-9239-4954-BC91-044B3201A5C1}" name="Column15287"/>
    <tableColumn id="15288" xr3:uid="{78EA063D-9D10-4D6C-A6E6-C3C63F40C03A}" name="Column15288"/>
    <tableColumn id="15289" xr3:uid="{D290648D-3CFB-42BE-A6D4-FB8D330AFD83}" name="Column15289"/>
    <tableColumn id="15290" xr3:uid="{C601E9D6-5940-4425-8138-8B1020F30D03}" name="Column15290"/>
    <tableColumn id="15291" xr3:uid="{981E763D-6511-4011-A96E-59C65E0D494E}" name="Column15291"/>
    <tableColumn id="15292" xr3:uid="{8BC66670-4A93-42A7-82B9-6FE7C8936031}" name="Column15292"/>
    <tableColumn id="15293" xr3:uid="{E0817164-AE04-4A34-9FC4-BD909058885C}" name="Column15293"/>
    <tableColumn id="15294" xr3:uid="{86B40D1B-C09F-499B-B022-60628D596987}" name="Column15294"/>
    <tableColumn id="15295" xr3:uid="{C44FB6A1-2075-4631-9CDD-493F130437B4}" name="Column15295"/>
    <tableColumn id="15296" xr3:uid="{E9D5164E-1C3C-44BB-A499-86CF98A9D443}" name="Column15296"/>
    <tableColumn id="15297" xr3:uid="{69315249-6BB1-4335-9148-0A122B00A825}" name="Column15297"/>
    <tableColumn id="15298" xr3:uid="{23AF95E0-D651-4E79-AAA9-AF85427FA548}" name="Column15298"/>
    <tableColumn id="15299" xr3:uid="{E20D4CC4-0333-4C15-B422-2D1C553FB58F}" name="Column15299"/>
    <tableColumn id="15300" xr3:uid="{D2C0FB94-19D4-4F54-A6B9-E70C2D837DE8}" name="Column15300"/>
    <tableColumn id="15301" xr3:uid="{17E98938-DFAD-45B6-AE04-7A97DB2CF04F}" name="Column15301"/>
    <tableColumn id="15302" xr3:uid="{0B8513A4-1155-48E5-A0F0-3B1415849095}" name="Column15302"/>
    <tableColumn id="15303" xr3:uid="{4F080B62-A514-46F4-A1B4-064BDCEB79FF}" name="Column15303"/>
    <tableColumn id="15304" xr3:uid="{B22BB28C-4D91-4E57-9887-C6D713C7BA16}" name="Column15304"/>
    <tableColumn id="15305" xr3:uid="{C7BFE57C-2D85-42A4-AA2E-F0DA12D34381}" name="Column15305"/>
    <tableColumn id="15306" xr3:uid="{094D402B-53CD-4F61-9C4B-45315E21A36C}" name="Column15306"/>
    <tableColumn id="15307" xr3:uid="{ED167B7E-F63E-49F6-B30C-9A9C392F4471}" name="Column15307"/>
    <tableColumn id="15308" xr3:uid="{44EC5395-8F7B-48F1-882B-FB8622E6E833}" name="Column15308"/>
    <tableColumn id="15309" xr3:uid="{EFC6BB19-E389-433E-8DD1-11407E0E61C5}" name="Column15309"/>
    <tableColumn id="15310" xr3:uid="{008EDE5E-FDDA-4709-999E-B472278BA2A0}" name="Column15310"/>
    <tableColumn id="15311" xr3:uid="{97336326-17D2-495C-B956-8F8F002C2162}" name="Column15311"/>
    <tableColumn id="15312" xr3:uid="{259F099B-5B4F-4841-9E17-EAB05C401915}" name="Column15312"/>
    <tableColumn id="15313" xr3:uid="{E10DBE04-5B19-45B0-A1CF-2C0879756DF5}" name="Column15313"/>
    <tableColumn id="15314" xr3:uid="{A9046157-EFB4-4317-A28A-BFE1E6C8121F}" name="Column15314"/>
    <tableColumn id="15315" xr3:uid="{4296F20E-D461-4B2D-B228-FBCCD7DEAABC}" name="Column15315"/>
    <tableColumn id="15316" xr3:uid="{146CEF1A-9751-419D-84F1-667862A4E262}" name="Column15316"/>
    <tableColumn id="15317" xr3:uid="{3E2C1605-F21A-4496-A0C0-600C9D7D70B4}" name="Column15317"/>
    <tableColumn id="15318" xr3:uid="{DABAD694-C670-48BC-9F40-C383BCC6AD56}" name="Column15318"/>
    <tableColumn id="15319" xr3:uid="{83B0D0BD-95E6-4C62-AD52-C31D9465E687}" name="Column15319"/>
    <tableColumn id="15320" xr3:uid="{EBA8F09E-96CA-477E-B167-D5B166C96B1B}" name="Column15320"/>
    <tableColumn id="15321" xr3:uid="{985718CF-B19C-4FEF-BF3D-F154F9DCFF31}" name="Column15321"/>
    <tableColumn id="15322" xr3:uid="{C8ECDE34-357B-4216-BAC0-16316308B020}" name="Column15322"/>
    <tableColumn id="15323" xr3:uid="{BBEDE879-C160-49F0-B691-F9A8F46FAB49}" name="Column15323"/>
    <tableColumn id="15324" xr3:uid="{0E612F73-6AE2-44C7-956B-A4114D5710ED}" name="Column15324"/>
    <tableColumn id="15325" xr3:uid="{86796BC8-1E2A-4895-A3B9-46A8DA9F92A2}" name="Column15325"/>
    <tableColumn id="15326" xr3:uid="{25FB2D94-EF25-47A5-9448-DD6696DDF115}" name="Column15326"/>
    <tableColumn id="15327" xr3:uid="{A95264D9-19E0-4DB9-A0E2-DC567E739BD0}" name="Column15327"/>
    <tableColumn id="15328" xr3:uid="{95B3C5DB-48E2-4299-9329-D1869B15085E}" name="Column15328"/>
    <tableColumn id="15329" xr3:uid="{4C36AC93-0486-46D0-9D90-46F7FC1C6C58}" name="Column15329"/>
    <tableColumn id="15330" xr3:uid="{F528CA6D-F6C4-46BC-BC39-04BE8C4F4202}" name="Column15330"/>
    <tableColumn id="15331" xr3:uid="{308EDFEB-9581-4C82-BC9E-0A4960C68FE5}" name="Column15331"/>
    <tableColumn id="15332" xr3:uid="{5F7EFFBD-BECA-49C4-AF50-E396D342065C}" name="Column15332"/>
    <tableColumn id="15333" xr3:uid="{288AEDA4-F219-467F-B7F0-976FAD189F90}" name="Column15333"/>
    <tableColumn id="15334" xr3:uid="{8A176649-8525-4A78-A1EF-E39CD9879960}" name="Column15334"/>
    <tableColumn id="15335" xr3:uid="{2B865F4F-58E1-41BF-9A81-A18F4A74EF48}" name="Column15335"/>
    <tableColumn id="15336" xr3:uid="{B200AA43-2E23-4692-B338-896780EBDBCF}" name="Column15336"/>
    <tableColumn id="15337" xr3:uid="{DD91B84A-A269-4812-92F0-8B02ED2128B2}" name="Column15337"/>
    <tableColumn id="15338" xr3:uid="{A101A816-2E61-4CCD-A5C1-8F1F204FB5FB}" name="Column15338"/>
    <tableColumn id="15339" xr3:uid="{504C13D1-85EC-4512-81F6-7EFEB6071774}" name="Column15339"/>
    <tableColumn id="15340" xr3:uid="{7AC72976-6660-44D8-9934-9869E0215541}" name="Column15340"/>
    <tableColumn id="15341" xr3:uid="{4504CCCB-C212-4B84-90AF-611585093C09}" name="Column15341"/>
    <tableColumn id="15342" xr3:uid="{3ED51DC2-6975-4DC7-9484-0BD2C80F2229}" name="Column15342"/>
    <tableColumn id="15343" xr3:uid="{D39203AD-1330-48BE-941B-95D8A5672663}" name="Column15343"/>
    <tableColumn id="15344" xr3:uid="{04C8400E-DC11-41C3-B20A-225FE4C2134F}" name="Column15344"/>
    <tableColumn id="15345" xr3:uid="{40EBC40D-750E-4FA2-A322-2C07F1171519}" name="Column15345"/>
    <tableColumn id="15346" xr3:uid="{901C4FE8-4611-4EC5-9E11-9962692CCCA3}" name="Column15346"/>
    <tableColumn id="15347" xr3:uid="{D0C9DCBB-EC35-460B-B0AA-245EC04C14E5}" name="Column15347"/>
    <tableColumn id="15348" xr3:uid="{CFC18AE3-C6D2-454C-AC8B-07EDCF9CC5AD}" name="Column15348"/>
    <tableColumn id="15349" xr3:uid="{5A6FD878-9EAB-43BA-85C9-0914337BF2E0}" name="Column15349"/>
    <tableColumn id="15350" xr3:uid="{AFAE1334-A3FF-4F6B-A93C-923B2FBE2836}" name="Column15350"/>
    <tableColumn id="15351" xr3:uid="{489F4663-4D9A-4F63-88EC-B330722CFE69}" name="Column15351"/>
    <tableColumn id="15352" xr3:uid="{851E547F-AD47-4936-8224-09EDE3140FF0}" name="Column15352"/>
    <tableColumn id="15353" xr3:uid="{2B51F13E-8837-4DEB-9606-4673CCD5C1C5}" name="Column15353"/>
    <tableColumn id="15354" xr3:uid="{CBE267A1-EB18-4F84-9068-64291EE08440}" name="Column15354"/>
    <tableColumn id="15355" xr3:uid="{41470FAC-994E-4E08-9F8F-783D2041F7EA}" name="Column15355"/>
    <tableColumn id="15356" xr3:uid="{64BF1DC7-A256-4034-83AF-902FF1413B15}" name="Column15356"/>
    <tableColumn id="15357" xr3:uid="{ABCAE812-1C4E-494F-B578-B7074E474021}" name="Column15357"/>
    <tableColumn id="15358" xr3:uid="{023F6481-D694-4550-81A9-DF6DA9062981}" name="Column15358"/>
    <tableColumn id="15359" xr3:uid="{4D75FA68-8DF0-47D3-A4C8-E9E16A6D5F51}" name="Column15359"/>
    <tableColumn id="15360" xr3:uid="{D42B40E3-7054-4350-BDDC-362BE92EF6B3}" name="Column15360"/>
    <tableColumn id="15361" xr3:uid="{10955EA8-58AC-4391-BBC5-7788942FE1CE}" name="Column15361"/>
    <tableColumn id="15362" xr3:uid="{BE89D6FA-56CC-4CA7-A6A4-624AE8F836B2}" name="Column15362"/>
    <tableColumn id="15363" xr3:uid="{AE59594A-8F38-4B98-8B28-C71F976EAB52}" name="Column15363"/>
    <tableColumn id="15364" xr3:uid="{E46AB4B5-CB5B-406D-A9E0-688A8DF67CD0}" name="Column15364"/>
    <tableColumn id="15365" xr3:uid="{818FC332-DE08-4E2E-8E55-62D22EA9F0E7}" name="Column15365"/>
    <tableColumn id="15366" xr3:uid="{6BA36523-4446-466D-92CF-CBABCE4F8CCF}" name="Column15366"/>
    <tableColumn id="15367" xr3:uid="{1F87B309-1AB1-49F2-A384-EEF0C27BB8B5}" name="Column15367"/>
    <tableColumn id="15368" xr3:uid="{3F46095F-CAAB-40F5-BE6B-DC46718039E8}" name="Column15368"/>
    <tableColumn id="15369" xr3:uid="{D6D42D24-1789-447E-89F1-CA8D5BD09B49}" name="Column15369"/>
    <tableColumn id="15370" xr3:uid="{8739EA99-FD98-45EA-A6F9-1B3CD07F0FE7}" name="Column15370"/>
    <tableColumn id="15371" xr3:uid="{A5F32E43-EA7C-4876-8C23-BD83F511D677}" name="Column15371"/>
    <tableColumn id="15372" xr3:uid="{69BC78CC-C75D-4AAC-8A10-F6AE2DAB4D99}" name="Column15372"/>
    <tableColumn id="15373" xr3:uid="{B76E205B-3DF1-4734-9E1F-210A392D4E9B}" name="Column15373"/>
    <tableColumn id="15374" xr3:uid="{33835AD2-AEE2-405F-9E26-C43B41EEFE89}" name="Column15374"/>
    <tableColumn id="15375" xr3:uid="{4579F2E4-A5D4-41B8-8F10-F76D2E25FEEB}" name="Column15375"/>
    <tableColumn id="15376" xr3:uid="{60035D68-9125-4522-A7BE-35B1C87D7222}" name="Column15376"/>
    <tableColumn id="15377" xr3:uid="{33A8B6D9-FAB8-4124-A3C2-4C27D24E9515}" name="Column15377"/>
    <tableColumn id="15378" xr3:uid="{33540916-6029-4085-ABF4-CEFB8C887C08}" name="Column15378"/>
    <tableColumn id="15379" xr3:uid="{48D29F4D-6A60-4575-A40D-B48B2C2BFC1F}" name="Column15379"/>
    <tableColumn id="15380" xr3:uid="{0157B05F-3A4B-4717-B173-DBB86E6BFE33}" name="Column15380"/>
    <tableColumn id="15381" xr3:uid="{685D2F93-056D-4381-8738-7F500B170DB0}" name="Column15381"/>
    <tableColumn id="15382" xr3:uid="{55AB8FC9-C09F-45D8-BB85-56A04174DF78}" name="Column15382"/>
    <tableColumn id="15383" xr3:uid="{15F97A7E-2F74-402E-835D-8236D557412D}" name="Column15383"/>
    <tableColumn id="15384" xr3:uid="{A85D558B-39DB-46F3-8E6A-16B17C780C7F}" name="Column15384"/>
    <tableColumn id="15385" xr3:uid="{69C62D70-3E1D-4C79-B44D-FBF41EEC501E}" name="Column15385"/>
    <tableColumn id="15386" xr3:uid="{BC41F094-EDDC-4F52-A14B-07D1A0F30CC7}" name="Column15386"/>
    <tableColumn id="15387" xr3:uid="{BBEAE76A-C4C0-4162-A177-E2A11DFF595A}" name="Column15387"/>
    <tableColumn id="15388" xr3:uid="{E8EA613D-5BFF-4742-AD4C-5FA46ACE004C}" name="Column15388"/>
    <tableColumn id="15389" xr3:uid="{7B9CAE27-D11D-41B2-BCE2-E61E80D0C666}" name="Column15389"/>
    <tableColumn id="15390" xr3:uid="{581E3A91-95BA-4F4E-91DC-DC2C9FA96484}" name="Column15390"/>
    <tableColumn id="15391" xr3:uid="{6A16B9DA-06D9-4B4D-BB01-3CDE94F3CB22}" name="Column15391"/>
    <tableColumn id="15392" xr3:uid="{6865F72D-60DE-48D9-AB1A-C9F9C9D70521}" name="Column15392"/>
    <tableColumn id="15393" xr3:uid="{6711657D-6962-4847-B791-E3C16B6E3010}" name="Column15393"/>
    <tableColumn id="15394" xr3:uid="{0D2844C0-EA72-4FCF-84A7-011F434CEE2E}" name="Column15394"/>
    <tableColumn id="15395" xr3:uid="{D721991C-1F3D-4CDE-9B0E-FAD873C89024}" name="Column15395"/>
    <tableColumn id="15396" xr3:uid="{52CC3818-2F9D-49FD-B9B1-B16AE0D2119E}" name="Column15396"/>
    <tableColumn id="15397" xr3:uid="{5A476479-9501-4D58-BF66-E6414E84C398}" name="Column15397"/>
    <tableColumn id="15398" xr3:uid="{DC4D06FB-442A-4B01-BA02-0D0CF7E07911}" name="Column15398"/>
    <tableColumn id="15399" xr3:uid="{7F6420C9-4EDD-44D2-9E6A-C23B725CFD45}" name="Column15399"/>
    <tableColumn id="15400" xr3:uid="{FDC24837-8AB1-4CB4-8CED-251354D5BA56}" name="Column15400"/>
    <tableColumn id="15401" xr3:uid="{B077998C-267D-411B-BE76-FCB0CBDDBBEC}" name="Column15401"/>
    <tableColumn id="15402" xr3:uid="{73093254-A872-4EA2-BBD1-6AB20ADA0E33}" name="Column15402"/>
    <tableColumn id="15403" xr3:uid="{06F417D2-1CAA-427D-88BB-EE5E0F3FB496}" name="Column15403"/>
    <tableColumn id="15404" xr3:uid="{DCDC1AEF-ECF1-4664-9DC6-66C75657BEF5}" name="Column15404"/>
    <tableColumn id="15405" xr3:uid="{F57B929D-2361-4352-BAC6-DB50EAD7879F}" name="Column15405"/>
    <tableColumn id="15406" xr3:uid="{782FFD3A-F5AD-4D24-9F9C-CF9AC33962B1}" name="Column15406"/>
    <tableColumn id="15407" xr3:uid="{7219AD16-EBD7-4A62-9839-C0CDAAC535DC}" name="Column15407"/>
    <tableColumn id="15408" xr3:uid="{C48DB2C5-ABA2-4636-BC32-52C8CC952CB1}" name="Column15408"/>
    <tableColumn id="15409" xr3:uid="{4DC30FE2-6DE7-4595-8482-EECCCDACCE68}" name="Column15409"/>
    <tableColumn id="15410" xr3:uid="{467F4498-F7BE-4A3E-8432-9371E0A27DE1}" name="Column15410"/>
    <tableColumn id="15411" xr3:uid="{9A9A422D-F9C1-4E14-A659-384161794775}" name="Column15411"/>
    <tableColumn id="15412" xr3:uid="{DC40FEF5-02C2-4851-90C8-EF5B6E9F2507}" name="Column15412"/>
    <tableColumn id="15413" xr3:uid="{C012A91F-DE1F-408D-9DAC-95800CB4B665}" name="Column15413"/>
    <tableColumn id="15414" xr3:uid="{D81908DA-D90B-45AD-9990-2FF9D407AD02}" name="Column15414"/>
    <tableColumn id="15415" xr3:uid="{25DB151A-E88F-4D22-A9D0-65E35EA4E140}" name="Column15415"/>
    <tableColumn id="15416" xr3:uid="{0BDAEE57-F14C-4C4C-9D65-A4C0406D9B18}" name="Column15416"/>
    <tableColumn id="15417" xr3:uid="{84D43CA6-518F-49E1-BD49-9D7CCB640BBE}" name="Column15417"/>
    <tableColumn id="15418" xr3:uid="{22102CC0-B810-42E3-B180-6B64005B91E8}" name="Column15418"/>
    <tableColumn id="15419" xr3:uid="{E7244A79-652C-45CB-849B-65A328086858}" name="Column15419"/>
    <tableColumn id="15420" xr3:uid="{6A5DE848-541D-4495-9213-8C25D3882E3B}" name="Column15420"/>
    <tableColumn id="15421" xr3:uid="{CF8EC9F4-ABEE-4E9F-A243-8A885744016C}" name="Column15421"/>
    <tableColumn id="15422" xr3:uid="{A1266709-1BDD-4E78-9AA6-CC4F7F2AF3E0}" name="Column15422"/>
    <tableColumn id="15423" xr3:uid="{598726F2-F037-4C57-A328-DE298A27988F}" name="Column15423"/>
    <tableColumn id="15424" xr3:uid="{8DA0C326-E4C9-4D74-B0E6-87489D8ACC59}" name="Column15424"/>
    <tableColumn id="15425" xr3:uid="{8FD319BA-B465-4347-AE51-86646B8EDF87}" name="Column15425"/>
    <tableColumn id="15426" xr3:uid="{461CADED-CDEB-4E2B-9EF6-3A96D3ED2C7F}" name="Column15426"/>
    <tableColumn id="15427" xr3:uid="{EB93B3A6-6602-4FF4-A513-B0889939CEE6}" name="Column15427"/>
    <tableColumn id="15428" xr3:uid="{1ACD19DA-BC65-46CB-BDB2-43CB2BA70254}" name="Column15428"/>
    <tableColumn id="15429" xr3:uid="{85DCE2D7-7B03-4230-A12B-405D406E6E17}" name="Column15429"/>
    <tableColumn id="15430" xr3:uid="{600B4DF1-CBD3-4E9D-856F-5A3025830C1E}" name="Column15430"/>
    <tableColumn id="15431" xr3:uid="{CCBDEF2A-E1CE-438B-8C99-90380C6C5C31}" name="Column15431"/>
    <tableColumn id="15432" xr3:uid="{BEC953FD-1BBA-4A5D-BC5D-F01FAF1BF16E}" name="Column15432"/>
    <tableColumn id="15433" xr3:uid="{97726DDC-0F5E-462B-ACC2-C46318C96C04}" name="Column15433"/>
    <tableColumn id="15434" xr3:uid="{81DD2E98-ECED-4260-886B-B08E6C7A5EFA}" name="Column15434"/>
    <tableColumn id="15435" xr3:uid="{25F3574E-0F6A-44A7-BAED-4E254C3B64D1}" name="Column15435"/>
    <tableColumn id="15436" xr3:uid="{62D75AE5-1572-4FB0-B5B5-2BE16DB8B179}" name="Column15436"/>
    <tableColumn id="15437" xr3:uid="{D7BF1E93-C5A8-4C89-A8F1-D83A006838C7}" name="Column15437"/>
    <tableColumn id="15438" xr3:uid="{0EC4A4D8-E9CA-4779-853A-790890A7BF5C}" name="Column15438"/>
    <tableColumn id="15439" xr3:uid="{F86D7C53-5F1F-44C4-842F-4E5715F1789F}" name="Column15439"/>
    <tableColumn id="15440" xr3:uid="{03A89826-A62D-4783-9C35-9F0120313A80}" name="Column15440"/>
    <tableColumn id="15441" xr3:uid="{2CA9676F-B713-463E-B192-323316BF3587}" name="Column15441"/>
    <tableColumn id="15442" xr3:uid="{D74C4F0E-3F47-4E66-B792-B6344F67DEB9}" name="Column15442"/>
    <tableColumn id="15443" xr3:uid="{E2E16CD0-C251-4806-93E4-F5C2A4D502B7}" name="Column15443"/>
    <tableColumn id="15444" xr3:uid="{44536036-31F3-4D26-B951-8D2A3E520ABB}" name="Column15444"/>
    <tableColumn id="15445" xr3:uid="{1071D831-B700-42A8-B02E-5A37EF1B6A83}" name="Column15445"/>
    <tableColumn id="15446" xr3:uid="{4940964D-737D-4E8D-AB92-7E12E188014C}" name="Column15446"/>
    <tableColumn id="15447" xr3:uid="{73DAD8DC-7B98-4452-A544-2A690F7B2D25}" name="Column15447"/>
    <tableColumn id="15448" xr3:uid="{2E5DCF03-5C8D-4BB7-851E-75216808A69D}" name="Column15448"/>
    <tableColumn id="15449" xr3:uid="{677DD27A-8081-46EA-AB4D-6EC3C208F062}" name="Column15449"/>
    <tableColumn id="15450" xr3:uid="{0AD754BD-363D-46AE-9278-4CEFFAA43378}" name="Column15450"/>
    <tableColumn id="15451" xr3:uid="{18198409-75C7-4633-B409-3D4F5FE49F18}" name="Column15451"/>
    <tableColumn id="15452" xr3:uid="{30EC548A-7481-4B26-9583-84CC89E35805}" name="Column15452"/>
    <tableColumn id="15453" xr3:uid="{E121E18E-F213-448B-8D18-F0A62C7A7087}" name="Column15453"/>
    <tableColumn id="15454" xr3:uid="{40D0E5B0-04D0-4D2F-8CF6-A604424AF189}" name="Column15454"/>
    <tableColumn id="15455" xr3:uid="{F0EA1752-053C-447B-9CDF-588C8326DDAC}" name="Column15455"/>
    <tableColumn id="15456" xr3:uid="{1E04C4E4-56C5-400A-853D-5DCBE518F606}" name="Column15456"/>
    <tableColumn id="15457" xr3:uid="{8F00CF91-D87F-4E87-86F7-484DBAEEF55C}" name="Column15457"/>
    <tableColumn id="15458" xr3:uid="{74B7A387-141A-454B-BBF5-2D037C4B6AC9}" name="Column15458"/>
    <tableColumn id="15459" xr3:uid="{7DBDD47C-A36C-4D1A-9879-A2C26A9C0FC5}" name="Column15459"/>
    <tableColumn id="15460" xr3:uid="{353AC95B-A114-4B26-8EAD-DA6523140E22}" name="Column15460"/>
    <tableColumn id="15461" xr3:uid="{2CF4D580-0A3B-4DBD-8926-ED2250BA8129}" name="Column15461"/>
    <tableColumn id="15462" xr3:uid="{7A67F003-47B5-46C4-95C3-AE27FE2B7718}" name="Column15462"/>
    <tableColumn id="15463" xr3:uid="{BC601CED-B7F7-453B-8364-5372CF0BC2EE}" name="Column15463"/>
    <tableColumn id="15464" xr3:uid="{56FDA9DC-3FA2-481C-A43E-6ACD89B19EAE}" name="Column15464"/>
    <tableColumn id="15465" xr3:uid="{83CE5038-7F60-43F8-848D-4C2E2B69A2D4}" name="Column15465"/>
    <tableColumn id="15466" xr3:uid="{0F1D8FF9-EFDA-49C8-A8DB-AD5CA4CE15D2}" name="Column15466"/>
    <tableColumn id="15467" xr3:uid="{FED8A052-A00D-4369-BB6B-CE545D2B134A}" name="Column15467"/>
    <tableColumn id="15468" xr3:uid="{70A74B28-B66D-4B5D-B131-7D3C3199C853}" name="Column15468"/>
    <tableColumn id="15469" xr3:uid="{B8A30BDB-EB89-41FE-98EB-226714CBF45B}" name="Column15469"/>
    <tableColumn id="15470" xr3:uid="{A44D4A80-B80B-4D62-8EA7-8F8B31B8C7D0}" name="Column15470"/>
    <tableColumn id="15471" xr3:uid="{EB4FDB5D-1570-4E7A-94F7-02EE4D5FCF0B}" name="Column15471"/>
    <tableColumn id="15472" xr3:uid="{C73951A0-E636-4EC8-BB3A-D2188D259452}" name="Column15472"/>
    <tableColumn id="15473" xr3:uid="{9254A058-3612-4406-AD08-15D6CD2501FF}" name="Column15473"/>
    <tableColumn id="15474" xr3:uid="{8A620A73-E39D-40EC-8B37-E9EA620E2927}" name="Column15474"/>
    <tableColumn id="15475" xr3:uid="{67BC17A4-CA0E-4D60-9172-BF40AF0498C1}" name="Column15475"/>
    <tableColumn id="15476" xr3:uid="{BBDE5ED7-E4CF-49B0-B5C3-7A1279C4F289}" name="Column15476"/>
    <tableColumn id="15477" xr3:uid="{A7FF22C8-EFCB-4EFF-8E18-E622AB252DA2}" name="Column15477"/>
    <tableColumn id="15478" xr3:uid="{3FA7E134-F3BA-4029-BD55-58A5E151E224}" name="Column15478"/>
    <tableColumn id="15479" xr3:uid="{4013D6FF-DCC4-4069-B577-A6527B3EC071}" name="Column15479"/>
    <tableColumn id="15480" xr3:uid="{80551CBF-4011-44DF-BD5D-A1F1C7A99803}" name="Column15480"/>
    <tableColumn id="15481" xr3:uid="{0249F34E-D609-410A-8206-DFEB5A8772DD}" name="Column15481"/>
    <tableColumn id="15482" xr3:uid="{E2EC5CCB-E8A5-4972-8D33-A4637E033793}" name="Column15482"/>
    <tableColumn id="15483" xr3:uid="{DD8CD653-F895-4783-9E4A-7F06C1422DA3}" name="Column15483"/>
    <tableColumn id="15484" xr3:uid="{ED114B10-6F0F-4EB6-9A41-BE41A57481FE}" name="Column15484"/>
    <tableColumn id="15485" xr3:uid="{5A97EE18-8ADF-4CE4-81A0-5EFE2987C9C2}" name="Column15485"/>
    <tableColumn id="15486" xr3:uid="{E18F9665-28EA-4213-A3CE-1B6066368C96}" name="Column15486"/>
    <tableColumn id="15487" xr3:uid="{2E00703F-B7B4-40A8-8B4E-3FB6214648E0}" name="Column15487"/>
    <tableColumn id="15488" xr3:uid="{17A2D3D1-B9B1-498B-804E-85F0C6D92724}" name="Column15488"/>
    <tableColumn id="15489" xr3:uid="{08D53211-1EBA-4F03-95ED-4CDFE7C6F250}" name="Column15489"/>
    <tableColumn id="15490" xr3:uid="{8D663CAA-8D98-4605-AAEA-C6FA6DC72DF0}" name="Column15490"/>
    <tableColumn id="15491" xr3:uid="{95153965-847F-48A5-9D57-695E709DF94C}" name="Column15491"/>
    <tableColumn id="15492" xr3:uid="{433EE3DB-4A69-44D9-8D62-D5725C32E5CF}" name="Column15492"/>
    <tableColumn id="15493" xr3:uid="{FB75EA93-A3D3-48DB-A2A7-210C7779C45F}" name="Column15493"/>
    <tableColumn id="15494" xr3:uid="{854A60FB-C26B-4892-9925-8668F7359489}" name="Column15494"/>
    <tableColumn id="15495" xr3:uid="{E1ABED86-1B12-4E21-9794-D027FE134DDB}" name="Column15495"/>
    <tableColumn id="15496" xr3:uid="{057106A7-AA77-4D1F-8231-4996810476A9}" name="Column15496"/>
    <tableColumn id="15497" xr3:uid="{5DFC3E9E-588E-494B-94FC-8EAF520CC40C}" name="Column15497"/>
    <tableColumn id="15498" xr3:uid="{B039CE78-9AFB-4011-BD45-B55C3CDCB9A9}" name="Column15498"/>
    <tableColumn id="15499" xr3:uid="{B496D28E-5541-4BBA-8D48-4528C5A894E5}" name="Column15499"/>
    <tableColumn id="15500" xr3:uid="{AECC588E-E534-4A23-A9E0-D03CD0B7F975}" name="Column15500"/>
    <tableColumn id="15501" xr3:uid="{1FFD7631-95AB-4C84-BD26-27DCB247A7C2}" name="Column15501"/>
    <tableColumn id="15502" xr3:uid="{FD12992C-2B65-444D-AA05-BDEF291ED927}" name="Column15502"/>
    <tableColumn id="15503" xr3:uid="{FAB8C2DB-09EF-4077-AE95-CC31FA38A3C9}" name="Column15503"/>
    <tableColumn id="15504" xr3:uid="{253F08AC-0FEB-42EE-9A71-EDD193FC7C5F}" name="Column15504"/>
    <tableColumn id="15505" xr3:uid="{AAC102D7-99DA-4AF6-A4DB-9306C4FF9297}" name="Column15505"/>
    <tableColumn id="15506" xr3:uid="{E4ED232C-B15B-4029-AE3D-E314C08FF121}" name="Column15506"/>
    <tableColumn id="15507" xr3:uid="{C5299461-8142-45FB-A90E-6302893EA915}" name="Column15507"/>
    <tableColumn id="15508" xr3:uid="{A43B8E57-6871-4170-BBE5-778BD985A2CB}" name="Column15508"/>
    <tableColumn id="15509" xr3:uid="{2B32C179-E30E-4640-9349-C3CFE64AD454}" name="Column15509"/>
    <tableColumn id="15510" xr3:uid="{0187450E-BE49-40A6-804D-BCB62B1F79D2}" name="Column15510"/>
    <tableColumn id="15511" xr3:uid="{D1ACB3C0-E3EE-4481-A681-00AA6EACFFA0}" name="Column15511"/>
    <tableColumn id="15512" xr3:uid="{E68782B0-22B3-46C8-85F2-CDA0EEC2E32A}" name="Column15512"/>
    <tableColumn id="15513" xr3:uid="{C05F374B-745E-4BD3-8E17-CE7DC3390838}" name="Column15513"/>
    <tableColumn id="15514" xr3:uid="{3C4C3997-4AD5-4922-A24E-F627D2C150FC}" name="Column15514"/>
    <tableColumn id="15515" xr3:uid="{06A48E3E-C3C9-4EC5-B24F-3DA530C039EC}" name="Column15515"/>
    <tableColumn id="15516" xr3:uid="{F70540BE-6EDC-418A-9221-D7AECC82DE81}" name="Column15516"/>
    <tableColumn id="15517" xr3:uid="{D3EC4979-1BBB-4984-B2E5-524469E05BED}" name="Column15517"/>
    <tableColumn id="15518" xr3:uid="{A67A3D7D-81FB-49EC-ABED-0809CAAFE2F7}" name="Column15518"/>
    <tableColumn id="15519" xr3:uid="{B595066B-1DC3-445D-80FD-C8953F735189}" name="Column15519"/>
    <tableColumn id="15520" xr3:uid="{46CC403A-C7DB-4688-8BCE-FDB6DA8F5FB5}" name="Column15520"/>
    <tableColumn id="15521" xr3:uid="{69C59FF6-18F2-4E65-B54B-5DBD7DC01745}" name="Column15521"/>
    <tableColumn id="15522" xr3:uid="{50FA5D2F-1DF6-44FF-B424-A4E04259F7EE}" name="Column15522"/>
    <tableColumn id="15523" xr3:uid="{D79FB9A0-9C55-4535-B354-8E926757994A}" name="Column15523"/>
    <tableColumn id="15524" xr3:uid="{A86FA357-2DF3-46DD-9E6E-27D60309FFEA}" name="Column15524"/>
    <tableColumn id="15525" xr3:uid="{B235D46E-6375-4B91-92D2-6AFD63AEF5B6}" name="Column15525"/>
    <tableColumn id="15526" xr3:uid="{1D7A40A7-B53C-4402-B1ED-E17E637ECEC6}" name="Column15526"/>
    <tableColumn id="15527" xr3:uid="{C1CF9B3B-C73C-42D5-919A-144478DB0ABA}" name="Column15527"/>
    <tableColumn id="15528" xr3:uid="{66E90819-AAC7-4DE3-A206-9E54DF37151B}" name="Column15528"/>
    <tableColumn id="15529" xr3:uid="{D2E7F298-63D1-4A04-B477-808130A6AD86}" name="Column15529"/>
    <tableColumn id="15530" xr3:uid="{58746B1C-6530-4DCF-9755-CD2CEA353D1C}" name="Column15530"/>
    <tableColumn id="15531" xr3:uid="{20973BBC-DDCD-49F4-9AFE-03FBD20D3082}" name="Column15531"/>
    <tableColumn id="15532" xr3:uid="{20A7F2EF-C3BB-4E93-9D50-EA85CD568329}" name="Column15532"/>
    <tableColumn id="15533" xr3:uid="{A1229AA0-966D-4491-894C-0B0BD0E7A321}" name="Column15533"/>
    <tableColumn id="15534" xr3:uid="{B79145BC-D329-4EBE-81DB-9078F9367561}" name="Column15534"/>
    <tableColumn id="15535" xr3:uid="{7FB954AA-EE1C-47CB-855E-BB38D861EED3}" name="Column15535"/>
    <tableColumn id="15536" xr3:uid="{02DE2D6D-D689-45B7-9093-391FC1114D8D}" name="Column15536"/>
    <tableColumn id="15537" xr3:uid="{34ECEC98-D28E-4D12-ACCC-4CB76EF4F39B}" name="Column15537"/>
    <tableColumn id="15538" xr3:uid="{D564CD23-768E-4F19-9B20-284AA195A523}" name="Column15538"/>
    <tableColumn id="15539" xr3:uid="{EBA3224A-7016-4FB4-BCAE-1CD632F5E7AE}" name="Column15539"/>
    <tableColumn id="15540" xr3:uid="{0E441505-021A-456F-81DC-52B835CCB734}" name="Column15540"/>
    <tableColumn id="15541" xr3:uid="{A7245ADF-E727-4718-AF60-24803FB114C7}" name="Column15541"/>
    <tableColumn id="15542" xr3:uid="{8355C359-A8CC-41C5-AF5E-C947C3167DF2}" name="Column15542"/>
    <tableColumn id="15543" xr3:uid="{13F01F7C-8D38-46C5-8164-A9C9F0E00DFF}" name="Column15543"/>
    <tableColumn id="15544" xr3:uid="{8179C880-38F5-4062-A445-8D9B3F1D98C3}" name="Column15544"/>
    <tableColumn id="15545" xr3:uid="{7D6EDA8C-A5A7-4570-A620-EA1B20996A8B}" name="Column15545"/>
    <tableColumn id="15546" xr3:uid="{9C707DDC-1D0A-4EA3-B6CF-C9DD2811F555}" name="Column15546"/>
    <tableColumn id="15547" xr3:uid="{A085FA96-D6C9-49EF-B81C-9097E816DD1F}" name="Column15547"/>
    <tableColumn id="15548" xr3:uid="{92A3EB77-1E5C-4212-8816-45479D3F35F3}" name="Column15548"/>
    <tableColumn id="15549" xr3:uid="{705F6B45-587C-48B0-8AAE-15FACD7A1717}" name="Column15549"/>
    <tableColumn id="15550" xr3:uid="{9A2E6D3E-5C0B-4B9A-BCEB-9A653157CC19}" name="Column15550"/>
    <tableColumn id="15551" xr3:uid="{5EE758E4-E02A-4906-93AD-6E21A14493F9}" name="Column15551"/>
    <tableColumn id="15552" xr3:uid="{A56A2303-2747-496B-83FB-6120E71C06E4}" name="Column15552"/>
    <tableColumn id="15553" xr3:uid="{9E98C14C-E9EC-44D6-83EC-6ED42EE9136B}" name="Column15553"/>
    <tableColumn id="15554" xr3:uid="{28488B8C-8DE1-43B8-B34A-28BD75BED147}" name="Column15554"/>
    <tableColumn id="15555" xr3:uid="{A047AC83-C270-4D31-A152-9761737C1805}" name="Column15555"/>
    <tableColumn id="15556" xr3:uid="{A9D06C5E-4F75-4E85-BFBF-F727A9573E97}" name="Column15556"/>
    <tableColumn id="15557" xr3:uid="{3ED67DD7-A192-4F89-8FAD-6CA2D2053E48}" name="Column15557"/>
    <tableColumn id="15558" xr3:uid="{B71188AA-3D6A-4C34-B058-ABA6691E3574}" name="Column15558"/>
    <tableColumn id="15559" xr3:uid="{8272861C-016B-4870-BFDC-036E19A749D4}" name="Column15559"/>
    <tableColumn id="15560" xr3:uid="{E1317589-9B0F-4DD2-AE1C-FC0C32D1873B}" name="Column15560"/>
    <tableColumn id="15561" xr3:uid="{3D479611-394B-4383-94B6-97EFA920E67A}" name="Column15561"/>
    <tableColumn id="15562" xr3:uid="{3911FEFA-06C5-4A66-9CF5-2609D99E4A05}" name="Column15562"/>
    <tableColumn id="15563" xr3:uid="{07491353-19A2-4192-8201-92CEDC3378DA}" name="Column15563"/>
    <tableColumn id="15564" xr3:uid="{87CA7415-6B11-4DF8-A19D-7F43543241D8}" name="Column15564"/>
    <tableColumn id="15565" xr3:uid="{01FC7F73-CAF0-4B11-8C42-4F94916D0D4D}" name="Column15565"/>
    <tableColumn id="15566" xr3:uid="{25FC9BC2-8D5C-455B-AC69-879F70FA480F}" name="Column15566"/>
    <tableColumn id="15567" xr3:uid="{53C6B046-61CD-4666-8416-C784174C9821}" name="Column15567"/>
    <tableColumn id="15568" xr3:uid="{EC0CADE3-55BA-479E-9E73-588968EC8CE2}" name="Column15568"/>
    <tableColumn id="15569" xr3:uid="{84C5B921-0828-41DD-BBE8-E66CB9590554}" name="Column15569"/>
    <tableColumn id="15570" xr3:uid="{33B2CB14-87BF-4260-B123-333B9D77A125}" name="Column15570"/>
    <tableColumn id="15571" xr3:uid="{B22A9FD6-E781-4EAC-A38D-A02309372F9B}" name="Column15571"/>
    <tableColumn id="15572" xr3:uid="{53CF8AF6-4A3C-481D-9DBF-ED7F35730A84}" name="Column15572"/>
    <tableColumn id="15573" xr3:uid="{C42C6D39-E663-4322-985C-465FBD34497B}" name="Column15573"/>
    <tableColumn id="15574" xr3:uid="{F6EA61EB-7107-4A1B-9D75-8099E0077882}" name="Column15574"/>
    <tableColumn id="15575" xr3:uid="{9CBAC719-7565-4689-9A8F-327091A4E0D1}" name="Column15575"/>
    <tableColumn id="15576" xr3:uid="{81721687-BAF9-4533-9C3D-67152E75957F}" name="Column15576"/>
    <tableColumn id="15577" xr3:uid="{9303A60A-F666-42D6-A366-A469C38D0D95}" name="Column15577"/>
    <tableColumn id="15578" xr3:uid="{2CB80393-43AB-4915-A3CA-EE53E0BB946B}" name="Column15578"/>
    <tableColumn id="15579" xr3:uid="{D3A23FCA-490D-4970-8FAD-0A795B3BE26A}" name="Column15579"/>
    <tableColumn id="15580" xr3:uid="{A9D0E6C4-6FF8-47CE-A8E9-B9060E1884E6}" name="Column15580"/>
    <tableColumn id="15581" xr3:uid="{1B1B8CAB-2ACC-4EF2-AEC4-B3774204A31D}" name="Column15581"/>
    <tableColumn id="15582" xr3:uid="{366B11EF-862B-450B-988D-0879A7BDD34F}" name="Column15582"/>
    <tableColumn id="15583" xr3:uid="{D52D6A91-AF0B-4111-9FDB-EB803EB08918}" name="Column15583"/>
    <tableColumn id="15584" xr3:uid="{8E41FBFA-6C00-42EC-9584-765F1AF63EC6}" name="Column15584"/>
    <tableColumn id="15585" xr3:uid="{E3B97A94-B060-4DC3-B477-3B4099411943}" name="Column15585"/>
    <tableColumn id="15586" xr3:uid="{FA027046-7C8B-47E5-95B8-7B3F563B7F3C}" name="Column15586"/>
    <tableColumn id="15587" xr3:uid="{4FF15170-C228-4731-88B4-A22CB8B934B7}" name="Column15587"/>
    <tableColumn id="15588" xr3:uid="{3D58E9A9-9163-4DAE-A2FB-F4A7B1F69F9B}" name="Column15588"/>
    <tableColumn id="15589" xr3:uid="{9926BA91-C02F-44DE-AA98-63CBE7E65ABF}" name="Column15589"/>
    <tableColumn id="15590" xr3:uid="{C4355D1A-5C4B-4AFD-B8DA-98116B5BB3C8}" name="Column15590"/>
    <tableColumn id="15591" xr3:uid="{18709B7C-FE50-4FF5-A520-BF963A1D64F5}" name="Column15591"/>
    <tableColumn id="15592" xr3:uid="{DA48F347-FACA-407B-A275-53EA71723104}" name="Column15592"/>
    <tableColumn id="15593" xr3:uid="{70D1BA60-77D1-4252-AE32-84A058C0C344}" name="Column15593"/>
    <tableColumn id="15594" xr3:uid="{EC5B2107-4B5F-4C8E-836D-5D2600D73E4D}" name="Column15594"/>
    <tableColumn id="15595" xr3:uid="{8CF8D0D5-5FDA-44BF-BE3C-9186877A8E47}" name="Column15595"/>
    <tableColumn id="15596" xr3:uid="{C3021B60-C6BC-4297-B00C-3A17DED1A498}" name="Column15596"/>
    <tableColumn id="15597" xr3:uid="{C2E6A9BF-AC48-4C0B-AD61-00EE5EB69FF6}" name="Column15597"/>
    <tableColumn id="15598" xr3:uid="{6DA310F3-1F89-4765-9411-396EAB8C9647}" name="Column15598"/>
    <tableColumn id="15599" xr3:uid="{FD20870A-E7AA-4043-B1BD-1D70872C5880}" name="Column15599"/>
    <tableColumn id="15600" xr3:uid="{6E0DFF66-9C80-4CC1-A3D2-5369A2758DCA}" name="Column15600"/>
    <tableColumn id="15601" xr3:uid="{F0113103-2624-4D1B-8A37-6E9985C92196}" name="Column15601"/>
    <tableColumn id="15602" xr3:uid="{2E1120AE-1620-441C-B5C5-9375CA499DE5}" name="Column15602"/>
    <tableColumn id="15603" xr3:uid="{A5A97737-5F78-4470-84D8-DCCC1249E191}" name="Column15603"/>
    <tableColumn id="15604" xr3:uid="{323B1FD8-70AE-445B-9A09-6E2120DDA53D}" name="Column15604"/>
    <tableColumn id="15605" xr3:uid="{AAB59432-BE3F-46A0-ADE7-707CDBB156CF}" name="Column15605"/>
    <tableColumn id="15606" xr3:uid="{E4E65191-5C40-49A7-AC74-9FC7174E985C}" name="Column15606"/>
    <tableColumn id="15607" xr3:uid="{488786EA-A0EE-40E7-A3B3-17345A2E0244}" name="Column15607"/>
    <tableColumn id="15608" xr3:uid="{AA7B8D53-CB28-4027-B9DD-E2E2D30A8F6E}" name="Column15608"/>
    <tableColumn id="15609" xr3:uid="{0196442F-F3E9-4F98-A07E-2EA94D78B7AB}" name="Column15609"/>
    <tableColumn id="15610" xr3:uid="{81301B75-7888-4535-8DE9-2EA8EC91AB6D}" name="Column15610"/>
    <tableColumn id="15611" xr3:uid="{41235E8B-D51F-4182-8120-1C1012209243}" name="Column15611"/>
    <tableColumn id="15612" xr3:uid="{E3CB108D-A7D7-4E77-9936-4F0BAE122226}" name="Column15612"/>
    <tableColumn id="15613" xr3:uid="{F815AE15-2521-4161-8316-971E0A9D1261}" name="Column15613"/>
    <tableColumn id="15614" xr3:uid="{4E1FCE7E-9C95-42E2-821E-1F7EE54C4748}" name="Column15614"/>
    <tableColumn id="15615" xr3:uid="{21FDE56A-3D73-426E-82EE-258620232666}" name="Column15615"/>
    <tableColumn id="15616" xr3:uid="{948C002C-ECA1-41F4-B577-FFC7EC9F75E8}" name="Column15616"/>
    <tableColumn id="15617" xr3:uid="{C5649D26-0E1A-40C6-939E-6304CEE513A9}" name="Column15617"/>
    <tableColumn id="15618" xr3:uid="{F3B169B9-AFEA-45A6-9457-5C1E57762B02}" name="Column15618"/>
    <tableColumn id="15619" xr3:uid="{A7664304-AD7D-45A8-B9AF-098AAB64BA2E}" name="Column15619"/>
    <tableColumn id="15620" xr3:uid="{3E6D9ED2-C944-420B-9A78-A34E5F60B6B3}" name="Column15620"/>
    <tableColumn id="15621" xr3:uid="{28A8DDBD-DF69-405D-BB79-25DE1A8A1BEC}" name="Column15621"/>
    <tableColumn id="15622" xr3:uid="{5CE325BA-67A4-4C2D-B141-37B2AC8B7073}" name="Column15622"/>
    <tableColumn id="15623" xr3:uid="{7E4ADC05-F4F7-4435-9B46-D445F2327783}" name="Column15623"/>
    <tableColumn id="15624" xr3:uid="{21823584-0DB5-4CCA-8749-09F6D6606A95}" name="Column15624"/>
    <tableColumn id="15625" xr3:uid="{0C77AA44-27DF-4A75-8E32-71C4AFEDB8DA}" name="Column15625"/>
    <tableColumn id="15626" xr3:uid="{1991B661-5322-4E4E-843D-41818C06114A}" name="Column15626"/>
    <tableColumn id="15627" xr3:uid="{FEE1B7D1-F7BB-4BEE-A764-4B4B7E2FE589}" name="Column15627"/>
    <tableColumn id="15628" xr3:uid="{3693040D-58E2-48B9-A39C-5CBE995C0829}" name="Column15628"/>
    <tableColumn id="15629" xr3:uid="{DA57076B-0D53-4BBD-9F8A-8EE66D771720}" name="Column15629"/>
    <tableColumn id="15630" xr3:uid="{F2DECA72-0A36-4747-9EC7-4E6D11B5FA87}" name="Column15630"/>
    <tableColumn id="15631" xr3:uid="{B210CD4B-C066-49CD-9417-9BDD763E6002}" name="Column15631"/>
    <tableColumn id="15632" xr3:uid="{E80FDDED-2190-467F-87ED-C420183B0433}" name="Column15632"/>
    <tableColumn id="15633" xr3:uid="{A211569F-6B07-40B8-B4E8-7F3351789C63}" name="Column15633"/>
    <tableColumn id="15634" xr3:uid="{7776F4C8-8F13-46BD-9A1B-AA645755D636}" name="Column15634"/>
    <tableColumn id="15635" xr3:uid="{2F97FCBB-D94E-40D6-B316-153CD25CD515}" name="Column15635"/>
    <tableColumn id="15636" xr3:uid="{2B2374C9-520B-47A7-8E4C-6D51011A0525}" name="Column15636"/>
    <tableColumn id="15637" xr3:uid="{E57B03E5-C2FC-4E1A-9E32-A09787F6F388}" name="Column15637"/>
    <tableColumn id="15638" xr3:uid="{A12B4ACC-1AA1-45CF-93E1-AC4A66E4763E}" name="Column15638"/>
    <tableColumn id="15639" xr3:uid="{B11BD66E-5AEF-460F-A34A-1F6083E51591}" name="Column15639"/>
    <tableColumn id="15640" xr3:uid="{145F9177-5F7F-4930-AD40-F1A88231E472}" name="Column15640"/>
    <tableColumn id="15641" xr3:uid="{EA2D1CFB-5DE7-4F4F-B457-CD3071A7FCE5}" name="Column15641"/>
    <tableColumn id="15642" xr3:uid="{8FBE6289-C65C-4022-A800-056BCF6B5E57}" name="Column15642"/>
    <tableColumn id="15643" xr3:uid="{183359F5-23AC-4E72-9D50-F835CBD182DE}" name="Column15643"/>
    <tableColumn id="15644" xr3:uid="{36568960-699A-4FCC-B7FD-8495F80AD48F}" name="Column15644"/>
    <tableColumn id="15645" xr3:uid="{E4308D33-F97F-4C44-9947-CF13E330F7A8}" name="Column15645"/>
    <tableColumn id="15646" xr3:uid="{7244B92E-286D-4FA9-96F2-8E8D4A8BFA58}" name="Column15646"/>
    <tableColumn id="15647" xr3:uid="{A50A8AD6-E599-4FB6-A69A-13D3F28AEF3D}" name="Column15647"/>
    <tableColumn id="15648" xr3:uid="{3482CEFF-D442-4675-BFA6-3A07647BF5C0}" name="Column15648"/>
    <tableColumn id="15649" xr3:uid="{5D779B4C-8995-4036-AA97-32BA8E574536}" name="Column15649"/>
    <tableColumn id="15650" xr3:uid="{F6EDEB0A-7F54-4F1F-AD57-A9FBC7FE63A8}" name="Column15650"/>
    <tableColumn id="15651" xr3:uid="{64F2FF15-E2B3-4694-8233-2880DA1F59C0}" name="Column15651"/>
    <tableColumn id="15652" xr3:uid="{CCA75B15-40B8-4C6A-B9F3-48F512855226}" name="Column15652"/>
    <tableColumn id="15653" xr3:uid="{A9CD8634-B37B-4D45-930C-908E5D594688}" name="Column15653"/>
    <tableColumn id="15654" xr3:uid="{D2297AA3-1E55-4BD4-99AF-9FA9C52E328E}" name="Column15654"/>
    <tableColumn id="15655" xr3:uid="{5251FC35-5521-4A88-BF59-95B321FEF5A2}" name="Column15655"/>
    <tableColumn id="15656" xr3:uid="{6F07B2E9-0E06-4666-BD6D-7DA18A6D6E70}" name="Column15656"/>
    <tableColumn id="15657" xr3:uid="{7E228FC3-3FA3-495D-9055-EC43222414CF}" name="Column15657"/>
    <tableColumn id="15658" xr3:uid="{63B209FB-7C7C-443C-A217-A91103B2499C}" name="Column15658"/>
    <tableColumn id="15659" xr3:uid="{9C73D653-A2CA-4950-ABDD-3DAEFD5A0857}" name="Column15659"/>
    <tableColumn id="15660" xr3:uid="{A05920B7-0497-4D36-BD55-CB59E7896C0C}" name="Column15660"/>
    <tableColumn id="15661" xr3:uid="{6369EC60-E446-4028-9D5C-4674486759DF}" name="Column15661"/>
    <tableColumn id="15662" xr3:uid="{AA9F1173-0F0D-4F6E-9308-321223F48789}" name="Column15662"/>
    <tableColumn id="15663" xr3:uid="{FEBC7F38-6422-44C6-B2AD-E7A8142B59B4}" name="Column15663"/>
    <tableColumn id="15664" xr3:uid="{EF49A903-4667-4223-92C8-30C03EA80084}" name="Column15664"/>
    <tableColumn id="15665" xr3:uid="{A335F22F-D27A-4B78-B5B1-4AE492FB0433}" name="Column15665"/>
    <tableColumn id="15666" xr3:uid="{097BC1EE-C246-4E07-8256-57B3B90E485D}" name="Column15666"/>
    <tableColumn id="15667" xr3:uid="{243520D9-0EE0-4544-B928-96626E9BC871}" name="Column15667"/>
    <tableColumn id="15668" xr3:uid="{883CC2BD-E0B6-4B0F-940D-3F38F552CF0A}" name="Column15668"/>
    <tableColumn id="15669" xr3:uid="{07CEB44A-D47E-462F-9E66-D81C18F789E7}" name="Column15669"/>
    <tableColumn id="15670" xr3:uid="{D7F5D6F6-6A81-4897-ABD9-E4D549C51CE9}" name="Column15670"/>
    <tableColumn id="15671" xr3:uid="{BB592AD2-ADFC-4ADE-B9EF-D5F77F539561}" name="Column15671"/>
    <tableColumn id="15672" xr3:uid="{EA839742-1235-42C0-9B27-C046217F255B}" name="Column15672"/>
    <tableColumn id="15673" xr3:uid="{53CE864F-0390-4F2D-8C2D-BEA8D701E485}" name="Column15673"/>
    <tableColumn id="15674" xr3:uid="{D95C76F3-1F40-4C59-A42A-1D117EFFA602}" name="Column15674"/>
    <tableColumn id="15675" xr3:uid="{E44028BB-2B54-4E43-BBF5-0A12A10C7A2F}" name="Column15675"/>
    <tableColumn id="15676" xr3:uid="{1DB53946-2302-4A15-8D4E-66912E63FBE5}" name="Column15676"/>
    <tableColumn id="15677" xr3:uid="{8CAD7CDD-99E0-423D-99F5-D97A2211C5DD}" name="Column15677"/>
    <tableColumn id="15678" xr3:uid="{516ACF5A-2506-49C9-B82D-F74361F0BC2F}" name="Column15678"/>
    <tableColumn id="15679" xr3:uid="{3B439567-E7F5-483B-8F09-65FD1F44FC00}" name="Column15679"/>
    <tableColumn id="15680" xr3:uid="{280B2536-1B8C-4168-A268-3487138F4BDF}" name="Column15680"/>
    <tableColumn id="15681" xr3:uid="{C6FECAE7-6607-46AE-8335-FA2C155011F6}" name="Column15681"/>
    <tableColumn id="15682" xr3:uid="{8B088BBC-AF10-49B9-80DB-19857B321D7E}" name="Column15682"/>
    <tableColumn id="15683" xr3:uid="{1A88CEE1-AF94-4B71-9669-1CC23002BD93}" name="Column15683"/>
    <tableColumn id="15684" xr3:uid="{72163A4E-317A-4C18-A031-58C5CE951ECC}" name="Column15684"/>
    <tableColumn id="15685" xr3:uid="{2AB045FA-BB01-42A7-9B98-1C2CF0033BCD}" name="Column15685"/>
    <tableColumn id="15686" xr3:uid="{1BDA6E47-EDF7-4187-BA3E-49777BD6731F}" name="Column15686"/>
    <tableColumn id="15687" xr3:uid="{02050D68-7005-4341-8216-3422E0D69FB2}" name="Column15687"/>
    <tableColumn id="15688" xr3:uid="{25E834A9-F1CA-4C0C-A04D-813B9C9CE295}" name="Column15688"/>
    <tableColumn id="15689" xr3:uid="{3D9B1C6C-55A1-44AA-8AB4-AED41A6D2619}" name="Column15689"/>
    <tableColumn id="15690" xr3:uid="{160BB39E-E298-4EAE-AE65-5C7865BCFD37}" name="Column15690"/>
    <tableColumn id="15691" xr3:uid="{3E5A1EE3-B88E-4F51-BB88-6A5FA603B051}" name="Column15691"/>
    <tableColumn id="15692" xr3:uid="{C0082882-014B-44C3-99C0-92649C028B52}" name="Column15692"/>
    <tableColumn id="15693" xr3:uid="{464A1B49-E283-40F7-8788-4983C56A970C}" name="Column15693"/>
    <tableColumn id="15694" xr3:uid="{6837413B-5505-415D-8369-85C1917B236C}" name="Column15694"/>
    <tableColumn id="15695" xr3:uid="{E008FF08-D615-44F6-9305-8BEEFAD8F821}" name="Column15695"/>
    <tableColumn id="15696" xr3:uid="{387EA478-DA0F-4477-88ED-F19794D9EA73}" name="Column15696"/>
    <tableColumn id="15697" xr3:uid="{A8195B8B-C09B-4133-B5BD-F313B7F279D8}" name="Column15697"/>
    <tableColumn id="15698" xr3:uid="{AD64EA3F-82AE-412C-BB14-FD84ACA2095D}" name="Column15698"/>
    <tableColumn id="15699" xr3:uid="{AE54C3F3-07E6-49D9-B973-B023FA092155}" name="Column15699"/>
    <tableColumn id="15700" xr3:uid="{E94DFDE9-ACF8-4203-80AF-4091FB01C43B}" name="Column15700"/>
    <tableColumn id="15701" xr3:uid="{4E7E0C6C-2523-46BE-9399-507A767633A5}" name="Column15701"/>
    <tableColumn id="15702" xr3:uid="{3DE83EE0-23CC-4103-8E3A-D883CDA1D6BB}" name="Column15702"/>
    <tableColumn id="15703" xr3:uid="{8928ACC2-467A-41FB-86DD-01A0313B4253}" name="Column15703"/>
    <tableColumn id="15704" xr3:uid="{606BF813-ABF1-4DE5-A04D-8501039F832C}" name="Column15704"/>
    <tableColumn id="15705" xr3:uid="{CFE07154-C0F2-4A38-962E-DD0B8A486ACE}" name="Column15705"/>
    <tableColumn id="15706" xr3:uid="{1A328790-975F-44EE-B5C5-F39981F725BE}" name="Column15706"/>
    <tableColumn id="15707" xr3:uid="{2570A409-19AB-41BD-9C2F-132F6CDBE3D5}" name="Column15707"/>
    <tableColumn id="15708" xr3:uid="{F226A5FC-4141-48C3-890E-6C2BC96D0078}" name="Column15708"/>
    <tableColumn id="15709" xr3:uid="{900C2F2C-35A2-458B-A627-6B656D548705}" name="Column15709"/>
    <tableColumn id="15710" xr3:uid="{90678580-DF0D-44E6-A453-60EC2FCB2606}" name="Column15710"/>
    <tableColumn id="15711" xr3:uid="{347070D9-6A98-4DA6-9CD7-C88F2ABDC6BF}" name="Column15711"/>
    <tableColumn id="15712" xr3:uid="{1DFF2208-4958-46E2-A370-0BA3CA665398}" name="Column15712"/>
    <tableColumn id="15713" xr3:uid="{FA95CC5D-A101-42CA-8618-61E32D3F4EE8}" name="Column15713"/>
    <tableColumn id="15714" xr3:uid="{4B6FA3CD-09B0-4180-8619-F9295552B4FE}" name="Column15714"/>
    <tableColumn id="15715" xr3:uid="{171263EC-BD74-465E-AA9D-AAA841A3A5F3}" name="Column15715"/>
    <tableColumn id="15716" xr3:uid="{10B0BB44-10D1-4ED9-9147-49C7346D19B9}" name="Column15716"/>
    <tableColumn id="15717" xr3:uid="{935386E3-659B-45E6-BC89-9B008AA45D47}" name="Column15717"/>
    <tableColumn id="15718" xr3:uid="{41D94B01-9183-4C91-9003-E48741FF8601}" name="Column15718"/>
    <tableColumn id="15719" xr3:uid="{DAE4EFD1-BF9F-4768-BC4C-DE36F831784F}" name="Column15719"/>
    <tableColumn id="15720" xr3:uid="{347C9CA4-7B05-4B04-AA01-A643DCCA33FF}" name="Column15720"/>
    <tableColumn id="15721" xr3:uid="{6912F491-7C53-4A5E-87BD-9ED39B893647}" name="Column15721"/>
    <tableColumn id="15722" xr3:uid="{44220669-1971-498E-A346-891DD3B4969F}" name="Column15722"/>
    <tableColumn id="15723" xr3:uid="{D7226780-D403-40B3-98E5-10320D07307C}" name="Column15723"/>
    <tableColumn id="15724" xr3:uid="{59A71141-592E-420D-9657-12752A4B2D02}" name="Column15724"/>
    <tableColumn id="15725" xr3:uid="{8ADD63E5-1C2E-4A32-AD13-163777A1727E}" name="Column15725"/>
    <tableColumn id="15726" xr3:uid="{4F9B69FA-8FBE-4DC6-819A-EE8D40AD6FFE}" name="Column15726"/>
    <tableColumn id="15727" xr3:uid="{AA1FA18F-0BE7-4DB3-A60F-257B590FCD93}" name="Column15727"/>
    <tableColumn id="15728" xr3:uid="{03F0AB92-FBF0-41A4-876B-11CC468F68D7}" name="Column15728"/>
    <tableColumn id="15729" xr3:uid="{BC1E4616-5EDD-4633-A984-02006778D047}" name="Column15729"/>
    <tableColumn id="15730" xr3:uid="{D29C5A62-8B61-4697-9D09-59CB28C10CC0}" name="Column15730"/>
    <tableColumn id="15731" xr3:uid="{C244BBE8-B303-48DF-967C-37650E774457}" name="Column15731"/>
    <tableColumn id="15732" xr3:uid="{B2DB569D-6888-4DB1-95A5-A05904DFAC1A}" name="Column15732"/>
    <tableColumn id="15733" xr3:uid="{20DAF850-A7D8-4807-AD85-930C27BC03F9}" name="Column15733"/>
    <tableColumn id="15734" xr3:uid="{9A685E80-B25C-4FA0-8194-EEC439D4DA7B}" name="Column15734"/>
    <tableColumn id="15735" xr3:uid="{5ECCC23E-3B46-4496-9B7D-6EC2FF564346}" name="Column15735"/>
    <tableColumn id="15736" xr3:uid="{0B2DB266-596F-4444-8466-2DE404D1EFE2}" name="Column15736"/>
    <tableColumn id="15737" xr3:uid="{9DB8E89A-2D9B-42FA-B84D-F3A22FFAC15C}" name="Column15737"/>
    <tableColumn id="15738" xr3:uid="{37FF95B1-1BA7-464F-B49D-608A4109C761}" name="Column15738"/>
    <tableColumn id="15739" xr3:uid="{FE652776-3F96-4E9E-9CB6-F6C99DAA3E5D}" name="Column15739"/>
    <tableColumn id="15740" xr3:uid="{AFA45B9C-2F75-44B4-A3B1-C555C1584D42}" name="Column15740"/>
    <tableColumn id="15741" xr3:uid="{FCA4AA97-8D18-4E34-A658-93461D9A0687}" name="Column15741"/>
    <tableColumn id="15742" xr3:uid="{1C760273-9631-4487-8623-DAC7B3E0B85F}" name="Column15742"/>
    <tableColumn id="15743" xr3:uid="{C55486F2-3BA2-4DF2-9E2E-732887EDB349}" name="Column15743"/>
    <tableColumn id="15744" xr3:uid="{9787367E-A5A8-412C-B129-371B4BC330E3}" name="Column15744"/>
    <tableColumn id="15745" xr3:uid="{46245337-1FED-4C38-AFAD-0597B4987590}" name="Column15745"/>
    <tableColumn id="15746" xr3:uid="{9D9B5DB2-F71C-4E53-A792-8727C13E5651}" name="Column15746"/>
    <tableColumn id="15747" xr3:uid="{B16CDF5F-8CA4-4FE8-BEFB-0763F6E93C02}" name="Column15747"/>
    <tableColumn id="15748" xr3:uid="{9CFA33C2-1050-4B9F-9D6B-74CC1B52AEDA}" name="Column15748"/>
    <tableColumn id="15749" xr3:uid="{A2E8E3E2-8453-43CE-9D4D-5946A80D2713}" name="Column15749"/>
    <tableColumn id="15750" xr3:uid="{D26EB83A-1B3C-4EA3-88D4-759F02FB473D}" name="Column15750"/>
    <tableColumn id="15751" xr3:uid="{14781BB9-6AF8-4710-A3CF-40910D4A6221}" name="Column15751"/>
    <tableColumn id="15752" xr3:uid="{07FED7C4-8A18-4995-9419-9A8C7FACF61D}" name="Column15752"/>
    <tableColumn id="15753" xr3:uid="{023B7231-C4B0-411F-8099-D1B6793E8D17}" name="Column15753"/>
    <tableColumn id="15754" xr3:uid="{9C428126-EC58-44D3-9E3C-CC69FF7ADA22}" name="Column15754"/>
    <tableColumn id="15755" xr3:uid="{B72CC1BA-AC19-4482-A149-E1124D4D5861}" name="Column15755"/>
    <tableColumn id="15756" xr3:uid="{88C11CB8-6109-4221-9A7C-339F360AF0EF}" name="Column15756"/>
    <tableColumn id="15757" xr3:uid="{9C32DB1E-2D09-4286-AAB0-54A0BCA46255}" name="Column15757"/>
    <tableColumn id="15758" xr3:uid="{F38643D3-B2B8-4176-AAAF-78D7DE2995D8}" name="Column15758"/>
    <tableColumn id="15759" xr3:uid="{2E5F883F-A2CB-48D4-9396-88FBC6D8BF8B}" name="Column15759"/>
    <tableColumn id="15760" xr3:uid="{43921FEB-16F9-4265-8EB8-924C1CCDF5D3}" name="Column15760"/>
    <tableColumn id="15761" xr3:uid="{026B1D33-487C-4539-870D-050E05E52272}" name="Column15761"/>
    <tableColumn id="15762" xr3:uid="{4CE6E618-8389-4407-AE4F-9552987F730E}" name="Column15762"/>
    <tableColumn id="15763" xr3:uid="{A4F51FA9-24D3-43FA-87CA-A60C15A19726}" name="Column15763"/>
    <tableColumn id="15764" xr3:uid="{6FE482F5-450D-4A2A-AA7F-E75A9BA9A0A9}" name="Column15764"/>
    <tableColumn id="15765" xr3:uid="{E78DEC9A-5A0D-4273-82CC-657254C4E28E}" name="Column15765"/>
    <tableColumn id="15766" xr3:uid="{EB132BEF-6F42-4EC6-81E0-C76A5C191534}" name="Column15766"/>
    <tableColumn id="15767" xr3:uid="{636B174D-01F0-4300-BED3-136DD7D2F652}" name="Column15767"/>
    <tableColumn id="15768" xr3:uid="{106E01EA-B973-43CF-91C6-A6AA181A3D45}" name="Column15768"/>
    <tableColumn id="15769" xr3:uid="{2B80750B-90BD-404A-A128-F93F46B41714}" name="Column15769"/>
    <tableColumn id="15770" xr3:uid="{5DD0A23E-2BB8-46B5-AE37-92CDF7D5DD0D}" name="Column15770"/>
    <tableColumn id="15771" xr3:uid="{1E16EAD6-1086-4F04-ABA5-34A542F14745}" name="Column15771"/>
    <tableColumn id="15772" xr3:uid="{9A1F0F38-F351-4BC7-8FCF-A34A5A61C2F1}" name="Column15772"/>
    <tableColumn id="15773" xr3:uid="{DCEB303A-C93E-40E2-B4EE-CCB2D338A695}" name="Column15773"/>
    <tableColumn id="15774" xr3:uid="{957F7691-011E-47BC-A0F8-D0728130053F}" name="Column15774"/>
    <tableColumn id="15775" xr3:uid="{7F24763C-E78B-45C0-9ECB-3F6EEB7624B2}" name="Column15775"/>
    <tableColumn id="15776" xr3:uid="{7CDA1F26-9D27-47AC-BA33-920AFB5E2EE7}" name="Column15776"/>
    <tableColumn id="15777" xr3:uid="{BF97B63E-67F0-4FBA-B787-5643C82A6CAE}" name="Column15777"/>
    <tableColumn id="15778" xr3:uid="{655C23A8-5B17-4E30-9FBB-EE4A0647D83B}" name="Column15778"/>
    <tableColumn id="15779" xr3:uid="{E3E9A110-C95A-4CED-BE62-2D815C8E7375}" name="Column15779"/>
    <tableColumn id="15780" xr3:uid="{0E2EB3B2-B4C0-42CE-872E-950D7416A410}" name="Column15780"/>
    <tableColumn id="15781" xr3:uid="{52D8C696-EF13-4DA1-9D57-0BD656B64596}" name="Column15781"/>
    <tableColumn id="15782" xr3:uid="{CB8EBCED-87B5-4260-8896-C1F50A03BA69}" name="Column15782"/>
    <tableColumn id="15783" xr3:uid="{770E21A2-0F31-43EC-8A23-C8AF3347B863}" name="Column15783"/>
    <tableColumn id="15784" xr3:uid="{EDA60AA8-CDF0-4EFB-8E7F-AE3F8A553213}" name="Column15784"/>
    <tableColumn id="15785" xr3:uid="{3A515E51-5533-4C5D-AE5E-8CF31D0DC9FB}" name="Column15785"/>
    <tableColumn id="15786" xr3:uid="{49659451-683A-410D-89C4-57DEC338A9F3}" name="Column15786"/>
    <tableColumn id="15787" xr3:uid="{D6265EDC-40DB-44DB-A51E-148D01791DC0}" name="Column15787"/>
    <tableColumn id="15788" xr3:uid="{38BD9E55-0116-4887-9BAB-79D0D480E88D}" name="Column15788"/>
    <tableColumn id="15789" xr3:uid="{7E088097-250F-446D-88DE-D0C6C3A3FA53}" name="Column15789"/>
    <tableColumn id="15790" xr3:uid="{812BEAE7-9BE6-4FBC-8165-D55602848B71}" name="Column15790"/>
    <tableColumn id="15791" xr3:uid="{5C4E8B2F-C103-4882-A432-923AD717F309}" name="Column15791"/>
    <tableColumn id="15792" xr3:uid="{FBAC9D24-2460-480E-B2C5-802522EB9569}" name="Column15792"/>
    <tableColumn id="15793" xr3:uid="{542D1809-FAC1-4C5B-9857-97CC63D9CD02}" name="Column15793"/>
    <tableColumn id="15794" xr3:uid="{B156B7D8-B1AD-4568-9B3F-1C09651EF807}" name="Column15794"/>
    <tableColumn id="15795" xr3:uid="{831CCFD3-ACF7-4B18-850B-414D76F3900B}" name="Column15795"/>
    <tableColumn id="15796" xr3:uid="{5A1CA814-E18A-476E-BF2E-3FB3649FB9D6}" name="Column15796"/>
    <tableColumn id="15797" xr3:uid="{EC1A9EF5-20CF-4425-B6F2-216E465BD560}" name="Column15797"/>
    <tableColumn id="15798" xr3:uid="{6C0D6079-6CBF-4C17-BFD3-74340AE519B3}" name="Column15798"/>
    <tableColumn id="15799" xr3:uid="{646CFC5D-E059-4D97-926A-2BA91EDF5FD4}" name="Column15799"/>
    <tableColumn id="15800" xr3:uid="{D1ADB8AE-A105-47B0-AFC4-0428A6F956D9}" name="Column15800"/>
    <tableColumn id="15801" xr3:uid="{C1669F9E-62CD-4442-B798-16C1C6EF906F}" name="Column15801"/>
    <tableColumn id="15802" xr3:uid="{16429AE5-FEAA-4747-A72D-FE62B9CF7EF0}" name="Column15802"/>
    <tableColumn id="15803" xr3:uid="{B49AC554-1FC8-447B-A160-A90CD41E6A6A}" name="Column15803"/>
    <tableColumn id="15804" xr3:uid="{A342230A-2A29-4B51-949D-3D90A5D2220D}" name="Column15804"/>
    <tableColumn id="15805" xr3:uid="{7A179AF0-D2A7-493A-9CBD-F882B5DE29FB}" name="Column15805"/>
    <tableColumn id="15806" xr3:uid="{8887BE67-A734-4CB4-AC17-409C9AA2A1DF}" name="Column15806"/>
    <tableColumn id="15807" xr3:uid="{0DF61083-B842-41D1-BD96-04BBA2943AD8}" name="Column15807"/>
    <tableColumn id="15808" xr3:uid="{BDAC5B31-BE92-4CE6-98CB-194CA0CA5607}" name="Column15808"/>
    <tableColumn id="15809" xr3:uid="{C8A65B54-C381-469B-A68E-3DE45BD28468}" name="Column15809"/>
    <tableColumn id="15810" xr3:uid="{D5BD7797-1E9B-4151-9503-1DD4642F8EFC}" name="Column15810"/>
    <tableColumn id="15811" xr3:uid="{8D25682A-D86A-4866-9A1F-75594AD13079}" name="Column15811"/>
    <tableColumn id="15812" xr3:uid="{4C1CFC92-DF3B-42F6-AC8D-5DFFBDDBEA34}" name="Column15812"/>
    <tableColumn id="15813" xr3:uid="{457DADA1-DA23-4996-9C90-7D4304A257B1}" name="Column15813"/>
    <tableColumn id="15814" xr3:uid="{398C899D-CE59-4573-8A82-8A8417345CF3}" name="Column15814"/>
    <tableColumn id="15815" xr3:uid="{BF1FFF41-8E27-4FF1-A407-C191F62226CF}" name="Column15815"/>
    <tableColumn id="15816" xr3:uid="{6893A7C9-8B40-433B-AAD0-8E2C27450917}" name="Column15816"/>
    <tableColumn id="15817" xr3:uid="{8BC38FE4-21C5-4ABF-B804-9C98E57BC09D}" name="Column15817"/>
    <tableColumn id="15818" xr3:uid="{E4CFCB6C-7449-44DD-A78A-3903A0895A56}" name="Column15818"/>
    <tableColumn id="15819" xr3:uid="{5B807782-3380-489B-8FF3-CC680A28F050}" name="Column15819"/>
    <tableColumn id="15820" xr3:uid="{3A143C29-6101-4F71-AF25-9325B518D1A1}" name="Column15820"/>
    <tableColumn id="15821" xr3:uid="{0A306B53-BA13-4C0B-A891-1E1D2542EC03}" name="Column15821"/>
    <tableColumn id="15822" xr3:uid="{A75577BF-D9EF-4D63-A20A-B24616DBAC5C}" name="Column15822"/>
    <tableColumn id="15823" xr3:uid="{9E34C17A-DBD2-4E0E-912B-D36D877B2B9E}" name="Column15823"/>
    <tableColumn id="15824" xr3:uid="{F9571488-2799-47B0-B50F-DAF010865FEA}" name="Column15824"/>
    <tableColumn id="15825" xr3:uid="{BADB76D4-B993-4CD2-B8F8-876393141812}" name="Column15825"/>
    <tableColumn id="15826" xr3:uid="{BA43AD0F-62A3-4CB2-93C9-E737D57EA829}" name="Column15826"/>
    <tableColumn id="15827" xr3:uid="{AF7D9EEC-FE3D-450B-B6D2-2A93A718AC68}" name="Column15827"/>
    <tableColumn id="15828" xr3:uid="{A828F8AE-B03E-4DF4-A1B7-2BD7EA9137C3}" name="Column15828"/>
    <tableColumn id="15829" xr3:uid="{0C8CE866-1EAC-4F10-A260-8D9DC507692E}" name="Column15829"/>
    <tableColumn id="15830" xr3:uid="{950CCBC7-E14B-454E-A188-A7A099DD997F}" name="Column15830"/>
    <tableColumn id="15831" xr3:uid="{07581253-8B74-48DE-8B7A-28D2816602A3}" name="Column15831"/>
    <tableColumn id="15832" xr3:uid="{6E5E0BD6-6F54-4C40-92CA-696CDE9E9FF1}" name="Column15832"/>
    <tableColumn id="15833" xr3:uid="{01BACEBB-AAD9-4E9C-9E01-6FC0DB469C2D}" name="Column15833"/>
    <tableColumn id="15834" xr3:uid="{9D74CF67-BD4E-4A08-A6AE-BB72B5A5AB5D}" name="Column15834"/>
    <tableColumn id="15835" xr3:uid="{5C3127FE-ABBE-4F90-9AE0-6C148209CD31}" name="Column15835"/>
    <tableColumn id="15836" xr3:uid="{C5A87AE4-91D0-4472-89FC-4ABE7FD1E527}" name="Column15836"/>
    <tableColumn id="15837" xr3:uid="{43E860F1-45DD-4D46-95B9-29E66459BEF9}" name="Column15837"/>
    <tableColumn id="15838" xr3:uid="{4DE7F1CD-12A2-4559-8388-B2BA2538122B}" name="Column15838"/>
    <tableColumn id="15839" xr3:uid="{FB532D2F-1255-4F3F-9880-1D78BD0CE1B3}" name="Column15839"/>
    <tableColumn id="15840" xr3:uid="{7101893B-A781-4608-B6A3-B15F7F3A51F7}" name="Column15840"/>
    <tableColumn id="15841" xr3:uid="{DCE4251A-C982-4415-8CF5-E51B1191F167}" name="Column15841"/>
    <tableColumn id="15842" xr3:uid="{DC0D75BB-AFFD-443C-918C-59971BA85CA9}" name="Column15842"/>
    <tableColumn id="15843" xr3:uid="{845D8809-8CB4-439C-BE70-5A3C82809CF6}" name="Column15843"/>
    <tableColumn id="15844" xr3:uid="{0B63D5A3-BBA1-4C4C-B275-4A6B2038168D}" name="Column15844"/>
    <tableColumn id="15845" xr3:uid="{B83AEF94-D256-4FF9-97A4-7707D295987D}" name="Column15845"/>
    <tableColumn id="15846" xr3:uid="{413DE6F4-D22A-4B1C-8592-203189495ED1}" name="Column15846"/>
    <tableColumn id="15847" xr3:uid="{93475C56-37BD-47C7-AB37-AA4C57E9344F}" name="Column15847"/>
    <tableColumn id="15848" xr3:uid="{220F0BEB-B956-4EC1-A1FC-4444CE145C79}" name="Column15848"/>
    <tableColumn id="15849" xr3:uid="{A5163E90-621F-4015-A30A-67C1EE4CB853}" name="Column15849"/>
    <tableColumn id="15850" xr3:uid="{FEB910A9-98ED-4756-A208-6891FB4D5930}" name="Column15850"/>
    <tableColumn id="15851" xr3:uid="{6CF2197B-B4E4-4E4E-9323-8A6A19156594}" name="Column15851"/>
    <tableColumn id="15852" xr3:uid="{374D576C-3B52-4DEB-93A3-39BCD6FA93FD}" name="Column15852"/>
    <tableColumn id="15853" xr3:uid="{842E2A0C-2281-4493-A806-98741EE67BCD}" name="Column15853"/>
    <tableColumn id="15854" xr3:uid="{91592340-EF48-48B7-B226-5C800D087650}" name="Column15854"/>
    <tableColumn id="15855" xr3:uid="{C8907137-78B7-4C7D-8153-24C44A1F8D30}" name="Column15855"/>
    <tableColumn id="15856" xr3:uid="{15985257-08BA-4FAC-998A-D6ED7E57C433}" name="Column15856"/>
    <tableColumn id="15857" xr3:uid="{FF09D19C-FA06-40FA-B161-090F824C33C8}" name="Column15857"/>
    <tableColumn id="15858" xr3:uid="{40049CAE-46D9-441A-B277-609D0251B8E3}" name="Column15858"/>
    <tableColumn id="15859" xr3:uid="{BB172B93-3C01-44E8-8613-90CEF8EFD9B7}" name="Column15859"/>
    <tableColumn id="15860" xr3:uid="{7230C803-2E3E-4C01-AF7B-EA346E9531F4}" name="Column15860"/>
    <tableColumn id="15861" xr3:uid="{FFCC182A-8B6D-4FF2-8FD5-432AB44837FF}" name="Column15861"/>
    <tableColumn id="15862" xr3:uid="{A190A815-15DD-4E3E-8469-F8D038A2DFB4}" name="Column15862"/>
    <tableColumn id="15863" xr3:uid="{B4EAD665-E77E-439E-84E2-ACED1C7799D1}" name="Column15863"/>
    <tableColumn id="15864" xr3:uid="{4C87064F-99B2-4CC3-9B06-7D825EA62DED}" name="Column15864"/>
    <tableColumn id="15865" xr3:uid="{9B25B5A1-028C-4D09-8816-2E3B9CC106CA}" name="Column15865"/>
    <tableColumn id="15866" xr3:uid="{51CC45C3-94E0-49A8-987D-854D0E263E8B}" name="Column15866"/>
    <tableColumn id="15867" xr3:uid="{AE67B49C-D615-4F99-B60B-6EAF16EDD056}" name="Column15867"/>
    <tableColumn id="15868" xr3:uid="{EF8B0959-4B34-4B7F-AA14-D82ADF5D11A8}" name="Column15868"/>
    <tableColumn id="15869" xr3:uid="{1E455C6F-7B11-4247-9067-A2B82A7CECAA}" name="Column15869"/>
    <tableColumn id="15870" xr3:uid="{C1D135E3-2334-40D4-AEDF-4F41A22C4D12}" name="Column15870"/>
    <tableColumn id="15871" xr3:uid="{08D0C26A-418A-4B5B-9F7A-234EDDEBA9CF}" name="Column15871"/>
    <tableColumn id="15872" xr3:uid="{FFC77CBB-244F-4467-9C00-26E1662C1112}" name="Column15872"/>
    <tableColumn id="15873" xr3:uid="{15C765D5-A925-4263-B0A2-21A18EB6E7E0}" name="Column15873"/>
    <tableColumn id="15874" xr3:uid="{E0A2BAE4-1B9B-4138-9F80-380CCFFA972D}" name="Column15874"/>
    <tableColumn id="15875" xr3:uid="{9C5DFA81-31A2-4CB0-8DCB-7328982C8BF8}" name="Column15875"/>
    <tableColumn id="15876" xr3:uid="{D8937578-8A20-482D-B254-3B6A91D0F7AC}" name="Column15876"/>
    <tableColumn id="15877" xr3:uid="{081C67BF-CE4B-47C2-9308-A0C3C0F1376A}" name="Column15877"/>
    <tableColumn id="15878" xr3:uid="{3DF35730-33AA-4B86-BB8A-3AAF1AFB2F1B}" name="Column15878"/>
    <tableColumn id="15879" xr3:uid="{0B456BA9-226D-402F-81CE-DCB32300C2E4}" name="Column15879"/>
    <tableColumn id="15880" xr3:uid="{B1915BBB-0C38-4305-B3EC-EAB196120DDD}" name="Column15880"/>
    <tableColumn id="15881" xr3:uid="{942F97AD-BC76-40A4-93E4-893A0FCC57E6}" name="Column15881"/>
    <tableColumn id="15882" xr3:uid="{B7F83D3E-F707-4414-9657-1F2ED351C9F5}" name="Column15882"/>
    <tableColumn id="15883" xr3:uid="{11BC6C43-EA2E-44E9-8EAC-7CD43FECC551}" name="Column15883"/>
    <tableColumn id="15884" xr3:uid="{6E350D73-F731-4A9B-9045-F736A42D7C6B}" name="Column15884"/>
    <tableColumn id="15885" xr3:uid="{D31F4D65-0583-46E3-AB83-4A12B8EC3BA6}" name="Column15885"/>
    <tableColumn id="15886" xr3:uid="{E04FB8A4-F92D-4867-ACC7-2D91FDED6BF5}" name="Column15886"/>
    <tableColumn id="15887" xr3:uid="{74E3CF12-44BC-45BB-AE9F-9D46B169ED3D}" name="Column15887"/>
    <tableColumn id="15888" xr3:uid="{C73D85FC-EC2E-4BC6-9925-D6C09D40DE24}" name="Column15888"/>
    <tableColumn id="15889" xr3:uid="{DD0C1EE4-4218-4CB4-88B4-D2819999C940}" name="Column15889"/>
    <tableColumn id="15890" xr3:uid="{837D8076-2232-43FA-93F4-26116B7FAFE7}" name="Column15890"/>
    <tableColumn id="15891" xr3:uid="{EEBBC2C3-CBF3-4019-B600-8A18FD1940C5}" name="Column15891"/>
    <tableColumn id="15892" xr3:uid="{CF5423CC-B677-4EE0-8171-72CF60757C5A}" name="Column15892"/>
    <tableColumn id="15893" xr3:uid="{0DD0F0F5-00B6-4392-84B8-74F7F914266D}" name="Column15893"/>
    <tableColumn id="15894" xr3:uid="{FAB28556-F56B-4C4D-912B-49E4576AD919}" name="Column15894"/>
    <tableColumn id="15895" xr3:uid="{791A7AD0-C6C1-4035-A03A-169208455F59}" name="Column15895"/>
    <tableColumn id="15896" xr3:uid="{E6F38B2C-37B2-43B1-A2EC-B5B56B2B57FC}" name="Column15896"/>
    <tableColumn id="15897" xr3:uid="{63F5B1A8-3405-462B-AE03-F79C6D11B120}" name="Column15897"/>
    <tableColumn id="15898" xr3:uid="{128D3FA5-56DD-46B6-AF91-A76DC38CF802}" name="Column15898"/>
    <tableColumn id="15899" xr3:uid="{718BABD1-BFE7-45CE-BC08-28E013265A53}" name="Column15899"/>
    <tableColumn id="15900" xr3:uid="{A87C1A92-0414-45D7-A54D-DF0380340602}" name="Column15900"/>
    <tableColumn id="15901" xr3:uid="{594560D7-BDF5-47DE-A7F7-8F1320956660}" name="Column15901"/>
    <tableColumn id="15902" xr3:uid="{626A59C0-42B7-4E64-9B20-C221ED5B3025}" name="Column15902"/>
    <tableColumn id="15903" xr3:uid="{3E2475DD-0CB0-4AEC-92BA-73D2D00F6B77}" name="Column15903"/>
    <tableColumn id="15904" xr3:uid="{A8F1F472-AC86-4552-8042-26F60A685105}" name="Column15904"/>
    <tableColumn id="15905" xr3:uid="{5213986E-7066-48E4-A6F9-E08E8D9CB7AE}" name="Column15905"/>
    <tableColumn id="15906" xr3:uid="{F62204E8-D7E4-46AE-9911-CC8101C97948}" name="Column15906"/>
    <tableColumn id="15907" xr3:uid="{3CD0B903-555B-4F23-A09D-DF5024DD42E4}" name="Column15907"/>
    <tableColumn id="15908" xr3:uid="{2D7556DA-1D68-4054-8764-DD7B9B6C5365}" name="Column15908"/>
    <tableColumn id="15909" xr3:uid="{8391BB16-7C18-48A3-8451-D7033502D216}" name="Column15909"/>
    <tableColumn id="15910" xr3:uid="{C25DB17A-79CF-48C1-BE2B-5D325E90789D}" name="Column15910"/>
    <tableColumn id="15911" xr3:uid="{09A5DA6A-8209-4F15-AAD7-1C9E1E4F9EBB}" name="Column15911"/>
    <tableColumn id="15912" xr3:uid="{37D6A0C6-D66C-4B39-B4BF-09D550603C44}" name="Column15912"/>
    <tableColumn id="15913" xr3:uid="{5FCD6241-AE82-4190-9E29-884A371E73E4}" name="Column15913"/>
    <tableColumn id="15914" xr3:uid="{B664D968-AAC3-4F0F-80EF-027074A4F779}" name="Column15914"/>
    <tableColumn id="15915" xr3:uid="{780FB021-4CA3-4641-8B33-B3AA62C85A29}" name="Column15915"/>
    <tableColumn id="15916" xr3:uid="{2D6B6E23-0203-4188-8F23-D2767A2E1547}" name="Column15916"/>
    <tableColumn id="15917" xr3:uid="{3E7B77D0-709A-4854-9F50-510F0A34C9D8}" name="Column15917"/>
    <tableColumn id="15918" xr3:uid="{12D0E3A9-E63F-4B74-9953-29BB7121A624}" name="Column15918"/>
    <tableColumn id="15919" xr3:uid="{026B4191-3AF3-4C53-89D3-2E481111EBB8}" name="Column15919"/>
    <tableColumn id="15920" xr3:uid="{ED84F9F1-DA0E-4186-B1EE-62AF69CD1840}" name="Column15920"/>
    <tableColumn id="15921" xr3:uid="{682DC9C7-7581-4013-B4D5-5846D7A3DD57}" name="Column15921"/>
    <tableColumn id="15922" xr3:uid="{39ED9311-11DD-4309-95F0-427103FEDB95}" name="Column15922"/>
    <tableColumn id="15923" xr3:uid="{4549D40C-28B6-4F11-9F3B-CA0FC1B7915E}" name="Column15923"/>
    <tableColumn id="15924" xr3:uid="{D02D384A-483B-4404-A370-8442A617E1CA}" name="Column15924"/>
    <tableColumn id="15925" xr3:uid="{D77C7D9E-3A01-4118-AE0A-0F9F181522E7}" name="Column15925"/>
    <tableColumn id="15926" xr3:uid="{6888FB91-E2EB-4DA8-9FB2-E0C579C4E207}" name="Column15926"/>
    <tableColumn id="15927" xr3:uid="{582A4BD1-458E-45DC-B5A8-285977AC133D}" name="Column15927"/>
    <tableColumn id="15928" xr3:uid="{FEA2FEC5-91A3-4C3C-8E40-49A71B182F9C}" name="Column15928"/>
    <tableColumn id="15929" xr3:uid="{5CB22E64-549B-4FCF-A7C9-DCC41206A7ED}" name="Column15929"/>
    <tableColumn id="15930" xr3:uid="{8FBB5F00-D155-4A3B-B399-A1660533FC4C}" name="Column15930"/>
    <tableColumn id="15931" xr3:uid="{2C6D08BB-D365-4EF7-A534-934F6DB17A4C}" name="Column15931"/>
    <tableColumn id="15932" xr3:uid="{7418D9F6-21CF-45C1-8807-D8218973A9CE}" name="Column15932"/>
    <tableColumn id="15933" xr3:uid="{EF66024E-F86A-4724-B91E-17E2076280AF}" name="Column15933"/>
    <tableColumn id="15934" xr3:uid="{958B32D2-6BC3-4DF2-AA78-39D06DEF8E0B}" name="Column15934"/>
    <tableColumn id="15935" xr3:uid="{9E8D6837-AE51-4F3C-AFEE-76B68C61826E}" name="Column15935"/>
    <tableColumn id="15936" xr3:uid="{75C8739A-854C-4155-B65A-2C2DAAEC04A0}" name="Column15936"/>
    <tableColumn id="15937" xr3:uid="{6A1F153D-46EA-49B6-9CC2-F6F7AD06E7DE}" name="Column15937"/>
    <tableColumn id="15938" xr3:uid="{0CCD199C-5CDE-40C6-921C-090AE418B483}" name="Column15938"/>
    <tableColumn id="15939" xr3:uid="{703C394C-DF16-49E2-920B-EEF3207069C3}" name="Column15939"/>
    <tableColumn id="15940" xr3:uid="{23C7F4C3-B38A-4710-AD38-ED87474176B5}" name="Column15940"/>
    <tableColumn id="15941" xr3:uid="{81CF2500-A335-4DAA-A647-782B4D12BB46}" name="Column15941"/>
    <tableColumn id="15942" xr3:uid="{25E22022-CE9B-4A01-ABA0-56AEB9350CB1}" name="Column15942"/>
    <tableColumn id="15943" xr3:uid="{ECDECE2F-A1BA-43F8-9522-94A224C5097D}" name="Column15943"/>
    <tableColumn id="15944" xr3:uid="{E7311EEA-F991-4935-9B16-25C984F3C99D}" name="Column15944"/>
    <tableColumn id="15945" xr3:uid="{0009A4BD-A097-4FF6-94E1-F2AF417AF482}" name="Column15945"/>
    <tableColumn id="15946" xr3:uid="{F5B77A65-7785-4873-A8E0-70F9EA194A78}" name="Column15946"/>
    <tableColumn id="15947" xr3:uid="{CEDFD53F-D2DC-444F-B9EC-E472B57B257E}" name="Column15947"/>
    <tableColumn id="15948" xr3:uid="{2AD6CF9A-B967-4A26-A648-EF045C828F28}" name="Column15948"/>
    <tableColumn id="15949" xr3:uid="{8EF1B35C-0A2F-42DA-84BA-FEB4FE82716A}" name="Column15949"/>
    <tableColumn id="15950" xr3:uid="{33291173-3760-4B4B-84EC-A6661C598F1E}" name="Column15950"/>
    <tableColumn id="15951" xr3:uid="{99965C8B-6978-4F28-9225-FEE3CBE48072}" name="Column15951"/>
    <tableColumn id="15952" xr3:uid="{7918BCF8-A041-4279-AC6E-E13990F55061}" name="Column15952"/>
    <tableColumn id="15953" xr3:uid="{C5F418A0-6549-46CA-92C8-D51F8F77B05B}" name="Column15953"/>
    <tableColumn id="15954" xr3:uid="{B2EEBCEF-FE4F-45C7-8314-5AE57FECF6F6}" name="Column15954"/>
    <tableColumn id="15955" xr3:uid="{746596D8-65C7-4920-8CAA-980C4874BF7A}" name="Column15955"/>
    <tableColumn id="15956" xr3:uid="{80CF17B2-5588-41E1-B97B-7C326CAA8458}" name="Column15956"/>
    <tableColumn id="15957" xr3:uid="{BAD737ED-34F6-444F-A56C-4A3F49EECD78}" name="Column15957"/>
    <tableColumn id="15958" xr3:uid="{9F373E33-EC41-4499-B7EB-869D9FFA5FFF}" name="Column15958"/>
    <tableColumn id="15959" xr3:uid="{E299BE36-4E6A-4E5E-923F-5BD0C5D0F42D}" name="Column15959"/>
    <tableColumn id="15960" xr3:uid="{E0A4774E-CD2B-4B41-AE5A-E96916381F75}" name="Column15960"/>
    <tableColumn id="15961" xr3:uid="{E538B937-8990-4955-8E7D-B50E93C1D289}" name="Column15961"/>
    <tableColumn id="15962" xr3:uid="{2D0A292C-0002-423B-8BDB-11F3086C9F80}" name="Column15962"/>
    <tableColumn id="15963" xr3:uid="{2DFECA56-70C1-457C-B4B0-8CB6B03F35E6}" name="Column15963"/>
    <tableColumn id="15964" xr3:uid="{1722C7FF-D075-40A0-970B-96D5596C841A}" name="Column15964"/>
    <tableColumn id="15965" xr3:uid="{B657B23C-89A9-43FF-8A6F-EAA2A09100D5}" name="Column15965"/>
    <tableColumn id="15966" xr3:uid="{AC9981AB-924F-4410-9714-B682CA618A5A}" name="Column15966"/>
    <tableColumn id="15967" xr3:uid="{9CE2557D-6D53-43D4-889B-A9463F01F663}" name="Column15967"/>
    <tableColumn id="15968" xr3:uid="{3C3C9520-58A3-4FD0-AD6E-69E8219517F8}" name="Column15968"/>
    <tableColumn id="15969" xr3:uid="{64528C2F-CA09-4B9B-B61A-E4B6489DEC46}" name="Column15969"/>
    <tableColumn id="15970" xr3:uid="{B559BD68-70FC-4B96-930C-97E77B49A832}" name="Column15970"/>
    <tableColumn id="15971" xr3:uid="{41079C51-E88B-4455-A480-A2804F6CBB9E}" name="Column15971"/>
    <tableColumn id="15972" xr3:uid="{D7180C39-2FFE-4AEB-845B-E220FE7422D4}" name="Column15972"/>
    <tableColumn id="15973" xr3:uid="{6A05BAA3-CE76-4E6E-AC1B-3EA0C7870601}" name="Column15973"/>
    <tableColumn id="15974" xr3:uid="{83F8927F-E48C-4261-8AE2-DD30B3F7B233}" name="Column15974"/>
    <tableColumn id="15975" xr3:uid="{606A490F-061D-42F4-AC29-2EDA8E8BB173}" name="Column15975"/>
    <tableColumn id="15976" xr3:uid="{63C1ED46-A4BD-41CA-94CD-813B0682642B}" name="Column15976"/>
    <tableColumn id="15977" xr3:uid="{447F59BA-4B28-4306-8436-568B6CF75CC4}" name="Column15977"/>
    <tableColumn id="15978" xr3:uid="{410B6FBB-8A74-4ED7-876B-4EFBFCFD962F}" name="Column15978"/>
    <tableColumn id="15979" xr3:uid="{16EC917C-E02F-4567-9B10-8F2981ADFD28}" name="Column15979"/>
    <tableColumn id="15980" xr3:uid="{9C93D22A-A599-4EA1-83CB-81E03BE1D0B6}" name="Column15980"/>
    <tableColumn id="15981" xr3:uid="{1F1DD566-E163-45E4-9492-B16383DB2B48}" name="Column15981"/>
    <tableColumn id="15982" xr3:uid="{7DFA98DE-1503-4AEF-9781-984F70EE0743}" name="Column15982"/>
    <tableColumn id="15983" xr3:uid="{019978C5-56A3-477B-A36A-E91ADACC7A3D}" name="Column15983"/>
    <tableColumn id="15984" xr3:uid="{A3DB087C-BA75-4C15-BD39-CFD4E17A439E}" name="Column15984"/>
    <tableColumn id="15985" xr3:uid="{72547A17-E6A9-4A26-A8DF-4083FEB0CDF7}" name="Column15985"/>
    <tableColumn id="15986" xr3:uid="{65FF17DF-1DDA-48BC-9A97-01423A18E9F4}" name="Column15986"/>
    <tableColumn id="15987" xr3:uid="{E81349AA-B3D0-4A78-A55C-B92777816394}" name="Column15987"/>
    <tableColumn id="15988" xr3:uid="{DBC2C97D-F496-440A-A158-BD85728CDCE3}" name="Column15988"/>
    <tableColumn id="15989" xr3:uid="{B7634421-2C9D-43D3-90DF-7ED17D7EB8A4}" name="Column15989"/>
    <tableColumn id="15990" xr3:uid="{E5BF9D2B-56A6-46DA-8CA5-F9C35E37C3B9}" name="Column15990"/>
    <tableColumn id="15991" xr3:uid="{C4D284D2-CFC9-4223-B91A-AF81B22315E2}" name="Column15991"/>
    <tableColumn id="15992" xr3:uid="{500B8ABF-B13E-4EC0-8051-D44090B5A8A1}" name="Column15992"/>
    <tableColumn id="15993" xr3:uid="{CCF4FF4F-D4A4-47C6-A0F5-AB5F662CEDFC}" name="Column15993"/>
    <tableColumn id="15994" xr3:uid="{084FD994-0C2F-49BF-9CEE-74ADA3D6A2AF}" name="Column15994"/>
    <tableColumn id="15995" xr3:uid="{799B08BB-9672-4952-89A8-2210CD22E896}" name="Column15995"/>
    <tableColumn id="15996" xr3:uid="{92E6FB81-A9B0-46A4-9261-D064D1B2667A}" name="Column15996"/>
    <tableColumn id="15997" xr3:uid="{9FC66C11-FBC6-4D28-BD52-2431B5A5B680}" name="Column15997"/>
    <tableColumn id="15998" xr3:uid="{CB226271-39FE-48C7-B788-B89099FA109B}" name="Column15998"/>
    <tableColumn id="15999" xr3:uid="{C0A36FEB-F84B-428D-ADC3-3139EC9883EA}" name="Column15999"/>
    <tableColumn id="16000" xr3:uid="{A3501E6A-1339-469C-AA37-F8AF5FB367AC}" name="Column16000"/>
    <tableColumn id="16001" xr3:uid="{BCB3A156-1717-426C-A1C4-120B3FA3A072}" name="Column16001"/>
    <tableColumn id="16002" xr3:uid="{56EF101B-F291-4253-B242-3C2C69C0DB56}" name="Column16002"/>
    <tableColumn id="16003" xr3:uid="{DC3FC090-A77A-4D3D-BF20-923F2EE66D9F}" name="Column16003"/>
    <tableColumn id="16004" xr3:uid="{51B6EE71-D0D1-4A76-A750-D6197817B504}" name="Column16004"/>
    <tableColumn id="16005" xr3:uid="{489C457D-04C0-4A13-A520-B902AB4984DA}" name="Column16005"/>
    <tableColumn id="16006" xr3:uid="{4C083FD1-95AE-4C23-BB06-E3B62DF77B20}" name="Column16006"/>
    <tableColumn id="16007" xr3:uid="{C845B8E4-4814-4A8B-A865-EB6E40E99329}" name="Column16007"/>
    <tableColumn id="16008" xr3:uid="{F734B09C-9059-4EA4-B263-42A26A28593C}" name="Column16008"/>
    <tableColumn id="16009" xr3:uid="{D8705ACE-2C8C-4024-AF62-548AE0472B40}" name="Column16009"/>
    <tableColumn id="16010" xr3:uid="{6B578D52-55CD-4AAB-873B-417D984BCD20}" name="Column16010"/>
    <tableColumn id="16011" xr3:uid="{387BB849-1831-4D93-BCBA-AADA40A7F36B}" name="Column16011"/>
    <tableColumn id="16012" xr3:uid="{288D5612-19BF-408B-A4CA-A31350CDA7D3}" name="Column16012"/>
    <tableColumn id="16013" xr3:uid="{9343240B-8F3E-4C96-AF0B-3710714A5FEC}" name="Column16013"/>
    <tableColumn id="16014" xr3:uid="{DBC24AFB-6FB4-40DB-B12F-7021B7A7172E}" name="Column16014"/>
    <tableColumn id="16015" xr3:uid="{1C5E59BA-A3E3-4B65-B986-6F2993FE73AB}" name="Column16015"/>
    <tableColumn id="16016" xr3:uid="{298808DF-653C-45B1-96ED-B30162D79F04}" name="Column16016"/>
    <tableColumn id="16017" xr3:uid="{754D0198-4776-4DCB-B697-B7FB79F3A45D}" name="Column16017"/>
    <tableColumn id="16018" xr3:uid="{8320910D-5831-4011-9AE6-C1DCD50A5C70}" name="Column16018"/>
    <tableColumn id="16019" xr3:uid="{5C95152E-9AAE-4718-84DF-26DCFB0BC04D}" name="Column16019"/>
    <tableColumn id="16020" xr3:uid="{A84B1ED3-B754-4DFA-A314-74F948B3805C}" name="Column16020"/>
    <tableColumn id="16021" xr3:uid="{F988C731-931C-48FF-A00A-133D220ACB3D}" name="Column16021"/>
    <tableColumn id="16022" xr3:uid="{9C31253D-1BEE-476D-85CB-B233FFB1C1B9}" name="Column16022"/>
    <tableColumn id="16023" xr3:uid="{CA30AFBC-D75F-4BF3-B5EE-6FE844CD933F}" name="Column16023"/>
    <tableColumn id="16024" xr3:uid="{BC4C6127-A3A4-464F-AF88-A4D35C2FE9B9}" name="Column16024"/>
    <tableColumn id="16025" xr3:uid="{507DC343-2E9B-47C9-A075-E5725D46B1C6}" name="Column16025"/>
    <tableColumn id="16026" xr3:uid="{A85343E2-C978-4422-B2F8-1FD6D6EE7F6A}" name="Column16026"/>
    <tableColumn id="16027" xr3:uid="{4873D23A-B477-4D0E-809A-ED2515F93EEF}" name="Column16027"/>
    <tableColumn id="16028" xr3:uid="{E52DA432-58B0-4D30-A556-E074AADC11A1}" name="Column16028"/>
    <tableColumn id="16029" xr3:uid="{98DCE9FC-EBB5-49DC-AE01-1C43EE4BA2A1}" name="Column16029"/>
    <tableColumn id="16030" xr3:uid="{ACECB8E6-5DEB-402D-8DF7-DBB6C6BD08C6}" name="Column16030"/>
    <tableColumn id="16031" xr3:uid="{15E3B6B4-4006-42DD-9762-EBF72237A8AB}" name="Column16031"/>
    <tableColumn id="16032" xr3:uid="{AC7987B7-EB46-42A3-8595-671133B125A8}" name="Column16032"/>
    <tableColumn id="16033" xr3:uid="{1FC1CEFD-72D8-41BD-9E36-7633D9222358}" name="Column16033"/>
    <tableColumn id="16034" xr3:uid="{1235413C-4172-458B-93A1-A2DC39632372}" name="Column16034"/>
    <tableColumn id="16035" xr3:uid="{9ABF7605-6102-4A1F-8C07-2BBDEAD4061F}" name="Column16035"/>
    <tableColumn id="16036" xr3:uid="{6EFBF69D-E909-4AA6-9200-4D4FFF7AFF22}" name="Column16036"/>
    <tableColumn id="16037" xr3:uid="{E842C4BF-5E86-43ED-876D-F370402675AF}" name="Column16037"/>
    <tableColumn id="16038" xr3:uid="{5F2D317F-868C-4C28-9874-599EFB381794}" name="Column16038"/>
    <tableColumn id="16039" xr3:uid="{CA02C129-818B-4EF5-AED0-AE038E4604F9}" name="Column16039"/>
    <tableColumn id="16040" xr3:uid="{DEDEA518-384E-419C-92D7-003C6026960F}" name="Column16040"/>
    <tableColumn id="16041" xr3:uid="{E6448C79-859A-4489-B3F0-AE868018FC10}" name="Column16041"/>
    <tableColumn id="16042" xr3:uid="{5930B7C6-D794-4D13-8183-25029546229A}" name="Column16042"/>
    <tableColumn id="16043" xr3:uid="{5C6BECF3-6DD3-47C0-82DC-751897BF7E3B}" name="Column16043"/>
    <tableColumn id="16044" xr3:uid="{D25BB9FC-2FA6-44B1-AFA5-B6CF580970F6}" name="Column16044"/>
    <tableColumn id="16045" xr3:uid="{7536880C-5304-402A-A7C8-F1C265628B18}" name="Column16045"/>
    <tableColumn id="16046" xr3:uid="{59D79468-67AE-4028-9397-4055FFCDD697}" name="Column16046"/>
    <tableColumn id="16047" xr3:uid="{4774204E-20B1-4395-986C-5FA79DF32527}" name="Column16047"/>
    <tableColumn id="16048" xr3:uid="{0735DF0A-FE1E-472B-AA9A-655AFBD26C9A}" name="Column16048"/>
    <tableColumn id="16049" xr3:uid="{2735C01F-6A24-4B74-8D0C-9C0656F0A2C0}" name="Column16049"/>
    <tableColumn id="16050" xr3:uid="{587A36EE-CA0E-4949-A2A7-FEEBAF95DFAF}" name="Column16050"/>
    <tableColumn id="16051" xr3:uid="{4CDCAC7D-510E-477D-9769-B6FB4EEA367E}" name="Column16051"/>
    <tableColumn id="16052" xr3:uid="{2C2EBB15-365F-4130-8812-4BB10CF4ECB5}" name="Column16052"/>
    <tableColumn id="16053" xr3:uid="{9DC6C48E-0923-4D52-8DF7-987DFCEB170B}" name="Column16053"/>
    <tableColumn id="16054" xr3:uid="{3406DB16-7B18-4F2C-AA65-69C891034E14}" name="Column16054"/>
    <tableColumn id="16055" xr3:uid="{D1061C27-DD2C-4D24-B7EE-49C8F6D4F91C}" name="Column16055"/>
    <tableColumn id="16056" xr3:uid="{A5D292CB-A9E9-47AF-9CAA-69C947C0D54C}" name="Column16056"/>
    <tableColumn id="16057" xr3:uid="{387D94B1-3F0D-4F17-B0F8-804CC369AE1F}" name="Column16057"/>
    <tableColumn id="16058" xr3:uid="{74F388CC-C7E7-4838-A1FF-0B4EC5634D52}" name="Column16058"/>
    <tableColumn id="16059" xr3:uid="{0EEC9D6B-2AFF-4C81-B06E-C9C47F6C0957}" name="Column16059"/>
    <tableColumn id="16060" xr3:uid="{51CB4A53-F5F4-4AA9-9BDD-847D858720E7}" name="Column16060"/>
    <tableColumn id="16061" xr3:uid="{00C0D898-3C40-4332-B623-C0625FAEF291}" name="Column16061"/>
    <tableColumn id="16062" xr3:uid="{5B209C5A-2B7E-4FEE-9436-292EE6AD7196}" name="Column16062"/>
    <tableColumn id="16063" xr3:uid="{AC92B78B-9A02-4E92-AF50-70474455C79F}" name="Column16063"/>
    <tableColumn id="16064" xr3:uid="{9A5C2EBF-986A-49BF-A7CC-71D3F0C84BD4}" name="Column16064"/>
    <tableColumn id="16065" xr3:uid="{3873CBA6-37E8-4C24-A735-F88C203E1930}" name="Column16065"/>
    <tableColumn id="16066" xr3:uid="{44FEEE96-DDFB-4D59-BF6A-086722DB561E}" name="Column16066"/>
    <tableColumn id="16067" xr3:uid="{56A10DD9-566F-4D27-BBB7-D0E1AAC47DD9}" name="Column16067"/>
    <tableColumn id="16068" xr3:uid="{ED8D704F-E78C-4DD6-A85D-4BD82D58E0E9}" name="Column16068"/>
    <tableColumn id="16069" xr3:uid="{4C2631BF-01D3-459B-9C84-8B061808482A}" name="Column16069"/>
    <tableColumn id="16070" xr3:uid="{FD62757A-F62C-486A-8C1B-711B0B5C4C2C}" name="Column16070"/>
    <tableColumn id="16071" xr3:uid="{5E5F437B-BFC4-45C3-AE14-EEE849E98739}" name="Column16071"/>
    <tableColumn id="16072" xr3:uid="{52C2747B-2ABE-4247-8B50-1F2655F62756}" name="Column16072"/>
    <tableColumn id="16073" xr3:uid="{C18EACE9-B092-47F5-8498-3FE032557EF0}" name="Column16073"/>
    <tableColumn id="16074" xr3:uid="{46E1BEB8-7E74-4EBD-8238-46BB7343F11B}" name="Column16074"/>
    <tableColumn id="16075" xr3:uid="{0AD18761-AB2D-42FC-A391-745A448D779C}" name="Column16075"/>
    <tableColumn id="16076" xr3:uid="{875E7B55-8803-4A32-B905-FCF1ED0D9F56}" name="Column16076"/>
    <tableColumn id="16077" xr3:uid="{4880BBB6-C8B3-48B9-9DB1-555329B3003A}" name="Column16077"/>
    <tableColumn id="16078" xr3:uid="{2C3F8D41-9056-4E66-AAE6-3F221BBBFB9B}" name="Column16078"/>
    <tableColumn id="16079" xr3:uid="{BF576D1F-67C1-435B-804F-5DEC3CCEB8C5}" name="Column16079"/>
    <tableColumn id="16080" xr3:uid="{7AF5755A-8DF6-4C40-83B2-F5550DB6DB2F}" name="Column16080"/>
    <tableColumn id="16081" xr3:uid="{4A3ECB22-3B5F-4022-9951-98F0BEFA9D22}" name="Column16081"/>
    <tableColumn id="16082" xr3:uid="{7FA114BE-EBEB-449E-B5FF-E414A8C2C733}" name="Column16082"/>
    <tableColumn id="16083" xr3:uid="{8118C8E6-93CB-4F14-9659-9C99D51DD216}" name="Column16083"/>
    <tableColumn id="16084" xr3:uid="{18480863-7C1D-4D22-8F91-F8C704AD645F}" name="Column16084"/>
    <tableColumn id="16085" xr3:uid="{ACFF8B1C-AC45-4012-B513-2268017B8DF9}" name="Column16085"/>
    <tableColumn id="16086" xr3:uid="{739928F2-AFEB-4406-900B-E82F07F88519}" name="Column16086"/>
    <tableColumn id="16087" xr3:uid="{A390C954-67F4-49B1-B87F-C8DA5664223A}" name="Column16087"/>
    <tableColumn id="16088" xr3:uid="{1927310E-7645-4E96-ABCC-8331A802005F}" name="Column16088"/>
    <tableColumn id="16089" xr3:uid="{2AD34B4D-2624-4A86-91B6-03168610798C}" name="Column16089"/>
    <tableColumn id="16090" xr3:uid="{B41C0C8A-0172-4093-A6B5-C015B33510D4}" name="Column16090"/>
    <tableColumn id="16091" xr3:uid="{157B2C50-6420-4527-BC5D-0720A32C2989}" name="Column16091"/>
    <tableColumn id="16092" xr3:uid="{62880E1F-97CC-4E28-80BA-831FC18F0D58}" name="Column16092"/>
    <tableColumn id="16093" xr3:uid="{BC320D38-69EB-415C-AFA8-3499C1DD8A11}" name="Column16093"/>
    <tableColumn id="16094" xr3:uid="{3229ECD7-0E72-4D3E-988F-C86418DAE7CC}" name="Column16094"/>
    <tableColumn id="16095" xr3:uid="{DC363368-25C4-4F26-A421-80693A33A70C}" name="Column16095"/>
    <tableColumn id="16096" xr3:uid="{668A6C5E-F163-4CF9-A575-041E80376121}" name="Column16096"/>
    <tableColumn id="16097" xr3:uid="{6B2D29D0-22A8-4DBA-BB53-9E8160C6BB10}" name="Column16097"/>
    <tableColumn id="16098" xr3:uid="{F952032B-1B84-4F19-A018-989EC5B7B399}" name="Column16098"/>
    <tableColumn id="16099" xr3:uid="{7E11DDC5-B311-4C08-8FF9-DEAD243D8B2C}" name="Column16099"/>
    <tableColumn id="16100" xr3:uid="{5CE35F75-247A-403A-8C65-3CA25D1E96E2}" name="Column16100"/>
    <tableColumn id="16101" xr3:uid="{269224DA-033E-45E5-8411-64AD43BFFB43}" name="Column16101"/>
    <tableColumn id="16102" xr3:uid="{F6B975AC-31E6-453E-8838-A61026A26157}" name="Column16102"/>
    <tableColumn id="16103" xr3:uid="{53F3B62C-B845-4A82-B385-C2C18F06DB6E}" name="Column16103"/>
    <tableColumn id="16104" xr3:uid="{2F3DD0E4-9290-48FC-B9DF-B559469204AD}" name="Column16104"/>
    <tableColumn id="16105" xr3:uid="{FE645788-480A-4449-B21E-B84396725CAC}" name="Column16105"/>
    <tableColumn id="16106" xr3:uid="{A2E1972E-CB7F-4635-A0EF-DDAB8544B9CE}" name="Column16106"/>
    <tableColumn id="16107" xr3:uid="{64E57CE1-86FA-4AA0-BAB0-88E4D46B0889}" name="Column16107"/>
    <tableColumn id="16108" xr3:uid="{6B9949CF-B8EA-4696-97B6-84A6416991AC}" name="Column16108"/>
    <tableColumn id="16109" xr3:uid="{73F6F791-3DC6-4C19-B0C9-F58094E253FA}" name="Column16109"/>
    <tableColumn id="16110" xr3:uid="{32EDADF3-56B4-48C8-B464-D32FBA563922}" name="Column16110"/>
    <tableColumn id="16111" xr3:uid="{180EBF0E-A4B6-46EC-B57D-03E85807ECED}" name="Column16111"/>
    <tableColumn id="16112" xr3:uid="{10239651-CD63-4803-B808-0BBDD9C9E4EB}" name="Column16112"/>
    <tableColumn id="16113" xr3:uid="{ECEDEC4C-C0C1-4B65-932D-201D0A57FA43}" name="Column16113"/>
    <tableColumn id="16114" xr3:uid="{089B95C6-E68F-4E7C-B9CF-D333831E68BD}" name="Column16114"/>
    <tableColumn id="16115" xr3:uid="{F3FF36E5-59A7-4FC7-9945-7217CAF59ED8}" name="Column16115"/>
    <tableColumn id="16116" xr3:uid="{4D31E5ED-7E02-4B89-9030-F606BDD84337}" name="Column16116"/>
    <tableColumn id="16117" xr3:uid="{D38F4722-00D8-4390-8AF9-E243A8D0FD59}" name="Column16117"/>
    <tableColumn id="16118" xr3:uid="{7643C186-3EE6-455D-A0DD-A5026419D029}" name="Column16118"/>
    <tableColumn id="16119" xr3:uid="{F3FA52E8-6A75-4592-A13B-0737A2A3118C}" name="Column16119"/>
    <tableColumn id="16120" xr3:uid="{0E660F50-B203-44F4-974C-672645E7D72A}" name="Column16120"/>
    <tableColumn id="16121" xr3:uid="{0FE8DB74-792E-4F7F-B802-6E841447C6C0}" name="Column16121"/>
    <tableColumn id="16122" xr3:uid="{FCF29BB0-76D7-45EB-ADDE-66CAE2623E1C}" name="Column16122"/>
    <tableColumn id="16123" xr3:uid="{55CDDAE9-62CC-4BB6-BA74-F885C9290D59}" name="Column16123"/>
    <tableColumn id="16124" xr3:uid="{9D81116D-9DA1-4A89-BCF6-B7E9A4DE3621}" name="Column16124"/>
    <tableColumn id="16125" xr3:uid="{1071AC90-10E9-486A-98BA-C7C0031B3003}" name="Column16125"/>
    <tableColumn id="16126" xr3:uid="{12A94FC5-519F-411A-A1AF-4F732572E780}" name="Column16126"/>
    <tableColumn id="16127" xr3:uid="{DF0099A1-CEC1-4170-A004-599A5F88BFFA}" name="Column16127"/>
    <tableColumn id="16128" xr3:uid="{A4397983-75F6-484B-9E2A-EDFCE95D5D3B}" name="Column16128"/>
    <tableColumn id="16129" xr3:uid="{DB7B6265-64E6-441A-8779-EF258F03C6FC}" name="Column16129"/>
    <tableColumn id="16130" xr3:uid="{CE100881-2BD7-461B-93D0-477889B15588}" name="Column16130"/>
    <tableColumn id="16131" xr3:uid="{1DD03604-7EED-4AC5-98D1-5E4E59CAA173}" name="Column16131"/>
    <tableColumn id="16132" xr3:uid="{2B575381-7CDD-46BA-8AF0-A2309A85A05C}" name="Column16132"/>
    <tableColumn id="16133" xr3:uid="{A10F0B3B-4FCE-4C7E-8055-6B1763010AC1}" name="Column16133"/>
    <tableColumn id="16134" xr3:uid="{C7F41BAD-C670-4884-B1A4-B209BC0D1115}" name="Column16134"/>
    <tableColumn id="16135" xr3:uid="{2748BBE1-90C4-4C01-8AEE-55846B46428B}" name="Column16135"/>
    <tableColumn id="16136" xr3:uid="{17946D8F-FF90-498C-8CAA-F9DDBC207B32}" name="Column16136"/>
    <tableColumn id="16137" xr3:uid="{AF5CD275-E89B-487A-BFD8-9DBB18BAB09E}" name="Column16137"/>
    <tableColumn id="16138" xr3:uid="{C88DA2CA-3C9F-4340-B7E5-8910F38B8066}" name="Column16138"/>
    <tableColumn id="16139" xr3:uid="{E38AC99C-2FDF-461E-B583-0271CED77036}" name="Column16139"/>
    <tableColumn id="16140" xr3:uid="{7057685D-6293-49B2-B95F-570A5DDCBD19}" name="Column16140"/>
    <tableColumn id="16141" xr3:uid="{82336B78-DA04-447B-A84C-C2FC6407DB48}" name="Column16141"/>
    <tableColumn id="16142" xr3:uid="{98C007A9-867A-4C8B-8DD2-BA3D6DD38B33}" name="Column16142"/>
    <tableColumn id="16143" xr3:uid="{BA114774-9A8C-4D1B-838E-3D33097149E2}" name="Column16143"/>
    <tableColumn id="16144" xr3:uid="{757DF0D2-D1AD-421C-B8EF-C13B0F6F4F54}" name="Column16144"/>
    <tableColumn id="16145" xr3:uid="{1FC5BFC5-13B6-4148-99F6-BDB2372ECDE5}" name="Column16145"/>
    <tableColumn id="16146" xr3:uid="{A5F97836-623E-4565-8402-11DE61F2180B}" name="Column16146"/>
    <tableColumn id="16147" xr3:uid="{7CA5696A-1958-4402-83AE-755C2BF8553A}" name="Column16147"/>
    <tableColumn id="16148" xr3:uid="{DC47741C-594D-4682-8F0D-FC441D532BF7}" name="Column16148"/>
    <tableColumn id="16149" xr3:uid="{CBDC1FC4-D7F6-4A39-B8B8-75A30BAA8CBA}" name="Column16149"/>
    <tableColumn id="16150" xr3:uid="{7C911678-5A62-4188-BF27-723F517ADFBA}" name="Column16150"/>
    <tableColumn id="16151" xr3:uid="{63FF4E97-31F0-40C9-902A-F409C8D73DD2}" name="Column16151"/>
    <tableColumn id="16152" xr3:uid="{D0019153-3663-424C-A226-6D9E4B44901E}" name="Column16152"/>
    <tableColumn id="16153" xr3:uid="{0574224B-1EAD-46E2-9784-D90A6F88A5DC}" name="Column16153"/>
    <tableColumn id="16154" xr3:uid="{8F475505-39FC-4DCA-947F-CC79C336FEFD}" name="Column16154"/>
    <tableColumn id="16155" xr3:uid="{3E576D91-8E64-4A05-B0C8-424BC2BBD58D}" name="Column16155"/>
    <tableColumn id="16156" xr3:uid="{C2FDC316-A3C9-4D55-85C2-A9B2917821DB}" name="Column16156"/>
    <tableColumn id="16157" xr3:uid="{1E54374D-BBD2-466D-AEC2-B41FB2BF77F9}" name="Column16157"/>
    <tableColumn id="16158" xr3:uid="{473C64A6-9F14-4BFB-916B-A2504664D68E}" name="Column16158"/>
    <tableColumn id="16159" xr3:uid="{9B612A84-AB93-4BD5-8B77-C82BAD598F8F}" name="Column16159"/>
    <tableColumn id="16160" xr3:uid="{BB368F9B-948F-437B-8FFA-C9AD0588B09A}" name="Column16160"/>
    <tableColumn id="16161" xr3:uid="{76A3926E-506C-430A-8EAF-C498F06A2E8F}" name="Column16161"/>
    <tableColumn id="16162" xr3:uid="{A381D152-418C-4130-A1EE-C337B6436CCD}" name="Column16162"/>
    <tableColumn id="16163" xr3:uid="{2B90FD00-16A4-4451-87E8-C70ACA97EAD6}" name="Column16163"/>
    <tableColumn id="16164" xr3:uid="{788E763D-4CE9-49D3-9891-D24FE6B130E0}" name="Column16164"/>
    <tableColumn id="16165" xr3:uid="{0420F08A-29DC-48CA-A0B0-5BAF5F3342CE}" name="Column16165"/>
    <tableColumn id="16166" xr3:uid="{2A891A1D-2420-41A4-BF58-8AFA0D690CCA}" name="Column16166"/>
    <tableColumn id="16167" xr3:uid="{B1F2F853-A62B-466F-8940-1A2EBD674AB7}" name="Column16167"/>
    <tableColumn id="16168" xr3:uid="{E34954E9-101C-4675-9362-1B5CDBBBC555}" name="Column16168"/>
    <tableColumn id="16169" xr3:uid="{5F2B4124-4817-4433-9349-8FE675FEF147}" name="Column16169"/>
    <tableColumn id="16170" xr3:uid="{ED4A80FD-50C8-44B6-96EF-D3965F01A0E4}" name="Column16170"/>
    <tableColumn id="16171" xr3:uid="{83C123AF-B81B-4235-983C-9F7AB8ACA6F6}" name="Column16171"/>
    <tableColumn id="16172" xr3:uid="{5CB53356-F826-41CB-B3BF-BBA1EA7BB6D0}" name="Column16172"/>
    <tableColumn id="16173" xr3:uid="{15875B6E-214D-44E8-BBC3-68B78A6BF5C4}" name="Column16173"/>
    <tableColumn id="16174" xr3:uid="{40E00D9E-10C7-4551-910F-AC42883266C2}" name="Column16174"/>
    <tableColumn id="16175" xr3:uid="{B2DB28B4-9A65-4C92-8E4D-2DAC02F6119F}" name="Column16175"/>
    <tableColumn id="16176" xr3:uid="{6E1E65E4-65D6-428C-97AC-4861C355E3A2}" name="Column16176"/>
    <tableColumn id="16177" xr3:uid="{50B50525-BEA0-410E-86E0-A755CD684D79}" name="Column16177"/>
    <tableColumn id="16178" xr3:uid="{F87FA505-58F6-4904-A6DE-9F01728CBB3D}" name="Column16178"/>
    <tableColumn id="16179" xr3:uid="{B2CA10A0-1FB5-4F92-9706-A9C97505F197}" name="Column16179"/>
    <tableColumn id="16180" xr3:uid="{C38BD744-12F2-46F0-A90D-ACB5B87935A1}" name="Column16180"/>
    <tableColumn id="16181" xr3:uid="{124962D0-EE23-44CC-8112-5C08A4392D52}" name="Column16181"/>
    <tableColumn id="16182" xr3:uid="{0D23ECB2-075D-49BE-914A-6BE9B621147D}" name="Column16182"/>
    <tableColumn id="16183" xr3:uid="{A39A6121-BD8A-4B01-8E33-26A1A80EC237}" name="Column16183"/>
    <tableColumn id="16184" xr3:uid="{666AEA90-8EE2-4BA3-8B9C-6F5EB49BD7CD}" name="Column16184"/>
    <tableColumn id="16185" xr3:uid="{7695AE78-56F8-4029-ABD9-B43518F4F98B}" name="Column16185"/>
    <tableColumn id="16186" xr3:uid="{FABE3CCD-A1BD-4CF1-ADB0-929E5004550E}" name="Column16186"/>
    <tableColumn id="16187" xr3:uid="{BC5EA07C-FFB4-4290-8E00-96918A8E0727}" name="Column16187"/>
    <tableColumn id="16188" xr3:uid="{91776587-DB53-4CC4-B9C2-7EFDE26F34EC}" name="Column16188"/>
    <tableColumn id="16189" xr3:uid="{F217C166-9EBA-4064-BE8B-7D2D09FCE3A1}" name="Column16189"/>
    <tableColumn id="16190" xr3:uid="{FBBE96CF-BD9D-4448-9863-B7323D15B1BA}" name="Column16190"/>
    <tableColumn id="16191" xr3:uid="{E5501B69-DD77-4DE5-ABD1-643275D251A7}" name="Column16191"/>
    <tableColumn id="16192" xr3:uid="{130850CB-3ACC-4164-A315-2C6598B23288}" name="Column16192"/>
    <tableColumn id="16193" xr3:uid="{48423598-490E-4F86-AA41-ADBFA069D59D}" name="Column16193"/>
    <tableColumn id="16194" xr3:uid="{7410E83E-03BD-4496-9234-8F538B4ACB57}" name="Column16194"/>
    <tableColumn id="16195" xr3:uid="{99A3FFAE-A532-4117-ADD8-AEC9A7A6F713}" name="Column16195"/>
    <tableColumn id="16196" xr3:uid="{8B65D82C-4BB9-4487-A6B5-0E90E8C83FCA}" name="Column16196"/>
    <tableColumn id="16197" xr3:uid="{920F72D1-C357-470A-8B70-77AAF99C25F0}" name="Column16197"/>
    <tableColumn id="16198" xr3:uid="{C3541428-8E31-4C8A-AC6E-674FBBFFA42A}" name="Column16198"/>
    <tableColumn id="16199" xr3:uid="{54DE0C81-6D44-4A6A-A7D7-D7470AB9BE3F}" name="Column16199"/>
    <tableColumn id="16200" xr3:uid="{5349A06F-CDFB-4A0A-9A96-B83832253603}" name="Column16200"/>
    <tableColumn id="16201" xr3:uid="{AD138569-CDE1-467C-BF68-216D085C4204}" name="Column16201"/>
    <tableColumn id="16202" xr3:uid="{178140A2-2F78-4F86-9072-4229B25767FC}" name="Column16202"/>
    <tableColumn id="16203" xr3:uid="{F1BD488A-B56C-4944-AA44-D2B1E6518A5E}" name="Column16203"/>
    <tableColumn id="16204" xr3:uid="{2606A046-3CC6-45D5-9DCE-69154891D9DC}" name="Column16204"/>
    <tableColumn id="16205" xr3:uid="{8B472B01-6A67-41EB-AB5A-9A13A36E3875}" name="Column16205"/>
    <tableColumn id="16206" xr3:uid="{A634B20D-31B6-46D7-B374-8AF1576B5691}" name="Column16206"/>
    <tableColumn id="16207" xr3:uid="{6478D653-98A7-4EEC-8664-2276BF6EDF3C}" name="Column16207"/>
    <tableColumn id="16208" xr3:uid="{7C855313-4DB4-4E50-A216-725B3E6D2706}" name="Column16208"/>
    <tableColumn id="16209" xr3:uid="{CAD4A430-8ACC-415C-95C6-046440345AE2}" name="Column16209"/>
    <tableColumn id="16210" xr3:uid="{73D2E77C-C56D-482A-80F7-36A7040CC362}" name="Column16210"/>
    <tableColumn id="16211" xr3:uid="{C5E4B0E8-EAD0-42A2-8AE5-76FF2A842855}" name="Column16211"/>
    <tableColumn id="16212" xr3:uid="{002C924F-CA35-4D53-A314-B98093681352}" name="Column16212"/>
    <tableColumn id="16213" xr3:uid="{1A6E94BB-5A30-47AF-B9AC-1BDFF13E2BF1}" name="Column16213"/>
    <tableColumn id="16214" xr3:uid="{D44CE1E2-3E70-4CCF-9EEC-CF9437973A6B}" name="Column16214"/>
    <tableColumn id="16215" xr3:uid="{0984A3D4-0D61-4708-B7E5-4A7C31DC22B1}" name="Column16215"/>
    <tableColumn id="16216" xr3:uid="{D484774D-851F-4556-8A6F-F9204E7DE4C4}" name="Column16216"/>
    <tableColumn id="16217" xr3:uid="{48B81BFC-0AD3-420A-B0B2-F3480248B2E5}" name="Column16217"/>
    <tableColumn id="16218" xr3:uid="{38930AC8-A95D-4766-B6F9-129573C6FFCF}" name="Column16218"/>
    <tableColumn id="16219" xr3:uid="{47DC8045-EE29-4883-B0D1-1A2A279D2DA5}" name="Column16219"/>
    <tableColumn id="16220" xr3:uid="{5D9E86D0-C9F0-4F3B-BD1F-DF8997C503B9}" name="Column16220"/>
    <tableColumn id="16221" xr3:uid="{390D88B7-B5F4-4885-B7B2-C6163B1B23AD}" name="Column16221"/>
    <tableColumn id="16222" xr3:uid="{7145C0E2-42AF-487D-9A3C-3038F6C6F882}" name="Column16222"/>
    <tableColumn id="16223" xr3:uid="{A5C34D16-38A7-46A1-B07B-AC7B5D0BD5F1}" name="Column16223"/>
    <tableColumn id="16224" xr3:uid="{92E59199-8849-472D-AEAF-22C7E83F5115}" name="Column16224"/>
    <tableColumn id="16225" xr3:uid="{AD46FDDC-3341-489D-8F4F-E9ACD3EA84D5}" name="Column16225"/>
    <tableColumn id="16226" xr3:uid="{92CE268C-29D7-4B45-8509-A1E92489D15A}" name="Column16226"/>
    <tableColumn id="16227" xr3:uid="{E38ACBBD-257E-44E8-B408-D0DCEB81E5CF}" name="Column16227"/>
    <tableColumn id="16228" xr3:uid="{44FAA4B4-3E48-472C-BDB9-BF322E4865E6}" name="Column16228"/>
    <tableColumn id="16229" xr3:uid="{09E950F9-4B7B-4CAA-87D3-605FD2C8CEAF}" name="Column16229"/>
    <tableColumn id="16230" xr3:uid="{6D6AF0FF-2ECF-47A8-96F5-5EEAB1BEF72A}" name="Column16230"/>
    <tableColumn id="16231" xr3:uid="{32B08F1F-119E-40E3-852E-26549B2478F4}" name="Column16231"/>
    <tableColumn id="16232" xr3:uid="{5396A7A8-FC09-45EB-BCDA-1C8DFFFDB629}" name="Column16232"/>
    <tableColumn id="16233" xr3:uid="{847A6177-6596-48D5-AE0B-778FB5196B92}" name="Column16233"/>
    <tableColumn id="16234" xr3:uid="{A2A11582-40FB-4F02-B550-03CD6EF7D6E3}" name="Column16234"/>
    <tableColumn id="16235" xr3:uid="{293886D2-1099-489E-A2D9-8E3A2404FF8B}" name="Column16235"/>
    <tableColumn id="16236" xr3:uid="{130FF9DD-E36A-4D2E-AA06-2AA3D0EB223B}" name="Column16236"/>
    <tableColumn id="16237" xr3:uid="{E5456D2A-DB6A-4752-A272-C051CC07C04C}" name="Column16237"/>
    <tableColumn id="16238" xr3:uid="{EA169DF4-D8B0-4D3E-9EEB-59D768F76034}" name="Column16238"/>
    <tableColumn id="16239" xr3:uid="{FBCC149C-3F9E-4BE9-B726-4F0A5E56EA56}" name="Column16239"/>
    <tableColumn id="16240" xr3:uid="{297000FC-6924-4C5B-B524-B037F2F4D585}" name="Column16240"/>
    <tableColumn id="16241" xr3:uid="{CF375EA8-857A-4FA4-8C69-FA5A63E88F96}" name="Column16241"/>
    <tableColumn id="16242" xr3:uid="{58C3F229-74DD-4BD5-8EF0-AB2D098FFF2D}" name="Column16242"/>
    <tableColumn id="16243" xr3:uid="{DEC102FE-33AA-4279-ABFC-56E924A80E03}" name="Column16243"/>
    <tableColumn id="16244" xr3:uid="{B1285B93-BFD5-4FEF-9D5B-6853360D005B}" name="Column16244"/>
    <tableColumn id="16245" xr3:uid="{0FA56D89-2042-4BB1-A775-7BB6852CE6A2}" name="Column16245"/>
    <tableColumn id="16246" xr3:uid="{6BB48CEC-3350-4308-AAC6-F807E81B9973}" name="Column16246"/>
    <tableColumn id="16247" xr3:uid="{B11CB1BF-AA6E-42EB-BB0F-812117E2EC40}" name="Column16247"/>
    <tableColumn id="16248" xr3:uid="{8B4EDF71-FCDB-4213-9F6B-3F8D9AADA3A7}" name="Column16248"/>
    <tableColumn id="16249" xr3:uid="{B391D6ED-780E-40C3-BC34-57E3BBBEF3E9}" name="Column16249"/>
    <tableColumn id="16250" xr3:uid="{E1969049-25DC-4B01-A115-CB0444C53EC8}" name="Column16250"/>
    <tableColumn id="16251" xr3:uid="{93A5613C-B633-42AA-84E2-272742FFE0F2}" name="Column16251"/>
    <tableColumn id="16252" xr3:uid="{5CE57EDC-5F83-477B-9A3B-CDF61EBA187C}" name="Column16252"/>
    <tableColumn id="16253" xr3:uid="{9554290F-5E01-4CAA-8F1C-967521D95EE9}" name="Column16253"/>
    <tableColumn id="16254" xr3:uid="{C9A66BB7-A877-4A2D-88C8-B6CE1BD27C95}" name="Column16254"/>
    <tableColumn id="16255" xr3:uid="{00348960-4F6D-4F2A-9FA8-F2A90FE7B44B}" name="Column16255"/>
    <tableColumn id="16256" xr3:uid="{882B88EB-C934-4104-AD01-A3576D559627}" name="Column16256"/>
    <tableColumn id="16257" xr3:uid="{08A8E52F-A854-459A-866D-4726E69D2425}" name="Column16257"/>
    <tableColumn id="16258" xr3:uid="{ACED5AEE-68FE-4F51-8BAF-DDBD602DA284}" name="Column16258"/>
    <tableColumn id="16259" xr3:uid="{3B8E98DE-9CE7-4437-AE21-273C371BF843}" name="Column16259"/>
    <tableColumn id="16260" xr3:uid="{CC179324-A7A2-400A-902B-3C2E5B57BEF4}" name="Column16260"/>
    <tableColumn id="16261" xr3:uid="{028A2ACC-6141-49D7-89AF-8C9F35FAAFFE}" name="Column16261"/>
    <tableColumn id="16262" xr3:uid="{C137C47C-D4DA-49F1-A774-BD60A5254A4A}" name="Column16262"/>
    <tableColumn id="16263" xr3:uid="{B9613ADF-5440-4C69-B21A-F7FD18721802}" name="Column16263"/>
    <tableColumn id="16264" xr3:uid="{8AF5D93B-6F62-4C85-AF2A-5B6749A65B94}" name="Column16264"/>
    <tableColumn id="16265" xr3:uid="{F21FED23-0C89-4C3E-A63F-9B0FAABC9B1A}" name="Column16265"/>
    <tableColumn id="16266" xr3:uid="{E33E6448-1032-4883-8575-DE75599551D4}" name="Column16266"/>
    <tableColumn id="16267" xr3:uid="{4623A623-17F9-40BC-8503-991A6A6E140E}" name="Column16267"/>
    <tableColumn id="16268" xr3:uid="{759A63B9-0B3D-4DAE-A820-1E1DA50F6E03}" name="Column16268"/>
    <tableColumn id="16269" xr3:uid="{5BAAA96E-E911-42B1-A4DD-7FF0020D2169}" name="Column16269"/>
    <tableColumn id="16270" xr3:uid="{8E516479-7B66-4446-BC66-0C6618139E14}" name="Column16270"/>
    <tableColumn id="16271" xr3:uid="{6BF20AFA-8530-4116-A5F9-0CF0AB87E822}" name="Column16271"/>
    <tableColumn id="16272" xr3:uid="{B7E5AB7B-9AD3-4308-9883-EE27234E3739}" name="Column16272"/>
    <tableColumn id="16273" xr3:uid="{019457A4-1DC4-4CAE-A2EB-DF6495503C8A}" name="Column16273"/>
    <tableColumn id="16274" xr3:uid="{F787E073-AFFB-45F3-9A2A-C29BD116AC25}" name="Column16274"/>
    <tableColumn id="16275" xr3:uid="{6B04B428-DC4E-4812-BEC0-73703E096632}" name="Column16275"/>
    <tableColumn id="16276" xr3:uid="{50331792-29AB-444B-B401-88537A1D5833}" name="Column16276"/>
    <tableColumn id="16277" xr3:uid="{3AC419FA-61D5-4607-B969-E240CCE70D49}" name="Column16277"/>
    <tableColumn id="16278" xr3:uid="{7D21D47D-70E7-4854-8528-5EEBF6858363}" name="Column16278"/>
    <tableColumn id="16279" xr3:uid="{8D615F47-06D8-4655-9B1D-14C57959879D}" name="Column16279"/>
    <tableColumn id="16280" xr3:uid="{0080EB28-4FF0-47E3-A093-75E1A1707B6D}" name="Column16280"/>
    <tableColumn id="16281" xr3:uid="{3E27B53D-3848-41FF-86A5-BEB56A769ECF}" name="Column16281"/>
    <tableColumn id="16282" xr3:uid="{29FA86C6-9EDF-47C5-8DBB-E0C841B2EE2C}" name="Column16282"/>
    <tableColumn id="16283" xr3:uid="{94C315A2-7A80-4471-A261-C9429E539C5A}" name="Column16283"/>
    <tableColumn id="16284" xr3:uid="{CCD45DB7-26EA-4B71-AAB8-440444D2965B}" name="Column16284"/>
    <tableColumn id="16285" xr3:uid="{E7E4C5F5-5A84-4E1B-A3A7-66ED7DAF9CC8}" name="Column16285"/>
    <tableColumn id="16286" xr3:uid="{10EC4632-FF83-4EBC-885A-38432A3CCEFB}" name="Column16286"/>
    <tableColumn id="16287" xr3:uid="{958C1530-6D6C-4F32-B377-2904E38A8F97}" name="Column16287"/>
    <tableColumn id="16288" xr3:uid="{3AFD4A6B-11C2-4B45-9750-84E821CD7E99}" name="Column16288"/>
    <tableColumn id="16289" xr3:uid="{85EC8722-EF56-4E9E-B2FD-04905940EDDF}" name="Column16289"/>
    <tableColumn id="16290" xr3:uid="{5C6CFCD5-7866-4219-837C-4FA1FEEE31FD}" name="Column16290"/>
    <tableColumn id="16291" xr3:uid="{9399C08C-E3D3-4EFE-95DE-50A5C2C7645C}" name="Column16291"/>
    <tableColumn id="16292" xr3:uid="{4843C43D-573F-40E7-94E5-7BFC5BE90D33}" name="Column16292"/>
    <tableColumn id="16293" xr3:uid="{4250B0C9-C9DA-43B0-9C91-00C3EB264A92}" name="Column16293"/>
    <tableColumn id="16294" xr3:uid="{615AAAA8-E8D5-49ED-ACFA-D9ABBE347D35}" name="Column16294"/>
    <tableColumn id="16295" xr3:uid="{21370D3A-BFA3-4B97-84C6-CEA58EB8EDEC}" name="Column16295"/>
    <tableColumn id="16296" xr3:uid="{28E04A5D-E7CF-469E-9FE6-34C4491316B5}" name="Column16296"/>
    <tableColumn id="16297" xr3:uid="{1AC5126A-D571-40C5-B2A7-E6D4CA8666D3}" name="Column16297"/>
    <tableColumn id="16298" xr3:uid="{0EB810EB-3FF4-4567-8D54-1A0A850CB315}" name="Column16298"/>
    <tableColumn id="16299" xr3:uid="{3A3E0ED3-264B-483F-99C2-DD95E363C901}" name="Column16299"/>
    <tableColumn id="16300" xr3:uid="{302956C7-AE79-49EB-B1C6-26B82BB86D1D}" name="Column16300"/>
    <tableColumn id="16301" xr3:uid="{CD29F519-C45A-428F-847B-88C366B88DB5}" name="Column16301"/>
    <tableColumn id="16302" xr3:uid="{0ADD840E-97F0-4259-8A33-6DF38AD6FAC8}" name="Column16302"/>
    <tableColumn id="16303" xr3:uid="{13AB3698-464D-4C73-8E7D-AC70AFC0467D}" name="Column16303"/>
    <tableColumn id="16304" xr3:uid="{B1248971-8D0A-4706-BC96-10EF10FB0869}" name="Column16304"/>
    <tableColumn id="16305" xr3:uid="{E8814EC1-F119-4EE0-BC16-40F1548B7B91}" name="Column16305"/>
    <tableColumn id="16306" xr3:uid="{A7777F66-B506-4031-8DC5-94DC5970A95B}" name="Column16306"/>
    <tableColumn id="16307" xr3:uid="{E6143499-159D-4431-B801-A1E056A3775A}" name="Column16307"/>
    <tableColumn id="16308" xr3:uid="{4B1DDBC4-71A6-4B88-B97B-CECC0929C3CC}" name="Column16308"/>
    <tableColumn id="16309" xr3:uid="{12D644CC-0FB5-4D15-B879-F49C46FCCF8A}" name="Column16309"/>
    <tableColumn id="16310" xr3:uid="{8724F30B-C6D0-48CA-8881-2D0CE12486A7}" name="Column16310"/>
    <tableColumn id="16311" xr3:uid="{8F867EF4-3CA6-46AC-AE0B-EA5D715DCCCE}" name="Column16311"/>
    <tableColumn id="16312" xr3:uid="{6F70704F-460B-423E-A708-9F3AA95BB1C9}" name="Column16312"/>
    <tableColumn id="16313" xr3:uid="{70CA382F-4F23-452F-8031-C09453AE81FD}" name="Column16313"/>
    <tableColumn id="16314" xr3:uid="{162F1DB6-5784-4A31-91B1-F916595EA00F}" name="Column16314"/>
    <tableColumn id="16315" xr3:uid="{17121C60-76AE-43D8-BE43-F30D7F5D6D79}" name="Column16315"/>
    <tableColumn id="16316" xr3:uid="{60C1DBF0-2D33-4BBF-B837-5202CE61AD67}" name="Column16316"/>
    <tableColumn id="16317" xr3:uid="{ECAF66AF-20AB-4A60-8E96-DC2F913C0532}" name="Column16317"/>
    <tableColumn id="16318" xr3:uid="{80BCCBFB-48C7-4D99-819A-CCFF0568F27D}" name="Column16318"/>
    <tableColumn id="16319" xr3:uid="{31265C83-222C-49F3-A3E9-CE2A29B46B85}" name="Column16319"/>
    <tableColumn id="16320" xr3:uid="{A82FB6BF-3D46-4A20-AFF3-19AB20113D76}" name="Column16320"/>
    <tableColumn id="16321" xr3:uid="{3A63525A-A864-48D7-9E4B-2E7723B81416}" name="Column16321"/>
    <tableColumn id="16322" xr3:uid="{E068E718-7636-46C0-878F-3EC0ABDEBA7F}" name="Column16322"/>
    <tableColumn id="16323" xr3:uid="{DC70A8A1-7196-45E0-BFD0-284BB98CAF9E}" name="Column16323"/>
    <tableColumn id="16324" xr3:uid="{7079B902-03F2-4F8E-95CD-B1A7C163A5E6}" name="Column16324"/>
    <tableColumn id="16325" xr3:uid="{CF5B1839-CFFB-4639-B18F-D89DE5374409}" name="Column16325"/>
    <tableColumn id="16326" xr3:uid="{0A75298C-CC0E-4279-A825-B5DF30573D10}" name="Column16326"/>
    <tableColumn id="16327" xr3:uid="{EC773127-4A45-42FF-950C-07D4D7E70325}" name="Column16327"/>
    <tableColumn id="16328" xr3:uid="{2D07B856-8F7A-49DD-BB98-E094927B43D3}" name="Column16328"/>
    <tableColumn id="16329" xr3:uid="{743E1C41-AA47-46B7-B80E-5B574129E14E}" name="Column16329"/>
    <tableColumn id="16330" xr3:uid="{E215429F-E443-45DE-BED0-1EC35B32EB8F}" name="Column16330"/>
    <tableColumn id="16331" xr3:uid="{BE785F4A-DE87-4DF2-BA49-4F9D2E4050FE}" name="Column16331"/>
    <tableColumn id="16332" xr3:uid="{6E48A4CC-A87B-46ED-9A25-FDBC07619CDF}" name="Column16332"/>
    <tableColumn id="16333" xr3:uid="{4FD0EF6D-A3AB-492A-AC21-3A8B8947566B}" name="Column16333"/>
    <tableColumn id="16334" xr3:uid="{66CEE66F-36AF-4CBD-9935-0964CD6D113A}" name="Column16334"/>
    <tableColumn id="16335" xr3:uid="{EF1385D3-C6D4-40F7-B19C-A2449657E927}" name="Column16335"/>
    <tableColumn id="16336" xr3:uid="{9C322258-02FE-403A-9583-8EAD9DC2E577}" name="Column16336"/>
    <tableColumn id="16337" xr3:uid="{B066FD92-EAC3-46BA-9965-619E68E9EF94}" name="Column16337"/>
    <tableColumn id="16338" xr3:uid="{49FCD038-B00C-440E-A1ED-D193224F3127}" name="Column16338"/>
    <tableColumn id="16339" xr3:uid="{71F87593-E5FD-4DF3-972B-2903DBCD75B2}" name="Column16339"/>
    <tableColumn id="16340" xr3:uid="{CBA7887F-AD8B-49A2-9D11-5D238851FB12}" name="Column16340"/>
    <tableColumn id="16341" xr3:uid="{E59C8232-6B88-4E56-956A-F1548B0E770E}" name="Column16341"/>
    <tableColumn id="16342" xr3:uid="{527DAA6B-80CB-4253-9515-F7CF5F5AAFB6}" name="Column16342"/>
    <tableColumn id="16343" xr3:uid="{96B76F45-905C-420E-A1A5-4E14AD74C0D8}" name="Column16343"/>
    <tableColumn id="16344" xr3:uid="{98212765-D02F-4B8E-9246-E0E5E4E5AFAD}" name="Column16344"/>
    <tableColumn id="16345" xr3:uid="{4E1DCC59-8AD7-4AFF-A6EB-1A8C7B60AB1C}" name="Column16345"/>
    <tableColumn id="16346" xr3:uid="{05E42E7F-C195-4640-B3BF-563F9E553457}" name="Column16346"/>
    <tableColumn id="16347" xr3:uid="{3DEED8D8-3907-4B8D-8065-1E0F0DE8BE8F}" name="Column16347"/>
    <tableColumn id="16348" xr3:uid="{79C5C0AA-8563-435A-ADD6-E8EBD04D551F}" name="Column16348"/>
    <tableColumn id="16349" xr3:uid="{DAA1691B-9771-47E4-A110-89088246895D}" name="Column16349"/>
    <tableColumn id="16350" xr3:uid="{9BAF3C1F-7E8E-4CC8-9E87-01BCE13B8FD7}" name="Column16350"/>
    <tableColumn id="16351" xr3:uid="{2218D76B-07B5-4114-ADC1-3FC2CD41D48E}" name="Column16351"/>
    <tableColumn id="16352" xr3:uid="{1E59AF5B-85DF-438D-BFAF-8762FC5680EB}" name="Column16352"/>
    <tableColumn id="16353" xr3:uid="{8CA4D416-8E32-495C-B538-6D0ABCE3E078}" name="Column16353"/>
    <tableColumn id="16354" xr3:uid="{9612A002-6A45-442D-9B92-349C5616554C}" name="Column16354"/>
    <tableColumn id="16355" xr3:uid="{508F676C-8B81-4920-A2A8-502EB2CAC085}" name="Column16355"/>
    <tableColumn id="16356" xr3:uid="{1EA780AE-7F2E-4B6F-8A6E-50E817788FF0}" name="Column16356"/>
    <tableColumn id="16357" xr3:uid="{14C85A18-BEEA-4741-ADB6-665EFD04941B}" name="Column16357"/>
    <tableColumn id="16358" xr3:uid="{F37B55EC-9F7B-4412-81FE-5D726C985E66}" name="Column16358"/>
    <tableColumn id="16359" xr3:uid="{8D0F9C8E-92A0-4F07-AB37-E6A72DB23F1C}" name="Column16359"/>
    <tableColumn id="16360" xr3:uid="{7E806BEF-CDEC-4750-95E1-6DA5503D6B05}" name="Column16360"/>
    <tableColumn id="16361" xr3:uid="{4B4814F3-7861-4D4B-B54A-4A651DE79473}" name="Column16361"/>
    <tableColumn id="16362" xr3:uid="{FB4D2279-4683-40D6-A8BE-FC8F3A397BA9}" name="Column16362"/>
    <tableColumn id="16363" xr3:uid="{C16E8E99-ADE4-4849-8548-FA34A252B160}" name="Column16363"/>
    <tableColumn id="16364" xr3:uid="{25125520-4E42-4F5A-9460-64D7E11387CA}" name="Column16364"/>
    <tableColumn id="16365" xr3:uid="{FBFD36F8-EB84-4A43-B0F8-625857E7CEBA}" name="Column16365"/>
    <tableColumn id="16366" xr3:uid="{4EBF7C57-45D3-406A-B4C8-4FA67B42318D}" name="Column16366"/>
    <tableColumn id="16367" xr3:uid="{2903581B-7C44-475D-BA90-E4199CA2ED68}" name="Column16367"/>
    <tableColumn id="16368" xr3:uid="{B3EA6E0D-17D2-48F1-B275-64975A3D4DF0}" name="Column16368"/>
    <tableColumn id="16369" xr3:uid="{B63D5BCF-EE17-46C2-99C9-1EA551ACA6BD}" name="Column16369"/>
    <tableColumn id="16370" xr3:uid="{139949C2-363B-4023-9352-579AD729F7A2}" name="Column16370"/>
    <tableColumn id="16371" xr3:uid="{2759CFD4-148F-41C7-B0F0-E5C50AFD1FF3}" name="Column16371"/>
    <tableColumn id="16372" xr3:uid="{8DAF0D60-FD01-4C5C-ADB7-778736ED07F8}" name="Column16372"/>
    <tableColumn id="16373" xr3:uid="{7E7E0D91-6BFD-4B7C-989A-56985DF64D05}" name="Column16373"/>
    <tableColumn id="16374" xr3:uid="{3FA821A2-3D9E-4EDC-9A8A-6A8221CE3848}" name="Column16374"/>
    <tableColumn id="16375" xr3:uid="{62695916-1C51-4050-B3C8-7F490F6C4089}" name="Column16375"/>
    <tableColumn id="16376" xr3:uid="{50AB86B3-AA40-4B7B-B1B1-D56C7971F01F}" name="Column16376"/>
    <tableColumn id="16377" xr3:uid="{F35EA265-56BA-4EC4-9C01-B160142D5C1C}" name="Column16377"/>
    <tableColumn id="16378" xr3:uid="{B5E0FAF0-508D-4AC5-BA42-63B3F2959212}" name="Column16378"/>
    <tableColumn id="16379" xr3:uid="{DBD62189-DC40-400D-9EFA-CBE04438FC9A}" name="Column16379"/>
    <tableColumn id="16380" xr3:uid="{6ECF751C-A676-4ECF-AF73-1C58926B4FA4}" name="Column16380"/>
    <tableColumn id="16381" xr3:uid="{7A7A0B83-B930-4241-A2C7-54D08E988A3C}" name="Column16381"/>
    <tableColumn id="16382" xr3:uid="{7AA52B82-EE38-43A2-8A94-8DA0DE9A044E}" name="Column16382"/>
    <tableColumn id="16383" xr3:uid="{76714BD1-4F35-414E-BBCA-DECC2B07B9A3}" name="Column16383"/>
    <tableColumn id="16384" xr3:uid="{38043A83-2F29-4447-802A-9389683ACF05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0-11-30T11:24:09.67" personId="{7CFDDFBB-5C0B-470A-8251-E22B5FCB660D}" id="{44274F64-DE2C-42CF-810A-7136DA458E09}">
    <text>Puntuar del 1 al 10 (el 10 es la mejor nota)</text>
  </threadedComment>
  <threadedComment ref="E1" dT="2020-11-30T11:24:15.78" personId="{7CFDDFBB-5C0B-470A-8251-E22B5FCB660D}" id="{A69D13F6-4543-406C-928F-D0614384A3A8}">
    <text>Puntuar del 1 al 10 (el 10 es la mejor nota)</text>
  </threadedComment>
  <threadedComment ref="F1" dT="2020-11-30T11:24:22.27" personId="{7CFDDFBB-5C0B-470A-8251-E22B5FCB660D}" id="{734B08F3-105C-45AA-94F8-196F1F62DBB7}">
    <text>Puntuar del 1 al 10 (el 10 es la mejor nota)</text>
  </threadedComment>
  <threadedComment ref="G1" dT="2020-11-30T11:24:38.92" personId="{7CFDDFBB-5C0B-470A-8251-E22B5FCB660D}" id="{202051C6-3F6B-41C6-BA31-6CCA2AE1A6DF}">
    <text>Puntuar del 1 al 10 (el 10 es la mejor nota)</text>
  </threadedComment>
  <threadedComment ref="H1" dT="2020-11-30T11:24:45.95" personId="{7CFDDFBB-5C0B-470A-8251-E22B5FCB660D}" id="{64793E28-DEC2-4C31-BC9D-FC8B4A5452CF}">
    <text>Puntuar del 1 al 10 (el 10 es la mejor nota)</text>
  </threadedComment>
  <threadedComment ref="K1" dT="2021-05-13T09:34:01.83" personId="{7CFDDFBB-5C0B-470A-8251-E22B5FCB660D}" id="{A5E4972F-E564-43B8-9C66-58DCE626C97C}">
    <text>Por favor, escribir algo sobre cada alumno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5" dT="2026-05-14T08:19:10.69" personId="{134BCF9F-476B-4824-8ED8-6AEE0B813E78}" id="{5ADDB5FB-8C83-4260-B588-A51B8B654EFD}">
    <text>Ha entrado en el descanso de las 10</text>
  </threadedComment>
  <threadedComment ref="Y12" dT="2026-05-12T16:41:04.72" personId="{7CFDDFBB-5C0B-470A-8251-E22B5FCB660D}" id="{CABB2128-84D8-4AE1-AABE-E8C996326552}">
    <text>Avisa</text>
  </threadedComment>
  <threadedComment ref="Z18" dT="2026-05-12T16:41:04.72" personId="{7CFDDFBB-5C0B-470A-8251-E22B5FCB660D}" id="{E7DF5D70-7C47-4BBD-8E12-70D019BF3211}">
    <text>Avisa</text>
  </threadedComment>
  <threadedComment ref="Y19" dT="2026-05-12T16:41:04.72" personId="{7CFDDFBB-5C0B-470A-8251-E22B5FCB660D}" id="{DC7894AF-31AD-4DF3-94AF-F585B11DECB0}">
    <text>Avisa</text>
  </threadedComment>
  <threadedComment ref="Y27" dT="2026-05-11T08:42:48.09" personId="{134BCF9F-476B-4824-8ED8-6AEE0B813E78}" id="{9371BCD0-9868-47D4-ADF1-FFAFF22AF661}">
    <text>Ha entrado en el descanso de las 10</text>
  </threadedComment>
  <threadedComment ref="Y27" dT="2026-05-12T16:41:29.40" personId="{7CFDDFBB-5C0B-470A-8251-E22B5FCB660D}" id="{A91901A8-A6E0-4F26-A107-89CCB67DA4EB}" parentId="{9371BCD0-9868-47D4-ADF1-FFAFF22AF661}">
    <text>Avisa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5" dT="2026-04-10T15:34:56.39" personId="{7CFDDFBB-5C0B-470A-8251-E22B5FCB660D}" id="{C8E61F48-1F00-4DAE-8B4E-A697DFB0348A}">
    <text>Avisa</text>
  </threadedComment>
  <threadedComment ref="AG5" dT="2026-04-22T11:45:09.93" personId="{134BCF9F-476B-4824-8ED8-6AEE0B813E78}" id="{F68F8334-5EA5-4BA2-B37C-D1BD60896226}">
    <text>Ha entrado en el descanso de las 10</text>
  </threadedComment>
  <threadedComment ref="S7" dT="2026-04-08T09:45:09.01" personId="{134BCF9F-476B-4824-8ED8-6AEE0B813E78}" id="{511B431F-2C1D-46B2-A01E-291A6C762318}">
    <text>Ha entrado en el descanso de las 10</text>
  </threadedComment>
  <threadedComment ref="S7" dT="2026-04-09T15:28:58.45" personId="{7CFDDFBB-5C0B-470A-8251-E22B5FCB660D}" id="{3D6BC4B3-0D22-4D53-AF35-8CDE9CEFD6D2}" parentId="{511B431F-2C1D-46B2-A01E-291A6C762318}">
    <text>Avisa</text>
  </threadedComment>
  <threadedComment ref="R8" dT="2026-04-09T15:25:04.77" personId="{7CFDDFBB-5C0B-470A-8251-E22B5FCB660D}" id="{9A5B04F3-6892-4B46-AECE-A282FC254C9C}">
    <text>Avisa</text>
  </threadedComment>
  <threadedComment ref="S8" dT="2026-04-08T09:45:38.36" personId="{134BCF9F-476B-4824-8ED8-6AEE0B813E78}" id="{B950E691-D54E-43E2-BE47-88DF571E58A8}">
    <text>Ha entrado en el descanso de las 10</text>
  </threadedComment>
  <threadedComment ref="S8" dT="2026-04-09T15:29:16.39" personId="{7CFDDFBB-5C0B-470A-8251-E22B5FCB660D}" id="{493FAFF1-5620-4A2D-830F-05F6A3D56B5B}" parentId="{B950E691-D54E-43E2-BE47-88DF571E58A8}">
    <text>Avisa</text>
  </threadedComment>
  <threadedComment ref="Y11" dT="2026-04-16T09:52:25.59" personId="{7CFDDFBB-5C0B-470A-8251-E22B5FCB660D}" id="{1BAC4977-8E8B-4793-9B98-EA9FC64A8D53}">
    <text>Avisa</text>
  </threadedComment>
  <threadedComment ref="U13" dT="2026-04-09T15:30:04.17" personId="{7CFDDFBB-5C0B-470A-8251-E22B5FCB660D}" id="{8D17BEF3-4C92-449C-BD1B-ED6244574D9C}">
    <text>Avisa</text>
  </threadedComment>
  <threadedComment ref="S14" dT="2026-04-08T09:45:52.61" personId="{134BCF9F-476B-4824-8ED8-6AEE0B813E78}" id="{7B5E6543-8789-4AD7-99CC-C485B9DE142D}">
    <text>Ha entrado en el descanso de las 10</text>
  </threadedComment>
  <threadedComment ref="S14" dT="2026-04-09T15:30:29.69" personId="{7CFDDFBB-5C0B-470A-8251-E22B5FCB660D}" id="{CE29620A-8804-44AC-BECD-0EB87930AEFB}" parentId="{7B5E6543-8789-4AD7-99CC-C485B9DE142D}">
    <text>Avisa</text>
  </threadedComment>
  <threadedComment ref="X14" dT="2026-04-13T11:46:06.58" personId="{134BCF9F-476B-4824-8ED8-6AEE0B813E78}" id="{C65B0EE8-43C8-489C-8B32-3133547CD899}">
    <text>Ha entrado en el descanso de las 10</text>
  </threadedComment>
  <threadedComment ref="X14" dT="2026-04-16T09:49:13.54" personId="{7CFDDFBB-5C0B-470A-8251-E22B5FCB660D}" id="{D15553D6-3764-4B19-A8FB-7EEA710D15EC}" parentId="{C65B0EE8-43C8-489C-8B32-3133547CD899}">
    <text>Avisa</text>
  </threadedComment>
  <threadedComment ref="AG22" dT="2026-04-22T11:45:03.27" personId="{134BCF9F-476B-4824-8ED8-6AEE0B813E78}" id="{AFF3D137-4BEE-40EB-B9C8-983C80904286}">
    <text>Ha entrado en el descanso de las 10</text>
  </threadedComment>
  <threadedComment ref="AB23" dT="2026-04-13T17:16:08.20" personId="{7CFDDFBB-5C0B-470A-8251-E22B5FCB660D}" id="{A373A2AF-B277-4614-BC44-5C1493C0BF4D}">
    <text>Avisa</text>
  </threadedComment>
  <threadedComment ref="AN23" dT="2026-04-24T15:40:15.58" personId="{7CFDDFBB-5C0B-470A-8251-E22B5FCB660D}" id="{670CCBCF-A8EF-470A-B59D-171CDF6B965A}">
    <text>Avisa</text>
  </threadedComment>
  <threadedComment ref="X26" dT="2026-04-13T11:46:11.38" personId="{134BCF9F-476B-4824-8ED8-6AEE0B813E78}" id="{40711E78-0CB0-4787-B023-50A601DCE602}">
    <text>Ha entrado en el descanso de las 10</text>
  </threadedComment>
  <threadedComment ref="X26" dT="2026-04-16T09:47:46.55" personId="{7CFDDFBB-5C0B-470A-8251-E22B5FCB660D}" id="{8390AD9F-2F59-4A80-BF23-B1700092735B}" parentId="{40711E78-0CB0-4787-B023-50A601DCE602}">
    <text>Avisa</text>
  </threadedComment>
  <threadedComment ref="AG26" dT="2026-04-22T11:44:58.87" personId="{134BCF9F-476B-4824-8ED8-6AEE0B813E78}" id="{8BD697A3-3A13-4048-B8F4-688E39FFD132}">
    <text>Ha entrado en el descanso de las 10</text>
  </threadedComment>
  <threadedComment ref="AG26" dT="2026-04-24T15:33:32.41" personId="{7CFDDFBB-5C0B-470A-8251-E22B5FCB660D}" id="{5310D127-3B04-4F25-99A5-D44CD71A5BBD}" parentId="{8BD697A3-3A13-4048-B8F4-688E39FFD132}">
    <text>Avisa</text>
  </threadedComment>
  <threadedComment ref="U27" dT="2026-04-13T17:15:54.20" personId="{7CFDDFBB-5C0B-470A-8251-E22B5FCB660D}" id="{96CAF0F4-BA5C-4A79-A535-CC75C647507B}">
    <text>Avisa</text>
  </threadedComment>
  <threadedComment ref="AG27" dT="2026-04-22T11:44:53.52" personId="{134BCF9F-476B-4824-8ED8-6AEE0B813E78}" id="{FF94CC7A-D9A6-4731-AD69-41C76D6A7AD3}">
    <text>Ha entrado en el descanso de las 10</text>
  </threadedComment>
  <threadedComment ref="S29" dT="2026-04-08T09:46:01.40" personId="{134BCF9F-476B-4824-8ED8-6AEE0B813E78}" id="{31CD4D07-DA34-4BCD-A4FA-8CED11A45B1F}">
    <text>Ha entrado en el descanso de las 10</text>
  </threadedComment>
  <threadedComment ref="S29" dT="2026-04-09T15:30:42.11" personId="{7CFDDFBB-5C0B-470A-8251-E22B5FCB660D}" id="{97136AAD-B3AA-424C-8155-269063B4C6B3}" parentId="{31CD4D07-DA34-4BCD-A4FA-8CED11A45B1F}">
    <text>Avisa</text>
  </threadedComment>
  <threadedComment ref="X29" dT="2026-04-13T11:46:17.05" personId="{134BCF9F-476B-4824-8ED8-6AEE0B813E78}" id="{BEAEB167-C570-466D-8192-FFA72BBE39A4}">
    <text>Ha entrado en el descanso de las 10</text>
  </threadedComment>
  <threadedComment ref="X29" dT="2026-04-16T09:50:16.42" personId="{7CFDDFBB-5C0B-470A-8251-E22B5FCB660D}" id="{4787795F-A752-4353-8C39-7F1E05264B8C}" parentId="{BEAEB167-C570-466D-8192-FFA72BBE39A4}">
    <text>Avisa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X4" dT="2026-03-09T09:31:33.12" personId="{134BCF9F-476B-4824-8ED8-6AEE0B813E78}" id="{F190199C-0B5A-494F-B4F5-1A2D8B11A5AC}">
    <text>Ha entrado en el descanso de las 10</text>
  </threadedComment>
  <threadedComment ref="X4" dT="2026-03-10T17:38:11.17" personId="{7CFDDFBB-5C0B-470A-8251-E22B5FCB660D}" id="{DD6E25CE-59FD-4AFB-8782-61753A08EEF8}" parentId="{F190199C-0B5A-494F-B4F5-1A2D8B11A5AC}">
    <text>Avisa</text>
  </threadedComment>
  <threadedComment ref="AB4" dT="2026-03-13T17:27:01.61" personId="{7CFDDFBB-5C0B-470A-8251-E22B5FCB660D}" id="{6415EB08-EC9E-4E87-A1C4-2C64AA323905}">
    <text>Avisa</text>
  </threadedComment>
  <threadedComment ref="Z5" dT="2026-03-11T09:15:14.11" personId="{134BCF9F-476B-4824-8ED8-6AEE0B813E78}" id="{F40A74D4-EB19-4606-80E4-A0D4817C62FE}">
    <text>Ha entrado en el descanso de las 10</text>
  </threadedComment>
  <threadedComment ref="Z5" dT="2026-03-13T17:19:23.18" personId="{7CFDDFBB-5C0B-470A-8251-E22B5FCB660D}" id="{653A8D3D-7444-479A-8416-4979E1E54AEB}" parentId="{F40A74D4-EB19-4606-80E4-A0D4817C62FE}">
    <text>Avisa</text>
  </threadedComment>
  <threadedComment ref="AI5" dT="2026-03-20T12:58:36.21" personId="{134BCF9F-476B-4824-8ED8-6AEE0B813E78}" id="{7769E342-851D-4037-9E14-E7403E60A58E}">
    <text>Ha entrado en el descanso de las 11:55</text>
  </threadedComment>
  <threadedComment ref="Z11" dT="2026-03-11T09:15:05.86" personId="{134BCF9F-476B-4824-8ED8-6AEE0B813E78}" id="{79B5E696-9494-40AC-98C8-6E59B1B6BA54}">
    <text>Ha entrado en el descanso de las 10</text>
  </threadedComment>
  <threadedComment ref="Z11" dT="2026-03-13T17:18:41.46" personId="{7CFDDFBB-5C0B-470A-8251-E22B5FCB660D}" id="{138A7208-D42C-46A4-BE95-D1F9A7FB401C}" parentId="{79B5E696-9494-40AC-98C8-6E59B1B6BA54}">
    <text>Avisa</text>
  </threadedComment>
  <threadedComment ref="AE11" dT="2026-03-30T08:39:04.32" personId="{7CFDDFBB-5C0B-470A-8251-E22B5FCB660D}" id="{2A5F5CA0-5DFF-4DA5-B044-4A62B4BD21A6}">
    <text>Avisa</text>
  </threadedComment>
  <threadedComment ref="AM17" dT="2026-03-24T09:49:57.50" personId="{134BCF9F-476B-4824-8ED8-6AEE0B813E78}" id="{E3596964-2EA4-43F6-9B91-B3A667BA21BC}">
    <text>Ha entrado en el descanso de las 10</text>
  </threadedComment>
  <threadedComment ref="AM17" dT="2026-03-30T08:51:52.65" personId="{7CFDDFBB-5C0B-470A-8251-E22B5FCB660D}" id="{9D4D0BBC-5257-4413-88D7-6EF4BFF8D90B}" parentId="{E3596964-2EA4-43F6-9B91-B3A667BA21BC}">
    <text>Avisa</text>
  </threadedComment>
  <threadedComment ref="Y18" dT="2026-03-10T11:42:00.33" personId="{134BCF9F-476B-4824-8ED8-6AEE0B813E78}" id="{E3F684A6-2DCB-4BF3-BD72-B76AFA2C0374}">
    <text>Ha entrado en el descanso de las 10</text>
  </threadedComment>
  <threadedComment ref="Y18" dT="2026-03-10T17:38:33.54" personId="{7CFDDFBB-5C0B-470A-8251-E22B5FCB660D}" id="{36BD4286-1DCC-4B8C-A75F-2BEE2CE67FBF}" parentId="{E3F684A6-2DCB-4BF3-BD72-B76AFA2C0374}">
    <text>Avisa</text>
  </threadedComment>
  <threadedComment ref="AI18" dT="2026-03-30T08:45:00.73" personId="{7CFDDFBB-5C0B-470A-8251-E22B5FCB660D}" id="{BB08B298-60E5-44FD-BAAA-2C232F975407}">
    <text>Avisa</text>
  </threadedComment>
  <threadedComment ref="AN23" dT="2026-03-25T12:49:44.13" personId="{134BCF9F-476B-4824-8ED8-6AEE0B813E78}" id="{7BC40657-9D93-4357-8E69-569DD25163CB}">
    <text>Ha entrado en el descanso de las 10</text>
  </threadedComment>
  <threadedComment ref="T26" dT="2026-03-05T08:52:58.03" personId="{7CFDDFBB-5C0B-470A-8251-E22B5FCB660D}" id="{95F803F2-A8EA-4E8A-853C-9AF2043D6CF2}">
    <text>Avisa</text>
  </threadedComment>
  <threadedComment ref="AO26" dT="2026-03-30T08:57:18.34" personId="{7CFDDFBB-5C0B-470A-8251-E22B5FCB660D}" id="{3CE62A52-A98B-4009-834C-715C66C4E30B}">
    <text>Avisa</text>
  </threadedComment>
  <threadedComment ref="Z27" dT="2026-03-11T09:14:57.56" personId="{134BCF9F-476B-4824-8ED8-6AEE0B813E78}" id="{BA652CA2-F34E-437B-92D4-3013C9E5A815}">
    <text>Ha entrado en el descanso de las 10</text>
  </threadedComment>
  <threadedComment ref="Z27" dT="2026-03-13T17:19:40.76" personId="{7CFDDFBB-5C0B-470A-8251-E22B5FCB660D}" id="{C542415A-C713-46A6-B1FB-FFCF5543600F}" parentId="{BA652CA2-F34E-437B-92D4-3013C9E5A815}">
    <text>Avisa</text>
  </threadedComment>
  <threadedComment ref="AG27" dT="2026-03-18T13:24:18.42" personId="{134BCF9F-476B-4824-8ED8-6AEE0B813E78}" id="{0B9BD464-B914-48E2-BBE7-11F71F2C296C}">
    <text>Ha entrado en el descanso de las 10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T3" dT="2026-01-30T14:39:35.47" personId="{7CFDDFBB-5C0B-470A-8251-E22B5FCB660D}" id="{51AC05D0-C69B-48AB-91BE-D7B8AFED515B}">
    <text>EmpleaTECH</text>
  </threadedComment>
  <threadedComment ref="Y4" dT="2026-02-09T21:28:47.77" personId="{134BCF9F-476B-4824-8ED8-6AEE0B813E78}" id="{24AE7946-C4F6-4247-918A-7C7152A163A4}">
    <text>En casa online conectado</text>
  </threadedComment>
  <threadedComment ref="AM4" dT="2026-03-02T16:39:10.55" personId="{7CFDDFBB-5C0B-470A-8251-E22B5FCB660D}" id="{F15A33FE-B51D-4CC6-B577-87929E9F8A67}">
    <text>Avisa</text>
  </threadedComment>
  <threadedComment ref="AO4" dT="2026-02-25T09:14:20.20" personId="{134BCF9F-476B-4824-8ED8-6AEE0B813E78}" id="{04BDD7C0-6E05-4E10-81B6-C64B193B0432}">
    <text>Ha entrado en el descanso de las 10</text>
  </threadedComment>
  <threadedComment ref="R5" dT="2026-02-02T09:18:50.53" personId="{134BCF9F-476B-4824-8ED8-6AEE0B813E78}" id="{6AFA04B0-6ED0-4CC5-994E-E564559EC743}">
    <text>Ha entrado en el descanso de las 10</text>
  </threadedComment>
  <threadedComment ref="R5" dT="2026-02-11T21:52:18.35" personId="{7CFDDFBB-5C0B-470A-8251-E22B5FCB660D}" id="{23C5F76F-59DB-4293-B28D-E13CAD59F3BF}" parentId="{6AFA04B0-6ED0-4CC5-994E-E564559EC743}">
    <text>Avisa</text>
  </threadedComment>
  <threadedComment ref="V5" dT="2026-02-11T22:04:41.28" personId="{7CFDDFBB-5C0B-470A-8251-E22B5FCB660D}" id="{17E22CCB-9632-4D0B-A689-A6125408A658}">
    <text>Avisa</text>
  </threadedComment>
  <threadedComment ref="AI5" dT="2026-02-19T16:50:58.52" personId="{7CFDDFBB-5C0B-470A-8251-E22B5FCB660D}" id="{C1BD316B-D63D-4E39-BC74-936E607C113C}">
    <text>Avisa</text>
  </threadedComment>
  <threadedComment ref="AN5" dT="2026-03-02T16:44:13.65" personId="{7CFDDFBB-5C0B-470A-8251-E22B5FCB660D}" id="{8FCC8498-9A93-44A7-BB3A-7B29FEC9E4A4}">
    <text>Avisa</text>
  </threadedComment>
  <threadedComment ref="AI8" dT="2026-02-19T16:50:14.53" personId="{7CFDDFBB-5C0B-470A-8251-E22B5FCB660D}" id="{95F1C8A8-905B-4C03-A191-8C3F40F0A4B1}">
    <text>Avisa</text>
  </threadedComment>
  <threadedComment ref="AI8" dT="2026-02-23T08:07:08.08" personId="{134BCF9F-476B-4824-8ED8-6AEE0B813E78}" id="{5F256629-8DB1-4C5D-8F9F-84B3077172A1}" parentId="{95F1C8A8-905B-4C03-A191-8C3F40F0A4B1}">
    <text>Llegó a tiempo a clase, no llegó tarde, pero avisó por si acaso...</text>
  </threadedComment>
  <threadedComment ref="AH11" dT="2026-02-18T13:10:59.04" personId="{134BCF9F-476B-4824-8ED8-6AEE0B813E78}" id="{3CD0FC20-F72C-4147-B4E4-CAA2CC069EBD}">
    <text>Ha entrado en el descanso de las 10</text>
  </threadedComment>
  <threadedComment ref="AH11" dT="2026-02-19T16:47:05.82" personId="{7CFDDFBB-5C0B-470A-8251-E22B5FCB660D}" id="{1F8AFF01-69F0-42EC-B31F-AC4E6EA5E4C1}" parentId="{3CD0FC20-F72C-4147-B4E4-CAA2CC069EBD}">
    <text>Avisa</text>
  </threadedComment>
  <threadedComment ref="AO13" dT="2026-02-25T09:14:09.60" personId="{134BCF9F-476B-4824-8ED8-6AEE0B813E78}" id="{D4D46398-2916-4153-84DD-45A76FB0EB6E}">
    <text>Ha entrado en el descanso de las 10</text>
  </threadedComment>
  <threadedComment ref="AO13" dT="2026-03-02T16:46:51.76" personId="{7CFDDFBB-5C0B-470A-8251-E22B5FCB660D}" id="{B334307F-D596-4D63-9BA5-F35349CDC149}" parentId="{D4D46398-2916-4153-84DD-45A76FB0EB6E}">
    <text>Avisa</text>
  </threadedComment>
  <threadedComment ref="U14" dT="2026-02-05T11:32:38.24" personId="{134BCF9F-476B-4824-8ED8-6AEE0B813E78}" id="{0C17C1F3-35BB-4F31-9D9D-7842DB337792}">
    <text>Ha entrado en el descanso de las 10</text>
  </threadedComment>
  <threadedComment ref="Y14" dT="2026-02-09T21:35:27.94" personId="{134BCF9F-476B-4824-8ED8-6AEE0B813E78}" id="{FA1AF6D7-EC59-4268-9C50-45CFC08ED35E}">
    <text>En casa online conectado</text>
  </threadedComment>
  <threadedComment ref="Z14" dT="2026-02-11T08:06:41.49" personId="{134BCF9F-476B-4824-8ED8-6AEE0B813E78}" id="{35A6EA40-1375-40AA-802D-C4A2AF581541}">
    <text>No está en clase ni online a las 9:06</text>
  </threadedComment>
  <threadedComment ref="Z14" dT="2026-02-11T08:59:47.77" personId="{134BCF9F-476B-4824-8ED8-6AEE0B813E78}" id="{52238029-3614-44C8-BD13-54FA4B8B6310}" parentId="{35A6EA40-1375-40AA-802D-C4A2AF581541}">
    <text>Esta en clase conectado online</text>
  </threadedComment>
  <threadedComment ref="AH14" dT="2026-02-18T13:11:03.67" personId="{134BCF9F-476B-4824-8ED8-6AEE0B813E78}" id="{B7AFB3D5-E68C-4D35-9AF7-FAA7B4DF7D5D}">
    <text>Ha entrado en el descanso de las 10</text>
  </threadedComment>
  <threadedComment ref="AH14" dT="2026-02-19T16:46:23.44" personId="{7CFDDFBB-5C0B-470A-8251-E22B5FCB660D}" id="{85767DE5-24B6-4884-9D56-82BFA2AAB58E}" parentId="{B7AFB3D5-E68C-4D35-9AF7-FAA7B4DF7D5D}">
    <text>Avisa</text>
  </threadedComment>
  <threadedComment ref="AP14" dT="2026-02-26T12:50:59.00" personId="{134BCF9F-476B-4824-8ED8-6AEE0B813E78}" id="{21656B99-7E4C-4E8E-9EEF-8DBC92252FC9}">
    <text>Ha entrado a las 10</text>
  </threadedComment>
  <threadedComment ref="Y16" dT="2026-02-09T21:29:18.41" personId="{134BCF9F-476B-4824-8ED8-6AEE0B813E78}" id="{F84518D3-EB66-4F13-8683-5C85DB59E0B0}">
    <text>En casa online conectado</text>
  </threadedComment>
  <threadedComment ref="U18" dT="2026-02-11T21:54:03.15" personId="{7CFDDFBB-5C0B-470A-8251-E22B5FCB660D}" id="{E946B268-EE49-4EB9-AB96-8E2D677253F5}">
    <text>Avisa</text>
  </threadedComment>
  <threadedComment ref="Y18" dT="2026-02-09T21:29:28.33" personId="{134BCF9F-476B-4824-8ED8-6AEE0B813E78}" id="{5A48DB64-F04C-4A98-9B2C-78DB66640572}">
    <text>En casa online conectada</text>
  </threadedComment>
  <threadedComment ref="Z18" dT="2026-02-11T08:08:27.97" personId="{134BCF9F-476B-4824-8ED8-6AEE0B813E78}" id="{6EB202A7-8F9D-41B3-8D25-203B3CCCC1B3}">
    <text>No está en clase pero si online</text>
  </threadedComment>
  <threadedComment ref="AH18" dT="2026-02-19T08:02:13.93" personId="{134BCF9F-476B-4824-8ED8-6AEE0B813E78}" id="{E5A32814-5FF0-4CBA-84B7-AB3D84FB3206}">
    <text>Se ha ido a las 12 porque se encontraba mal</text>
  </threadedComment>
  <threadedComment ref="AH18" dT="2026-02-19T16:49:41.68" personId="{7CFDDFBB-5C0B-470A-8251-E22B5FCB660D}" id="{A2AC5A28-D193-400E-957E-4665ECB0EA8D}" parentId="{E5A32814-5FF0-4CBA-84B7-AB3D84FB3206}">
    <text>Avisa</text>
  </threadedComment>
  <threadedComment ref="AO18" dT="2026-03-02T16:44:37.98" personId="{7CFDDFBB-5C0B-470A-8251-E22B5FCB660D}" id="{FA833F7C-BE5E-4263-8862-DFDFD4728D60}">
    <text>Avisa</text>
  </threadedComment>
  <threadedComment ref="AO20" dT="2026-02-25T09:14:31.21" personId="{134BCF9F-476B-4824-8ED8-6AEE0B813E78}" id="{33AE0297-43EC-4CA0-8A6C-5EB1CA95BF69}">
    <text>Ha entrado en el descanso de las 10</text>
  </threadedComment>
  <threadedComment ref="AO20" dT="2026-03-02T16:46:01.65" personId="{7CFDDFBB-5C0B-470A-8251-E22B5FCB660D}" id="{B9C8259C-BD19-4448-BC38-0F38747DA067}" parentId="{33AE0297-43EC-4CA0-8A6C-5EB1CA95BF69}">
    <text>Avisa</text>
  </threadedComment>
  <threadedComment ref="AM22" dT="2026-03-02T16:36:04.30" personId="{7CFDDFBB-5C0B-470A-8251-E22B5FCB660D}" id="{9E5BE25B-EDB8-4D85-9C01-E029DBB6A92D}">
    <text>Avisa</text>
  </threadedComment>
  <threadedComment ref="Y26" dT="2026-02-09T21:31:34.88" personId="{134BCF9F-476B-4824-8ED8-6AEE0B813E78}" id="{44ED4795-2EFF-4F23-B72C-EC681CC7D1F3}">
    <text>No ha estado conectado a la sesión</text>
  </threadedComment>
  <threadedComment ref="Z26" dT="2026-02-11T08:09:06.19" personId="{134BCF9F-476B-4824-8ED8-6AEE0B813E78}" id="{C2E5B1BF-5AE1-494F-953D-80F066F07DF2}">
    <text>No está en clase ni online a las 9:09</text>
  </threadedComment>
  <threadedComment ref="AC27" dT="2026-02-13T09:16:30.95" personId="{134BCF9F-476B-4824-8ED8-6AEE0B813E78}" id="{5BDA64DA-2608-40BD-8819-81AAC3C47881}">
    <text>Ha entrado en el descanso de las 10</text>
  </threadedComment>
  <threadedComment ref="AC27" dT="2026-02-19T15:35:13.29" personId="{7CFDDFBB-5C0B-470A-8251-E22B5FCB660D}" id="{732951B4-1EE0-43E2-A342-2BFC34CC17A4}" parentId="{5BDA64DA-2608-40BD-8819-81AAC3C47881}">
    <text>Avisa</text>
  </threadedComment>
  <threadedComment ref="U29" dT="2026-02-05T11:32:43.71" personId="{134BCF9F-476B-4824-8ED8-6AEE0B813E78}" id="{629386AB-166B-4724-ADCD-B77DED367B14}">
    <text>Ha entrado en el descanso de las 10</text>
  </threadedComment>
  <threadedComment ref="Y29" dT="2026-02-09T21:35:56.95" personId="{134BCF9F-476B-4824-8ED8-6AEE0B813E78}" id="{9707F199-2E9E-4B67-8D80-F3BF5BCAE942}">
    <text>En casa online conectado</text>
  </threadedComment>
  <threadedComment ref="Z29" dT="2026-02-11T08:08:03.97" personId="{134BCF9F-476B-4824-8ED8-6AEE0B813E78}" id="{05DED04B-7EF8-492C-81B6-F09E1BB48BDD}">
    <text>No está en clase ni online a las 9:08</text>
  </threadedComment>
  <threadedComment ref="Z29" dT="2026-02-11T09:00:09.28" personId="{134BCF9F-476B-4824-8ED8-6AEE0B813E78}" id="{7C759D7A-74C4-4270-881E-99D5E2A414F7}" parentId="{05DED04B-7EF8-492C-81B6-F09E1BB48BDD}">
    <text>Esta en clase conectado online</text>
  </threadedComment>
  <threadedComment ref="AH29" dT="2026-02-18T13:11:08.68" personId="{134BCF9F-476B-4824-8ED8-6AEE0B813E78}" id="{90A25E19-7B7E-4DA7-877F-BFD74BFBB647}">
    <text>Ha entrado en el descanso de las 10</text>
  </threadedComment>
  <threadedComment ref="AH29" dT="2026-02-19T16:47:23.38" personId="{7CFDDFBB-5C0B-470A-8251-E22B5FCB660D}" id="{7E0F0249-3EAB-401A-B8DD-058B9D0F4ED0}" parentId="{90A25E19-7B7E-4DA7-877F-BFD74BFBB647}">
    <text>Avisa</text>
  </threadedComment>
  <threadedComment ref="AP29" dT="2026-02-26T12:50:46.31" personId="{134BCF9F-476B-4824-8ED8-6AEE0B813E78}" id="{96EDB6A9-E379-4030-BA1D-454F805E1BC1}">
    <text>Se ha ido en el descanso de las 12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L4" dT="2026-01-29T11:41:36.39" personId="{7CFDDFBB-5C0B-470A-8251-E22B5FCB660D}" id="{929A395B-A0E5-4F5D-9F6F-72900EC22A7B}">
    <text>Día de la nieve</text>
  </threadedComment>
  <threadedComment ref="Z5" dT="2026-01-16T09:48:33.36" personId="{134BCF9F-476B-4824-8ED8-6AEE0B813E78}" id="{9A3E38CA-3CD0-4680-BF00-52B9ED13E241}">
    <text>Ha entrado en el descanso de las 10</text>
  </threadedComment>
  <threadedComment ref="Z5" dT="2026-01-16T11:54:26.52" personId="{7CFDDFBB-5C0B-470A-8251-E22B5FCB660D}" id="{9E5A6F2A-2236-4721-A42F-4BE72454FC75}" parentId="{9A3E38CA-3CD0-4680-BF00-52B9ED13E241}">
    <text>Avisa</text>
  </threadedComment>
  <threadedComment ref="AF6" dT="2026-01-22T13:19:54.37" personId="{134BCF9F-476B-4824-8ED8-6AEE0B813E78}" id="{3FC5870D-DA97-4E31-9B8C-BC8A6CE946EF}">
    <text>Ha entrado en el descanso de las 10</text>
  </threadedComment>
  <threadedComment ref="AF6" dT="2026-01-22T13:27:10.60" personId="{7CFDDFBB-5C0B-470A-8251-E22B5FCB660D}" id="{6E363433-F064-4ADB-BAD9-30960D46B8D9}" parentId="{3FC5870D-DA97-4E31-9B8C-BC8A6CE946EF}">
    <text>Avisa</text>
  </threadedComment>
  <threadedComment ref="AE8" dT="2026-01-21T09:23:00.39" personId="{134BCF9F-476B-4824-8ED8-6AEE0B813E78}" id="{6A775F2A-4170-45F9-B7B8-F593FC42862A}">
    <text>Ha entrado en el descanso de las 10</text>
  </threadedComment>
  <threadedComment ref="AE8" dT="2026-01-21T10:43:25.83" personId="{7CFDDFBB-5C0B-470A-8251-E22B5FCB660D}" id="{3047418A-03EB-49F8-91BE-50217EA16F57}" parentId="{6A775F2A-4170-45F9-B7B8-F593FC42862A}">
    <text>Avisa</text>
  </threadedComment>
  <threadedComment ref="AE9" dT="2026-01-21T09:23:12.72" personId="{134BCF9F-476B-4824-8ED8-6AEE0B813E78}" id="{F6B030B8-54D8-4BEB-894A-D618669BA171}">
    <text>Ha entrado en el descanso de las 10</text>
  </threadedComment>
  <threadedComment ref="AE9" dT="2026-01-21T10:43:41.55" personId="{7CFDDFBB-5C0B-470A-8251-E22B5FCB660D}" id="{41E158EA-1E19-4A50-B919-1219FC22AB20}" parentId="{F6B030B8-54D8-4BEB-894A-D618669BA171}">
    <text>Avisa</text>
  </threadedComment>
  <threadedComment ref="AL12" dT="2026-01-28T13:27:38.12" personId="{134BCF9F-476B-4824-8ED8-6AEE0B813E78}" id="{632BF9D3-ABA9-44CE-B503-79F2808A01BD}">
    <text>No se ha conectado a la reunión en todo el día</text>
  </threadedComment>
  <threadedComment ref="AL12" dT="2026-01-29T11:40:31.26" personId="{7CFDDFBB-5C0B-470A-8251-E22B5FCB660D}" id="{6549B5DE-2A50-4705-95C9-613BCA34E9C6}" parentId="{632BF9D3-ABA9-44CE-B503-79F2808A01BD}">
    <text>Avisa. Pero cuando le amonesto por no avisar</text>
  </threadedComment>
  <threadedComment ref="AL13" dT="2026-01-29T12:42:19.25" personId="{7CFDDFBB-5C0B-470A-8251-E22B5FCB660D}" id="{1B6E4E10-ED4C-46DD-BBBB-96F232487B95}">
    <text>Avisa que no se pudo conectar por problema de tráfico</text>
  </threadedComment>
  <threadedComment ref="AL15" dT="2026-01-28T13:27:01.81" personId="{134BCF9F-476B-4824-8ED8-6AEE0B813E78}" id="{0AB0C02C-B20A-4550-A5F5-E33ED3E94BFE}">
    <text>Ha llegado a las 10 y luego no se ha conectado a la reunión en todo el día</text>
  </threadedComment>
  <threadedComment ref="AL15" dT="2026-01-28T16:43:16.66" personId="{7CFDDFBB-5C0B-470A-8251-E22B5FCB660D}" id="{CACA7D80-86AD-4CE6-BF96-88CF441DCD0D}" parentId="{0AB0C02C-B20A-4550-A5F5-E33ED3E94BFE}">
    <text>Avisa</text>
  </threadedComment>
  <threadedComment ref="AL18" dT="2026-01-28T13:28:05.39" personId="{134BCF9F-476B-4824-8ED8-6AEE0B813E78}" id="{7CF17E8D-12D9-4092-BE4A-93082DBE9E39}">
    <text>No se ha conectado a la reunión en todo el día</text>
  </threadedComment>
  <threadedComment ref="AL18" dT="2026-01-29T12:26:26.85" personId="{7CFDDFBB-5C0B-470A-8251-E22B5FCB660D}" id="{BA40ABB1-9CF3-442B-B766-54E59695096C}" parentId="{7CF17E8D-12D9-4092-BE4A-93082DBE9E39}">
    <text>Avisa por no conectarse, aunque después de recordárselo yo</text>
  </threadedComment>
  <threadedComment ref="AD19" dT="2026-01-20T09:24:10.46" personId="{7CFDDFBB-5C0B-470A-8251-E22B5FCB660D}" id="{A7E1DC36-D397-43F1-A34F-0823AD1831DB}">
    <text>Avisa</text>
  </threadedComment>
  <threadedComment ref="AJ19" dT="2026-01-26T22:43:40.36" personId="{7CFDDFBB-5C0B-470A-8251-E22B5FCB660D}" id="{8F8C5CCB-A97F-42C6-A38A-F07105DCE5A2}">
    <text>Avisa</text>
  </threadedComment>
  <threadedComment ref="AE23" dT="2026-01-21T10:42:53.02" personId="{7CFDDFBB-5C0B-470A-8251-E22B5FCB660D}" id="{F4E85DE7-4EB1-4F4F-ADA3-0B6F9C1AE644}">
    <text>Avisa</text>
  </threadedComment>
  <threadedComment ref="AL24" dT="2026-01-28T13:28:20.25" personId="{134BCF9F-476B-4824-8ED8-6AEE0B813E78}" id="{9AF0550F-A569-41E9-83CF-6A708009A522}">
    <text>No se ha conectado a la reunión en todo el día</text>
  </threadedComment>
  <threadedComment ref="AL24" dT="2026-01-29T12:26:09.80" personId="{7CFDDFBB-5C0B-470A-8251-E22B5FCB660D}" id="{6600ECDB-9A4B-4238-9523-44AE5E7B0C89}" parentId="{9AF0550F-A569-41E9-83CF-6A708009A522}">
    <text>Avisa por no conectarse, aunque después de recordárselo yo</text>
  </threadedComment>
  <threadedComment ref="S27" dT="2026-01-09T12:42:54.31" personId="{7CFDDFBB-5C0B-470A-8251-E22B5FCB660D}" id="{9C0F9DB2-335E-44B8-91C8-D978484F9389}">
    <text>Avisa</text>
  </threadedComment>
  <threadedComment ref="V27" dT="2026-01-12T15:06:55.44" personId="{7CFDDFBB-5C0B-470A-8251-E22B5FCB660D}" id="{770E6635-F572-4FCF-988C-F71457717447}">
    <text>Avisa</text>
  </threadedComment>
  <threadedComment ref="AE27" dT="2026-01-21T09:23:27.38" personId="{134BCF9F-476B-4824-8ED8-6AEE0B813E78}" id="{D568FA27-D213-4EA8-9202-E04E547AEEFA}">
    <text>Ha entrado en el descanso de las 10</text>
  </threadedComment>
  <threadedComment ref="AE27" dT="2026-01-21T10:43:08.31" personId="{7CFDDFBB-5C0B-470A-8251-E22B5FCB660D}" id="{EBFD6F2A-41D0-4A65-9B4F-8BB82CFABCF7}" parentId="{D568FA27-D213-4EA8-9202-E04E547AEEFA}">
    <text>Avisa</text>
  </threadedComment>
  <threadedComment ref="S28" dT="2026-01-09T12:40:11.95" personId="{7CFDDFBB-5C0B-470A-8251-E22B5FCB660D}" id="{89216F04-D5F9-4D9F-B56C-5E55467E645C}">
    <text>Avisa</text>
  </threadedComment>
  <threadedComment ref="W28" dT="2026-01-13T13:28:09.49" personId="{134BCF9F-476B-4824-8ED8-6AEE0B813E78}" id="{D44A6CD9-93B0-486D-9646-C91496F0D0C9}">
    <text>Ha entrado en el descanso de las 12</text>
  </threadedComment>
  <threadedComment ref="W28" dT="2026-01-13T14:56:12.38" personId="{7CFDDFBB-5C0B-470A-8251-E22B5FCB660D}" id="{1DDE1802-24C4-4C98-88D6-AA9ABC66EF70}" parentId="{D44A6CD9-93B0-486D-9646-C91496F0D0C9}">
    <text>Avisa</text>
  </threadedComment>
  <threadedComment ref="AL29" dT="2026-01-28T13:29:02.25" personId="{134BCF9F-476B-4824-8ED8-6AEE0B813E78}" id="{C15D607B-4EBD-463E-BC56-3B001050B1EA}">
    <text>Ha llegado a las 10 y luego no se ha conectado a la reunión en todo el día</text>
  </threadedComment>
  <threadedComment ref="AL29" dT="2026-01-28T16:39:52.73" personId="{7CFDDFBB-5C0B-470A-8251-E22B5FCB660D}" id="{0DA93B12-4BEF-4759-9FA8-C483DA803AC8}" parentId="{C15D607B-4EBD-463E-BC56-3B001050B1EA}">
    <text>Avisa del retraso</text>
  </threadedComment>
  <threadedComment ref="AL29" dT="2026-01-29T12:25:59.72" personId="{7CFDDFBB-5C0B-470A-8251-E22B5FCB660D}" id="{8487500D-EEDF-4EE3-875D-35C679EE4D86}" parentId="{C15D607B-4EBD-463E-BC56-3B001050B1EA}">
    <text>Avisa por no conectarse, aunque después de recordárselo yo</text>
  </threadedComment>
  <threadedComment ref="AL30" dT="2026-01-28T16:44:37.75" personId="{7CFDDFBB-5C0B-470A-8251-E22B5FCB660D}" id="{1EEEB5AE-64E1-4B35-A2A6-7A0D281CCDDF}">
    <text>Avisa que llegará tarde</text>
  </threadedComment>
  <threadedComment ref="AM30" dT="2026-01-30T12:51:40.73" personId="{134BCF9F-476B-4824-8ED8-6AEE0B813E78}" id="{C707BFC2-BA22-45B5-B3B6-8BC792F155FA}">
    <text>Se ha ido a las 12:30 porque se encontraba mal de la tripa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G4" dT="2025-12-19T17:06:02.96" personId="{7CFDDFBB-5C0B-470A-8251-E22B5FCB660D}" id="{14C9D64F-46A9-421B-96B9-671DC75C8541}">
    <text>Avisa</text>
  </threadedComment>
  <threadedComment ref="V5" dT="2025-12-05T11:36:23.39" personId="{134BCF9F-476B-4824-8ED8-6AEE0B813E78}" id="{CAFE6CD3-68EC-485D-A726-0C3391CB0D32}">
    <text>Ha entrado en el descanso de las 10</text>
  </threadedComment>
  <threadedComment ref="V5" dT="2025-12-07T13:15:45.52" personId="{7CFDDFBB-5C0B-470A-8251-E22B5FCB660D}" id="{54FA2C92-FD59-42C6-BFDC-EAF27B278324}" parentId="{CAFE6CD3-68EC-485D-A726-0C3391CB0D32}">
    <text>Avisa</text>
  </threadedComment>
  <threadedComment ref="AG5" dT="2025-12-16T09:15:14.14" personId="{134BCF9F-476B-4824-8ED8-6AEE0B813E78}" id="{179D1BA9-247F-4967-B8E3-A2E3FFF61AEE}">
    <text>Ha entrado en el descanso de las 10</text>
  </threadedComment>
  <threadedComment ref="AG5" dT="2025-12-19T17:06:26.99" personId="{7CFDDFBB-5C0B-470A-8251-E22B5FCB660D}" id="{660FE095-1F42-40AF-A358-D8791CBA776B}" parentId="{179D1BA9-247F-4967-B8E3-A2E3FFF61AEE}">
    <text>Avisa</text>
  </threadedComment>
  <threadedComment ref="AA9" dT="2025-12-10T09:51:43.03" personId="{134BCF9F-476B-4824-8ED8-6AEE0B813E78}" id="{34193308-3038-4ECF-BC8B-364651DF72CB}">
    <text>Ha entrado en el descanso de las 10</text>
  </threadedComment>
  <threadedComment ref="AA9" dT="2025-12-10T15:03:44.58" personId="{7CFDDFBB-5C0B-470A-8251-E22B5FCB660D}" id="{9AE0E112-17B4-4E2B-8C2C-34FB4860214D}" parentId="{34193308-3038-4ECF-BC8B-364651DF72CB}">
    <text>Avisa</text>
  </threadedComment>
  <threadedComment ref="V11" dT="2025-12-05T11:36:28.89" personId="{134BCF9F-476B-4824-8ED8-6AEE0B813E78}" id="{3BF7C3D4-7994-4E4D-82CA-8C1CC2CABE47}">
    <text>Ha entrado en el descanso de las 10</text>
  </threadedComment>
  <threadedComment ref="V11" dT="2025-12-07T13:16:05.01" personId="{7CFDDFBB-5C0B-470A-8251-E22B5FCB660D}" id="{535E2082-03E8-446A-B514-88AAE33344A3}" parentId="{3BF7C3D4-7994-4E4D-82CA-8C1CC2CABE47}">
    <text>Avisa</text>
  </threadedComment>
  <threadedComment ref="AA12" dT="2025-12-10T09:51:38.13" personId="{134BCF9F-476B-4824-8ED8-6AEE0B813E78}" id="{7D38815C-6854-4FAE-8C84-1A76EF7A7F33}">
    <text>Ha entrado en el descanso de las 10</text>
  </threadedComment>
  <threadedComment ref="AA12" dT="2025-12-11T08:44:40.60" personId="{7CFDDFBB-5C0B-470A-8251-E22B5FCB660D}" id="{BAF96312-54CD-4A7C-A456-C516535AD3B1}" parentId="{7D38815C-6854-4FAE-8C84-1A76EF7A7F33}">
    <text>Avisa</text>
  </threadedComment>
  <threadedComment ref="AF12" dT="2025-12-16T08:00:21.37" personId="{134BCF9F-476B-4824-8ED8-6AEE0B813E78}" id="{E8360F47-D7F2-446B-A8D2-8F6E1737EA9F}">
    <text>Ha estado conectado desde casa porque se ha lesionado un tobillo</text>
  </threadedComment>
  <threadedComment ref="AJ12" dT="2025-12-19T17:11:17.69" personId="{7CFDDFBB-5C0B-470A-8251-E22B5FCB660D}" id="{ECB5CDC3-ACFC-4E04-AA31-6E4669D92727}">
    <text>Avisa</text>
  </threadedComment>
  <threadedComment ref="S14" dT="2025-12-02T08:56:47.47" personId="{7CFDDFBB-5C0B-470A-8251-E22B5FCB660D}" id="{283E3D0F-2887-4E7F-BCC9-666B919561D2}">
    <text>Avisa</text>
  </threadedComment>
  <threadedComment ref="S14" dT="2025-12-02T09:18:31.07" personId="{134BCF9F-476B-4824-8ED8-6AEE0B813E78}" id="{8CE1D926-DD41-48BE-999C-CC4F3A98F5C6}" parentId="{283E3D0F-2887-4E7F-BCC9-666B919561D2}">
    <text>Ha entrado en el descanso de las 10</text>
  </threadedComment>
  <threadedComment ref="AB16" dT="2025-12-11T08:49:22.79" personId="{7CFDDFBB-5C0B-470A-8251-E22B5FCB660D}" id="{B90041BB-4BF6-455D-9B80-D68B3A92C872}">
    <text>Avisa</text>
  </threadedComment>
  <threadedComment ref="AH16" dT="2025-12-17T09:14:40.52" personId="{134BCF9F-476B-4824-8ED8-6AEE0B813E78}" id="{5335A173-8EF1-4DDA-8D1F-152C932A8FE9}">
    <text>Ha entrado en el descanso de las 10</text>
  </threadedComment>
  <threadedComment ref="AH16" dT="2025-12-19T17:08:28.88" personId="{7CFDDFBB-5C0B-470A-8251-E22B5FCB660D}" id="{9F5B952B-8F31-4CB9-BEFD-04BB3ED06D90}" parentId="{5335A173-8EF1-4DDA-8D1F-152C932A8FE9}">
    <text>Avisa</text>
  </threadedComment>
  <threadedComment ref="AB18" dT="2025-12-11T12:02:14.88" personId="{134BCF9F-476B-4824-8ED8-6AEE0B813E78}" id="{0DFD928A-FAD6-4EE8-9B82-A680C4832534}">
    <text>Se ha ido en el descanso de las 12 porque se encontraba enferma</text>
  </threadedComment>
  <threadedComment ref="AB18" dT="2025-12-11T16:05:03.61" personId="{7CFDDFBB-5C0B-470A-8251-E22B5FCB660D}" id="{D5DCC587-FA7A-4CC0-9D90-71BE4045D510}" parentId="{0DFD928A-FAD6-4EE8-9B82-A680C4832534}">
    <text>Avisa</text>
  </threadedComment>
  <threadedComment ref="AC18" dT="2025-12-12T09:54:12.39" personId="{7CFDDFBB-5C0B-470A-8251-E22B5FCB660D}" id="{C0404E15-F726-40C7-A24D-72172367D30C}">
    <text>Avisa</text>
  </threadedComment>
  <threadedComment ref="AA22" dT="2025-12-10T09:51:32.79" personId="{134BCF9F-476B-4824-8ED8-6AEE0B813E78}" id="{69B0353E-52EF-4559-B175-108D86EB76D5}">
    <text>Ha entrado en el descanso de las 10</text>
  </threadedComment>
  <threadedComment ref="AA22" dT="2025-12-11T08:46:47.45" personId="{7CFDDFBB-5C0B-470A-8251-E22B5FCB660D}" id="{21F2DC39-E0D7-4629-AFA7-8ECBCB011DA9}" parentId="{69B0353E-52EF-4559-B175-108D86EB76D5}">
    <text>Avisa</text>
  </threadedComment>
  <threadedComment ref="AG22" dT="2025-12-17T08:03:22.20" personId="{134BCF9F-476B-4824-8ED8-6AEE0B813E78}" id="{FF0FFE63-E8FE-4898-A43C-5BCBD95D5DCC}">
    <text>Se ha ido sobre las 13 ya que se encontraba mal del estómago</text>
  </threadedComment>
  <threadedComment ref="AG22" dT="2025-12-19T17:06:47.32" personId="{7CFDDFBB-5C0B-470A-8251-E22B5FCB660D}" id="{344B9E35-056B-466B-9265-1D4D471F16EB}" parentId="{FF0FFE63-E8FE-4898-A43C-5BCBD95D5DCC}">
    <text>Avisa</text>
  </threadedComment>
  <threadedComment ref="AA23" dT="2025-12-10T09:51:27.68" personId="{134BCF9F-476B-4824-8ED8-6AEE0B813E78}" id="{024DCE76-9D90-4E8F-91E7-879E1083EDAE}">
    <text>Ha entrado en el descanso de las 10</text>
  </threadedComment>
  <threadedComment ref="AA23" dT="2025-12-11T08:47:43.96" personId="{7CFDDFBB-5C0B-470A-8251-E22B5FCB660D}" id="{82274051-0A48-4C8A-A525-5617A888C4BD}" parentId="{024DCE76-9D90-4E8F-91E7-879E1083EDAE}">
    <text>Avisa</text>
  </threadedComment>
  <threadedComment ref="T26" dT="2025-12-03T10:47:08.70" personId="{7CFDDFBB-5C0B-470A-8251-E22B5FCB660D}" id="{6CCA2330-37AA-4581-9C49-BE76969FE852}">
    <text>Avisa</text>
  </threadedComment>
  <threadedComment ref="AC26" dT="2025-12-12T09:53:45.34" personId="{7CFDDFBB-5C0B-470A-8251-E22B5FCB660D}" id="{37031C3A-4ED4-45F7-846A-418927FACEFE}">
    <text>Avisa</text>
  </threadedComment>
  <threadedComment ref="AG26" dT="2025-12-19T17:05:32.88" personId="{7CFDDFBB-5C0B-470A-8251-E22B5FCB660D}" id="{178ED60D-9B61-45BB-BB25-E381498714CE}">
    <text>Avisa</text>
  </threadedComment>
  <threadedComment ref="V27" dT="2025-12-05T11:36:36.23" personId="{134BCF9F-476B-4824-8ED8-6AEE0B813E78}" id="{D3AC0C89-A82E-4B37-93E3-42CBEDC273AC}">
    <text>Ha entrado en el descanso de las 10</text>
  </threadedComment>
  <threadedComment ref="V27" dT="2025-12-07T13:16:26.10" personId="{7CFDDFBB-5C0B-470A-8251-E22B5FCB660D}" id="{52740E12-6337-43E7-875E-D6EF39ED26B1}" parentId="{D3AC0C89-A82E-4B37-93E3-42CBEDC273AC}">
    <text>Avisa</text>
  </threadedComment>
  <threadedComment ref="AA28" dT="2025-12-10T09:51:21.87" personId="{134BCF9F-476B-4824-8ED8-6AEE0B813E78}" id="{99BFB63A-3A21-4752-AA1A-B880B98681E8}">
    <text>Ha entrado en el descanso de las 10</text>
  </threadedComment>
  <threadedComment ref="AA28" dT="2025-12-11T08:44:12.56" personId="{7CFDDFBB-5C0B-470A-8251-E22B5FCB660D}" id="{B2200501-9554-46DE-B8C1-6C8E80752C72}" parentId="{99BFB63A-3A21-4752-AA1A-B880B98681E8}">
    <text>Avisa</text>
  </threadedComment>
  <threadedComment ref="S29" dT="2025-12-02T08:57:07.14" personId="{7CFDDFBB-5C0B-470A-8251-E22B5FCB660D}" id="{3E28A86D-F03E-4C0B-90B4-38E58B03DEC3}">
    <text>Avisa</text>
  </threadedComment>
  <threadedComment ref="S29" dT="2025-12-02T09:18:18.84" personId="{134BCF9F-476B-4824-8ED8-6AEE0B813E78}" id="{23318A74-785D-4751-AC09-82776B3BD3EE}" parentId="{3E28A86D-F03E-4C0B-90B4-38E58B03DEC3}">
    <text>Ha entrado en el descanso de las 10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Y5" dT="2025-11-11T13:26:13.95" personId="{7CFDDFBB-5C0B-470A-8251-E22B5FCB660D}" id="{E1DC2A4B-BA47-432B-91BC-6D584E8875FE}">
    <text>Avisa</text>
  </threadedComment>
  <threadedComment ref="Y5" dT="2025-11-12T08:05:21.80" personId="{134BCF9F-476B-4824-8ED8-6AEE0B813E78}" id="{FE39F5F4-160F-437C-B0A3-4299402784D3}" parentId="{E1DC2A4B-BA47-432B-91BC-6D584E8875FE}">
    <text>Ha entrado en el descanso de las 10</text>
  </threadedComment>
  <threadedComment ref="AF7" dT="2025-11-18T10:43:33.35" personId="{7CFDDFBB-5C0B-470A-8251-E22B5FCB660D}" id="{27A5A9D2-25DB-46D4-9398-A0CCF7848CDD}">
    <text>Avisa</text>
  </threadedComment>
  <threadedComment ref="AF7" dT="2025-11-18T10:53:31.41" personId="{134BCF9F-476B-4824-8ED8-6AEE0B813E78}" id="{5A70947B-6D87-4988-9491-CC794CF9F5B2}" parentId="{27A5A9D2-25DB-46D4-9398-A0CCF7848CDD}">
    <text xml:space="preserve">Está siguiendo la clase online y está hablando conmigo y todo.  </text>
  </threadedComment>
  <threadedComment ref="U10" dT="2025-11-07T10:54:38.28" personId="{134BCF9F-476B-4824-8ED8-6AEE0B813E78}" id="{4B094284-7D78-47C7-BE26-406A6C35CF91}">
    <text>Ha entrado en el descanso de las 10</text>
  </threadedComment>
  <threadedComment ref="U10" dT="2025-11-07T15:07:34.12" personId="{7CFDDFBB-5C0B-470A-8251-E22B5FCB660D}" id="{4B70049B-02A7-4A29-BA2D-A1850936C6E6}" parentId="{4B094284-7D78-47C7-BE26-406A6C35CF91}">
    <text>Avisa</text>
  </threadedComment>
  <threadedComment ref="AH10" dT="2025-11-20T12:08:53.08" personId="{134BCF9F-476B-4824-8ED8-6AEE0B813E78}" id="{C0998060-2A8B-443A-B2DD-ADE248CABC47}">
    <text>Se ha ido a las 11:55 porque no se encontraba bien...</text>
  </threadedComment>
  <threadedComment ref="U13" dT="2025-11-07T10:54:33.41" personId="{134BCF9F-476B-4824-8ED8-6AEE0B813E78}" id="{B0BB852C-C416-49B2-A075-9A6F907944C7}">
    <text>Ha entrado en el descanso de las 10</text>
  </threadedComment>
  <threadedComment ref="U14" dT="2025-11-07T10:54:28.11" personId="{134BCF9F-476B-4824-8ED8-6AEE0B813E78}" id="{75A77E0D-B8BD-4F65-A754-837868216548}">
    <text>Ha entrado en el descanso de las 10</text>
  </threadedComment>
  <threadedComment ref="U14" dT="2025-11-07T15:07:57.27" personId="{7CFDDFBB-5C0B-470A-8251-E22B5FCB660D}" id="{1CA3A57B-9BAF-4DCD-ACF3-E00F5B37A043}" parentId="{75A77E0D-B8BD-4F65-A754-837868216548}">
    <text>Avisa</text>
  </threadedComment>
  <threadedComment ref="Y14" dT="2025-11-11T13:26:34.83" personId="{7CFDDFBB-5C0B-470A-8251-E22B5FCB660D}" id="{A39258A1-4850-4482-993A-7D67CE8C157C}">
    <text>Avisa</text>
  </threadedComment>
  <threadedComment ref="Z14" dT="2025-11-12T08:50:46.89" personId="{7CFDDFBB-5C0B-470A-8251-E22B5FCB660D}" id="{6F9A0EDF-0531-4745-9466-8DB14582A9F6}">
    <text>Avisa</text>
  </threadedComment>
  <threadedComment ref="AB16" dT="2025-11-14T11:28:44.45" personId="{7CFDDFBB-5C0B-470A-8251-E22B5FCB660D}" id="{78C8F7AF-29E6-4EB7-8307-CF392A1C6F79}">
    <text>Avisa</text>
  </threadedComment>
  <threadedComment ref="AL16" dT="2025-11-24T08:57:30.43" personId="{7CFDDFBB-5C0B-470A-8251-E22B5FCB660D}" id="{FC02B0F3-176B-404F-8B57-4D6C94D0F846}">
    <text>Avisa</text>
  </threadedComment>
  <threadedComment ref="U18" dT="2025-11-07T14:51:38.22" personId="{7CFDDFBB-5C0B-470A-8251-E22B5FCB660D}" id="{4DF16655-4F2E-4E39-A0D6-38136BD0707D}">
    <text>Avisa</text>
  </threadedComment>
  <threadedComment ref="AN18" dT="2025-11-26T09:30:15.58" personId="{7CFDDFBB-5C0B-470A-8251-E22B5FCB660D}" id="{5BCCB9B7-CE16-40F9-B8C3-564A63B117CA}">
    <text>Avisa</text>
  </threadedComment>
  <threadedComment ref="U26" dT="2025-11-07T10:54:22.31" personId="{134BCF9F-476B-4824-8ED8-6AEE0B813E78}" id="{5A2EF3B7-A70B-4091-9D1E-848E3B864A96}">
    <text>Ha entrado en el descanso de las 10</text>
  </threadedComment>
  <threadedComment ref="U26" dT="2025-11-07T15:07:08.19" personId="{7CFDDFBB-5C0B-470A-8251-E22B5FCB660D}" id="{B2102CF8-AEF0-40BF-947C-FF9798B8C09C}" parentId="{5A2EF3B7-A70B-4091-9D1E-848E3B864A96}">
    <text>Avisa</text>
  </threadedComment>
  <threadedComment ref="AG26" dT="2025-11-20T12:30:30.33" personId="{7CFDDFBB-5C0B-470A-8251-E22B5FCB660D}" id="{F9105F83-31DC-495A-83AA-8E6CD3A39449}">
    <text>Avisa</text>
  </threadedComment>
  <threadedComment ref="AL26" dT="2025-11-24T08:57:44.72" personId="{7CFDDFBB-5C0B-470A-8251-E22B5FCB660D}" id="{406F9FDD-A49C-4928-BE0E-C114092AA0B9}">
    <text>Avisa</text>
  </threadedComment>
  <threadedComment ref="Y29" dT="2025-11-12T08:05:08.21" personId="{134BCF9F-476B-4824-8ED8-6AEE0B813E78}" id="{74DFF4B4-F2F3-4E1F-8941-1D4FE3185768}">
    <text>Se ha ido a las 10 porque se encontraba mal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M4" dT="2025-10-22T07:02:34.00" personId="{134BCF9F-476B-4824-8ED8-6AEE0B813E78}" id="{DAB5C821-382F-4CF5-8A73-0F15A2A74B06}">
    <text>Ha ido al evento AppAdicts</text>
  </threadedComment>
  <threadedComment ref="AM9" dT="2025-10-22T07:01:28.60" personId="{134BCF9F-476B-4824-8ED8-6AEE0B813E78}" id="{DA268395-B22E-4134-82D2-8E1D83F04E0C}">
    <text>Ha ido al evento AppAdicts</text>
  </threadedComment>
  <threadedComment ref="AG11" dT="2025-10-16T08:12:39.63" personId="{134BCF9F-476B-4824-8ED8-6AEE0B813E78}" id="{10379FFC-C1A1-4859-B085-17E5DCCC0779}">
    <text>Ha entrado en el descanso de las 10</text>
  </threadedComment>
  <threadedComment ref="AG11" dT="2025-10-16T15:17:54.16" personId="{7CFDDFBB-5C0B-470A-8251-E22B5FCB660D}" id="{38D9C242-2882-44E4-BE1D-3BBB5351586D}" parentId="{10379FFC-C1A1-4859-B085-17E5DCCC0779}">
    <text>Avisa</text>
  </threadedComment>
  <threadedComment ref="AH11" dT="2025-10-17T12:19:38.28" personId="{134BCF9F-476B-4824-8ED8-6AEE0B813E78}" id="{AAC64A8C-59AC-4CAE-8EC4-7BC411ECADB6}">
    <text>Ha entrado en el descanso de las 10</text>
  </threadedComment>
  <threadedComment ref="AL11" dT="2025-10-21T08:15:33.79" personId="{134BCF9F-476B-4824-8ED8-6AEE0B813E78}" id="{61549783-7095-485C-93B3-63B13B6DD36F}">
    <text>Ha entrado en el descanso de las 10</text>
  </threadedComment>
  <threadedComment ref="AL11" dT="2025-10-21T14:27:37.35" personId="{7CFDDFBB-5C0B-470A-8251-E22B5FCB660D}" id="{06C03945-FAD3-40A0-8D5E-E9AC63A2948B}" parentId="{61549783-7095-485C-93B3-63B13B6DD36F}">
    <text>Avisa</text>
  </threadedComment>
  <threadedComment ref="AM11" dT="2025-10-22T07:01:28.60" personId="{134BCF9F-476B-4824-8ED8-6AEE0B813E78}" id="{B9F220E2-15CE-4859-90F5-8C9757DE5CBD}">
    <text>Ha ido al evento AppAdicts</text>
  </threadedComment>
  <threadedComment ref="AR11" dT="2025-10-27T09:07:17.83" personId="{7CFDDFBB-5C0B-470A-8251-E22B5FCB660D}" id="{61AA66E8-97A6-4D85-A7E3-1224F70BEE4A}">
    <text>Avisa</text>
  </threadedComment>
  <threadedComment ref="AR11" dT="2025-10-27T09:14:07.46" personId="{134BCF9F-476B-4824-8ED8-6AEE0B813E78}" id="{52BE1C40-08CB-4C49-96EE-3A56407AA1BA}" parentId="{61AA66E8-97A6-4D85-A7E3-1224F70BEE4A}">
    <text>Ha entrado en el descanso de las 10</text>
  </threadedComment>
  <threadedComment ref="AG13" dT="2025-10-15T12:02:10.14" personId="{7CFDDFBB-5C0B-470A-8251-E22B5FCB660D}" id="{30987A43-5E61-4983-8ED7-AF15CD48AC88}">
    <text>Avisa que tiene examen de conducir</text>
  </threadedComment>
  <threadedComment ref="AE14" dT="2025-10-14T10:30:30.69" personId="{134BCF9F-476B-4824-8ED8-6AEE0B813E78}" id="{FE193104-D06D-4A03-9E20-AC018D7E89CF}">
    <text>Ha entrado en el descanso de las 10</text>
  </threadedComment>
  <threadedComment ref="AL14" dT="2025-10-21T08:15:38.65" personId="{134BCF9F-476B-4824-8ED8-6AEE0B813E78}" id="{BB26D3DF-C7BF-49AA-85EC-BD840BFC762C}">
    <text>Ha entrado en el descanso de las 10</text>
  </threadedComment>
  <threadedComment ref="AL14" dT="2025-10-21T08:25:38.67" personId="{7CFDDFBB-5C0B-470A-8251-E22B5FCB660D}" id="{F2EA4303-22C6-41A4-9031-2F9683EFE897}" parentId="{BB26D3DF-C7BF-49AA-85EC-BD840BFC762C}">
    <text>Avisa</text>
  </threadedComment>
  <threadedComment ref="AR14" dT="2025-10-27T09:13:59.76" personId="{134BCF9F-476B-4824-8ED8-6AEE0B813E78}" id="{B477834A-D6C3-47AB-B885-18237EEAA2C7}">
    <text>Ha entrado en el descanso de las 10</text>
  </threadedComment>
  <threadedComment ref="AE15" dT="2025-10-14T10:30:35.42" personId="{134BCF9F-476B-4824-8ED8-6AEE0B813E78}" id="{CE44B7BA-D5E8-413D-A7F1-C653333D0A1D}">
    <text>Ha entrado en el descanso de las 10</text>
  </threadedComment>
  <threadedComment ref="AE15" dT="2025-10-15T11:59:14.48" personId="{7CFDDFBB-5C0B-470A-8251-E22B5FCB660D}" id="{41262128-4A5F-45BC-8BBF-6B04FA75FB49}" parentId="{CE44B7BA-D5E8-413D-A7F1-C653333D0A1D}">
    <text>Avisa</text>
  </threadedComment>
  <threadedComment ref="AG16" dT="2025-10-02T12:17:09.48" personId="{7CFDDFBB-5C0B-470A-8251-E22B5FCB660D}" id="{1DED06C2-F944-4BB9-8740-1E09B5C5B9FA}">
    <text xml:space="preserve">Avisa que tendrá que salir a las 11:00 </text>
  </threadedComment>
  <threadedComment ref="AG16" dT="2025-10-16T11:39:57.11" personId="{134BCF9F-476B-4824-8ED8-6AEE0B813E78}" id="{354C9A12-5C3D-4E28-9BD4-E059B9851BFB}" parentId="{1DED06C2-F944-4BB9-8740-1E09B5C5B9FA}">
    <text>Se ha ido a las 11:00</text>
  </threadedComment>
  <threadedComment ref="AS16" dT="2025-10-28T11:28:30.33" personId="{134BCF9F-476B-4824-8ED8-6AEE0B813E78}" id="{460D6D70-2A78-46B7-928A-7697F40551CE}">
    <text>Ha entrado en el descanso de las 10</text>
  </threadedComment>
  <threadedComment ref="AS16" dT="2025-10-28T14:55:01.91" personId="{7CFDDFBB-5C0B-470A-8251-E22B5FCB660D}" id="{4D7D2B73-473A-4BD2-842B-3AAD6185CEDC}" parentId="{460D6D70-2A78-46B7-928A-7697F40551CE}">
    <text>Avisa</text>
  </threadedComment>
  <threadedComment ref="AU20" dT="2025-10-30T09:42:11.69" personId="{134BCF9F-476B-4824-8ED8-6AEE0B813E78}" id="{667C0EC2-E58F-42AA-BD45-0148F64821DA}">
    <text>Ha entrado en el descanso de las 10</text>
  </threadedComment>
  <threadedComment ref="AU20" dT="2025-10-31T08:41:09.73" personId="{7CFDDFBB-5C0B-470A-8251-E22B5FCB660D}" id="{39B4D751-942A-47F0-9F7B-7111EC02D09A}" parentId="{667C0EC2-E58F-42AA-BD45-0148F64821DA}">
    <text>Avisa</text>
  </threadedComment>
  <threadedComment ref="AM22" dT="2025-10-22T07:01:28.60" personId="{134BCF9F-476B-4824-8ED8-6AEE0B813E78}" id="{62BA120E-1E9C-4726-9D2B-E524ACFD6BE6}">
    <text>Ha ido al evento AppAdicts</text>
  </threadedComment>
  <threadedComment ref="AR22" dT="2025-10-27T09:14:23.35" personId="{134BCF9F-476B-4824-8ED8-6AEE0B813E78}" id="{D10A173B-D7D5-4874-BE28-6FF62D3C0453}">
    <text>Ha entrado en el descanso de las 10</text>
  </threadedComment>
  <threadedComment ref="AR22" dT="2025-10-27T09:30:11.29" personId="{7CFDDFBB-5C0B-470A-8251-E22B5FCB660D}" id="{E446ADDC-7759-42FC-ADD9-34BEC6FB1F45}" parentId="{D10A173B-D7D5-4874-BE28-6FF62D3C0453}">
    <text>Avisa</text>
  </threadedComment>
  <threadedComment ref="S26" dT="2025-10-02T07:46:57.68" personId="{7CFDDFBB-5C0B-470A-8251-E22B5FCB660D}" id="{05AAC5A6-0058-4D8E-81A4-7E1979C42664}">
    <text>Avisa</text>
  </threadedComment>
  <threadedComment ref="S26" dT="2025-10-02T13:20:07.50" personId="{134BCF9F-476B-4824-8ED8-6AEE0B813E78}" id="{79741355-C468-4696-AAAA-7ECB15A5FA0B}" parentId="{05AAC5A6-0058-4D8E-81A4-7E1979C42664}">
    <text>Ha entrado a las 10</text>
  </threadedComment>
  <threadedComment ref="T26" dT="2025-10-02T07:47:10.92" personId="{7CFDDFBB-5C0B-470A-8251-E22B5FCB660D}" id="{CC6AFD02-FC69-4365-AFDF-D1D13EE85536}">
    <text>Avisa que no vendrá</text>
  </threadedComment>
  <threadedComment ref="AM26" dT="2025-10-22T07:01:28.60" personId="{134BCF9F-476B-4824-8ED8-6AEE0B813E78}" id="{506FE696-8657-425A-81B8-D6A8CE46BB81}">
    <text>Ha ido al evento AppAdicts</text>
  </threadedComment>
  <threadedComment ref="AM28" dT="2025-10-22T07:01:28.60" personId="{134BCF9F-476B-4824-8ED8-6AEE0B813E78}" id="{50ED871C-1DA5-4F02-98B6-D69BC7826907}">
    <text>Ha ido al evento AppAdicts</text>
  </threadedComment>
  <threadedComment ref="AE29" dT="2025-10-14T10:30:40.33" personId="{134BCF9F-476B-4824-8ED8-6AEE0B813E78}" id="{DCCD28E8-581B-4766-824C-03148E93E370}">
    <text>Ha entrado en el descanso de las 10</text>
  </threadedComment>
  <threadedComment ref="AL29" dT="2025-10-21T08:15:44.83" personId="{134BCF9F-476B-4824-8ED8-6AEE0B813E78}" id="{A58C718E-F6C1-49CF-82C0-D6BA64FEFB06}">
    <text>Ha entrado en el descanso de las 10</text>
  </threadedComment>
  <threadedComment ref="AL29" dT="2025-10-21T08:25:20.77" personId="{7CFDDFBB-5C0B-470A-8251-E22B5FCB660D}" id="{F23B9EEF-3092-465D-98B4-10751D015D76}" parentId="{A58C718E-F6C1-49CF-82C0-D6BA64FEFB06}">
    <text>Avisa</text>
  </threadedComment>
  <threadedComment ref="AR29" dT="2025-10-27T09:13:53.15" personId="{134BCF9F-476B-4824-8ED8-6AEE0B813E78}" id="{1A1CD99C-BFF6-443E-A18C-D3910D772254}">
    <text>Ha entrado en el descanso de las 10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1" dT="2020-11-27T16:15:29.54" personId="{7CFDDFBB-5C0B-470A-8251-E22B5FCB660D}" id="{138BF7B8-50FC-4508-A720-CB0C5570F590}">
    <text>Puntuar del 1 al 10 (el 10 es la mejor nota)</text>
  </threadedComment>
  <threadedComment ref="E1" dT="2020-11-27T16:15:36.13" personId="{7CFDDFBB-5C0B-470A-8251-E22B5FCB660D}" id="{662343C8-8725-4030-A4AF-8B4F50C063C0}">
    <text>Puntuar del 1 al 10 (el 10 es la mejor nota)</text>
  </threadedComment>
  <threadedComment ref="F1" dT="2020-11-27T16:15:51.26" personId="{7CFDDFBB-5C0B-470A-8251-E22B5FCB660D}" id="{5BD836E9-E388-4358-A576-D0B81F694D18}">
    <text>Puntuar del 1 al 10 (el 10 es la mejor nota)</text>
  </threadedComment>
  <threadedComment ref="G1" personId="{454CD569-A03D-4D64-849B-A461B4289203}" id="{C760600A-62F4-43CD-A2FF-FC88CB381B56}">
    <text xml:space="preserve">Puntuar del 1 al 10 (el 10 es la mejor nota). Mucho: 9-10; Medio: 8-7; Bajo: 6-5
</text>
  </threadedComment>
  <threadedComment ref="H1" personId="{10C4CAD4-CA85-4665-AA93-A50D8EE62E97}" id="{248CAC96-DB04-4A94-BEFF-58AF7435D334}">
    <text>Puntuar del 1 al 10 (el 10 es la mejor nota)</text>
  </threadedComment>
  <threadedComment ref="I1" personId="{10C4CAD4-CA85-4665-AA93-A50D8EE62E97}" id="{86423E41-2AC3-4E0A-83AA-1D566B5C8322}">
    <text>Puntuar del 1 al 10 (el 10 es la mejor nota)</text>
  </threadedComment>
  <threadedComment ref="J1" personId="{10C4CAD4-CA85-4665-AA93-A50D8EE62E97}" id="{745E0F08-A58B-406A-8BB4-E3E052ACAD18}">
    <text>Valorar del 1 al 10</text>
  </threadedComment>
  <threadedComment ref="K1" personId="{454CD569-A03D-4D64-849B-A461B4289203}" id="{2049DCB1-0AB6-48AF-801C-42349E9FCE38}">
    <text>Cumplimentar. Dar detalles sobre cada persona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jorgerodriguezalonso20@gmail.com" TargetMode="External"/><Relationship Id="rId7" Type="http://schemas.openxmlformats.org/officeDocument/2006/relationships/hyperlink" Target="mailto:alexruiz.g23@gmail.com" TargetMode="External"/><Relationship Id="rId2" Type="http://schemas.openxmlformats.org/officeDocument/2006/relationships/hyperlink" Target="mailto:jorge.rodriguezalonso@tajamar365.com" TargetMode="External"/><Relationship Id="rId1" Type="http://schemas.openxmlformats.org/officeDocument/2006/relationships/hyperlink" Target="mailto:javier.alonsomansilla@tajamar365.com" TargetMode="External"/><Relationship Id="rId6" Type="http://schemas.openxmlformats.org/officeDocument/2006/relationships/hyperlink" Target="mailto:alejandro.ruizgarcia@tajamar365.com" TargetMode="External"/><Relationship Id="rId5" Type="http://schemas.openxmlformats.org/officeDocument/2006/relationships/hyperlink" Target="mailto:raulgamu2003@gmail.com" TargetMode="External"/><Relationship Id="rId4" Type="http://schemas.openxmlformats.org/officeDocument/2006/relationships/hyperlink" Target="mailto:raul.garciamunoz@tajamar365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autoPageBreaks="0"/>
  </sheetPr>
  <dimension ref="A1:K38"/>
  <sheetViews>
    <sheetView workbookViewId="0">
      <pane xSplit="3" topLeftCell="K1" activePane="topRight" state="frozen"/>
      <selection pane="topRight" activeCell="K29" sqref="K29"/>
    </sheetView>
  </sheetViews>
  <sheetFormatPr baseColWidth="10" defaultColWidth="17.140625" defaultRowHeight="12.75" customHeight="1" x14ac:dyDescent="0.2"/>
  <cols>
    <col min="1" max="1" width="4.42578125" customWidth="1"/>
    <col min="2" max="2" width="25.42578125" customWidth="1"/>
    <col min="3" max="3" width="18.42578125" customWidth="1"/>
    <col min="4" max="4" width="32.28515625" customWidth="1"/>
    <col min="5" max="5" width="27.7109375" bestFit="1" customWidth="1"/>
    <col min="6" max="6" width="35.42578125" bestFit="1" customWidth="1"/>
    <col min="7" max="7" width="37.28515625" customWidth="1"/>
    <col min="8" max="8" width="37.140625" customWidth="1"/>
    <col min="9" max="9" width="47" customWidth="1"/>
    <col min="10" max="10" width="71.42578125" customWidth="1"/>
    <col min="11" max="11" width="72.28515625" bestFit="1" customWidth="1"/>
  </cols>
  <sheetData>
    <row r="1" spans="1:11" ht="12.75" customHeight="1" x14ac:dyDescent="0.2">
      <c r="A1" s="5" t="s">
        <v>0</v>
      </c>
      <c r="B1" s="5" t="s">
        <v>1</v>
      </c>
      <c r="C1" s="5" t="s">
        <v>2</v>
      </c>
      <c r="D1" s="66" t="s">
        <v>3</v>
      </c>
      <c r="E1" s="56" t="s">
        <v>4</v>
      </c>
      <c r="F1" s="66" t="s">
        <v>5</v>
      </c>
      <c r="G1" s="56" t="s">
        <v>6</v>
      </c>
      <c r="H1" s="56" t="s">
        <v>7</v>
      </c>
      <c r="I1" s="66" t="s">
        <v>8</v>
      </c>
      <c r="J1" s="66" t="s">
        <v>9</v>
      </c>
      <c r="K1" s="84" t="s">
        <v>10</v>
      </c>
    </row>
    <row r="2" spans="1:11" ht="12.75" customHeight="1" x14ac:dyDescent="0.2">
      <c r="A2" s="8">
        <v>1</v>
      </c>
      <c r="B2" s="8" t="s">
        <v>11</v>
      </c>
      <c r="C2" s="8" t="s">
        <v>12</v>
      </c>
      <c r="D2" s="67">
        <v>8</v>
      </c>
      <c r="E2" s="67">
        <v>7</v>
      </c>
      <c r="F2" s="67">
        <v>8</v>
      </c>
      <c r="G2" s="67">
        <v>4</v>
      </c>
      <c r="H2" s="67">
        <v>7</v>
      </c>
      <c r="I2" s="67">
        <v>7</v>
      </c>
      <c r="J2" s="45" t="s">
        <v>13</v>
      </c>
      <c r="K2" s="85" t="s">
        <v>14</v>
      </c>
    </row>
    <row r="3" spans="1:11" ht="12.75" customHeight="1" x14ac:dyDescent="0.2">
      <c r="A3" s="8">
        <v>2</v>
      </c>
      <c r="B3" s="8" t="s">
        <v>15</v>
      </c>
      <c r="C3" s="8" t="s">
        <v>16</v>
      </c>
      <c r="D3" s="44">
        <v>8</v>
      </c>
      <c r="E3" s="67">
        <v>7</v>
      </c>
      <c r="F3" s="67">
        <v>8</v>
      </c>
      <c r="G3" s="4">
        <v>5</v>
      </c>
      <c r="H3" s="44">
        <v>7</v>
      </c>
      <c r="I3" s="67">
        <v>7</v>
      </c>
      <c r="J3" s="68" t="s">
        <v>13</v>
      </c>
      <c r="K3" s="85" t="s">
        <v>17</v>
      </c>
    </row>
    <row r="4" spans="1:11" ht="12.75" customHeight="1" x14ac:dyDescent="0.2">
      <c r="A4" s="8">
        <v>3</v>
      </c>
      <c r="B4" s="8" t="s">
        <v>18</v>
      </c>
      <c r="C4" s="8" t="s">
        <v>19</v>
      </c>
      <c r="D4" s="44">
        <v>8</v>
      </c>
      <c r="E4" s="67">
        <v>7</v>
      </c>
      <c r="F4" s="67">
        <v>8</v>
      </c>
      <c r="G4" s="4">
        <v>5</v>
      </c>
      <c r="H4" s="44">
        <v>6</v>
      </c>
      <c r="I4" s="67">
        <v>7</v>
      </c>
      <c r="J4" s="45" t="s">
        <v>13</v>
      </c>
      <c r="K4" s="85" t="s">
        <v>20</v>
      </c>
    </row>
    <row r="5" spans="1:11" ht="12.75" customHeight="1" x14ac:dyDescent="0.2">
      <c r="A5" s="8">
        <v>4</v>
      </c>
      <c r="B5" s="8" t="s">
        <v>21</v>
      </c>
      <c r="C5" s="8" t="s">
        <v>22</v>
      </c>
      <c r="D5" s="44">
        <v>8</v>
      </c>
      <c r="E5" s="67">
        <v>7</v>
      </c>
      <c r="F5" s="67">
        <v>8</v>
      </c>
      <c r="G5" s="4">
        <v>5</v>
      </c>
      <c r="H5" s="44">
        <v>8</v>
      </c>
      <c r="I5" s="67">
        <v>7</v>
      </c>
      <c r="J5" s="68" t="s">
        <v>13</v>
      </c>
      <c r="K5" s="85" t="s">
        <v>23</v>
      </c>
    </row>
    <row r="6" spans="1:11" ht="12.75" customHeight="1" x14ac:dyDescent="0.2">
      <c r="A6" s="8">
        <v>5</v>
      </c>
      <c r="B6" s="8" t="s">
        <v>24</v>
      </c>
      <c r="C6" s="8" t="s">
        <v>25</v>
      </c>
      <c r="D6" s="44">
        <v>9</v>
      </c>
      <c r="E6" s="67">
        <v>8</v>
      </c>
      <c r="F6" s="67">
        <v>9</v>
      </c>
      <c r="G6" s="4">
        <v>9</v>
      </c>
      <c r="H6" s="44">
        <v>8</v>
      </c>
      <c r="I6" s="67">
        <v>9</v>
      </c>
      <c r="J6" s="45" t="s">
        <v>13</v>
      </c>
      <c r="K6" s="85" t="s">
        <v>26</v>
      </c>
    </row>
    <row r="7" spans="1:11" ht="12.75" customHeight="1" x14ac:dyDescent="0.2">
      <c r="A7" s="8">
        <v>6</v>
      </c>
      <c r="B7" s="8" t="s">
        <v>27</v>
      </c>
      <c r="C7" s="8" t="s">
        <v>28</v>
      </c>
      <c r="D7" s="44">
        <v>9</v>
      </c>
      <c r="E7" s="67">
        <v>8</v>
      </c>
      <c r="F7" s="67">
        <v>9</v>
      </c>
      <c r="G7" s="4">
        <v>9</v>
      </c>
      <c r="H7" s="44">
        <v>9</v>
      </c>
      <c r="I7" s="67">
        <v>8</v>
      </c>
      <c r="J7" s="68" t="s">
        <v>13</v>
      </c>
      <c r="K7" s="85" t="s">
        <v>29</v>
      </c>
    </row>
    <row r="8" spans="1:11" ht="12.75" customHeight="1" x14ac:dyDescent="0.2">
      <c r="A8" s="8">
        <v>7</v>
      </c>
      <c r="B8" s="8" t="s">
        <v>30</v>
      </c>
      <c r="C8" s="8" t="s">
        <v>31</v>
      </c>
      <c r="D8" s="44">
        <v>8</v>
      </c>
      <c r="E8" s="67">
        <v>7</v>
      </c>
      <c r="F8" s="67">
        <v>8</v>
      </c>
      <c r="G8" s="4">
        <v>6</v>
      </c>
      <c r="H8" s="44">
        <v>6</v>
      </c>
      <c r="I8" s="67">
        <v>8</v>
      </c>
      <c r="J8" s="45" t="s">
        <v>13</v>
      </c>
      <c r="K8" s="85" t="s">
        <v>32</v>
      </c>
    </row>
    <row r="9" spans="1:11" ht="12.75" customHeight="1" x14ac:dyDescent="0.2">
      <c r="A9" s="8">
        <v>8</v>
      </c>
      <c r="B9" s="8" t="s">
        <v>33</v>
      </c>
      <c r="C9" s="8" t="s">
        <v>28</v>
      </c>
      <c r="D9" s="44">
        <v>8</v>
      </c>
      <c r="E9" s="67">
        <v>7</v>
      </c>
      <c r="F9" s="67">
        <v>8</v>
      </c>
      <c r="G9" s="44">
        <v>7</v>
      </c>
      <c r="H9" s="44">
        <v>9</v>
      </c>
      <c r="I9" s="67">
        <v>8</v>
      </c>
      <c r="J9" s="68" t="s">
        <v>13</v>
      </c>
      <c r="K9" s="86" t="s">
        <v>34</v>
      </c>
    </row>
    <row r="10" spans="1:11" ht="12.75" customHeight="1" x14ac:dyDescent="0.2">
      <c r="A10" s="8">
        <v>9</v>
      </c>
      <c r="B10" s="8" t="s">
        <v>35</v>
      </c>
      <c r="C10" s="8" t="s">
        <v>36</v>
      </c>
      <c r="D10" s="44">
        <v>8</v>
      </c>
      <c r="E10" s="67">
        <v>7</v>
      </c>
      <c r="F10" s="67">
        <v>8</v>
      </c>
      <c r="G10" s="44">
        <v>7</v>
      </c>
      <c r="H10" s="44">
        <v>8</v>
      </c>
      <c r="I10" s="67">
        <v>7</v>
      </c>
      <c r="J10" s="45" t="s">
        <v>13</v>
      </c>
      <c r="K10" s="86" t="s">
        <v>37</v>
      </c>
    </row>
    <row r="11" spans="1:11" ht="12.75" customHeight="1" x14ac:dyDescent="0.2">
      <c r="A11" s="8">
        <v>10</v>
      </c>
      <c r="B11" s="8" t="s">
        <v>38</v>
      </c>
      <c r="C11" s="8" t="s">
        <v>39</v>
      </c>
      <c r="D11" s="44">
        <v>7</v>
      </c>
      <c r="E11" s="67">
        <v>6</v>
      </c>
      <c r="F11" s="67">
        <v>7</v>
      </c>
      <c r="G11" s="44">
        <v>4</v>
      </c>
      <c r="H11" s="44">
        <v>6</v>
      </c>
      <c r="I11" s="67">
        <v>6</v>
      </c>
      <c r="J11" s="68" t="s">
        <v>13</v>
      </c>
      <c r="K11" s="86" t="s">
        <v>40</v>
      </c>
    </row>
    <row r="12" spans="1:11" ht="12.75" customHeight="1" x14ac:dyDescent="0.2">
      <c r="A12" s="8">
        <v>11</v>
      </c>
      <c r="B12" s="8" t="s">
        <v>41</v>
      </c>
      <c r="C12" s="8" t="s">
        <v>42</v>
      </c>
      <c r="D12" s="44">
        <v>7</v>
      </c>
      <c r="E12" s="67">
        <v>6</v>
      </c>
      <c r="F12" s="67">
        <v>7</v>
      </c>
      <c r="G12" s="44">
        <v>5</v>
      </c>
      <c r="H12" s="44">
        <v>7</v>
      </c>
      <c r="I12" s="67">
        <v>6</v>
      </c>
      <c r="J12" s="45" t="s">
        <v>13</v>
      </c>
      <c r="K12" s="86" t="s">
        <v>43</v>
      </c>
    </row>
    <row r="13" spans="1:11" ht="12.75" customHeight="1" x14ac:dyDescent="0.2">
      <c r="A13" s="8">
        <v>12</v>
      </c>
      <c r="B13" s="8" t="s">
        <v>44</v>
      </c>
      <c r="C13" s="8" t="s">
        <v>45</v>
      </c>
      <c r="D13" s="44">
        <v>7</v>
      </c>
      <c r="E13" s="67">
        <v>6</v>
      </c>
      <c r="F13" s="67">
        <v>7</v>
      </c>
      <c r="G13" s="44">
        <v>4</v>
      </c>
      <c r="H13" s="44">
        <v>7</v>
      </c>
      <c r="I13" s="67">
        <v>6</v>
      </c>
      <c r="J13" s="68" t="s">
        <v>13</v>
      </c>
      <c r="K13" s="86" t="s">
        <v>46</v>
      </c>
    </row>
    <row r="14" spans="1:11" ht="12.75" customHeight="1" x14ac:dyDescent="0.2">
      <c r="A14" s="8">
        <v>13</v>
      </c>
      <c r="B14" s="8" t="s">
        <v>47</v>
      </c>
      <c r="C14" s="8" t="s">
        <v>48</v>
      </c>
      <c r="D14" s="44">
        <v>7</v>
      </c>
      <c r="E14" s="67">
        <v>6</v>
      </c>
      <c r="F14" s="67">
        <v>7</v>
      </c>
      <c r="G14" s="44">
        <v>5</v>
      </c>
      <c r="H14" s="44">
        <v>6</v>
      </c>
      <c r="I14" s="67">
        <v>6</v>
      </c>
      <c r="J14" s="45" t="s">
        <v>13</v>
      </c>
      <c r="K14" s="86" t="s">
        <v>49</v>
      </c>
    </row>
    <row r="15" spans="1:11" ht="12.75" customHeight="1" x14ac:dyDescent="0.2">
      <c r="A15" s="8">
        <v>14</v>
      </c>
      <c r="B15" s="8" t="s">
        <v>50</v>
      </c>
      <c r="C15" s="8" t="s">
        <v>51</v>
      </c>
      <c r="D15" s="44">
        <v>7</v>
      </c>
      <c r="E15" s="67">
        <v>6</v>
      </c>
      <c r="F15" s="67">
        <v>7</v>
      </c>
      <c r="G15" s="44">
        <v>5</v>
      </c>
      <c r="H15" s="44">
        <v>6</v>
      </c>
      <c r="I15" s="67">
        <v>6</v>
      </c>
      <c r="J15" s="68" t="s">
        <v>13</v>
      </c>
      <c r="K15" s="86" t="s">
        <v>52</v>
      </c>
    </row>
    <row r="16" spans="1:11" ht="12.75" customHeight="1" x14ac:dyDescent="0.2">
      <c r="A16" s="8">
        <v>15</v>
      </c>
      <c r="B16" s="8" t="s">
        <v>53</v>
      </c>
      <c r="C16" s="8" t="s">
        <v>54</v>
      </c>
      <c r="D16" s="44">
        <v>7</v>
      </c>
      <c r="E16" s="67">
        <v>6</v>
      </c>
      <c r="F16" s="67">
        <v>7</v>
      </c>
      <c r="G16" s="44">
        <v>4</v>
      </c>
      <c r="H16" s="44">
        <v>7</v>
      </c>
      <c r="I16" s="67">
        <v>6</v>
      </c>
      <c r="J16" s="45" t="s">
        <v>13</v>
      </c>
      <c r="K16" s="86" t="s">
        <v>55</v>
      </c>
    </row>
    <row r="17" spans="1:11" ht="12.75" customHeight="1" x14ac:dyDescent="0.2">
      <c r="A17" s="8">
        <v>16</v>
      </c>
      <c r="B17" s="8" t="s">
        <v>56</v>
      </c>
      <c r="C17" s="8" t="s">
        <v>57</v>
      </c>
      <c r="D17" s="44">
        <v>7</v>
      </c>
      <c r="E17" s="67">
        <v>6</v>
      </c>
      <c r="F17" s="67">
        <v>7</v>
      </c>
      <c r="G17" s="44">
        <v>5</v>
      </c>
      <c r="H17" s="44">
        <v>6</v>
      </c>
      <c r="I17" s="67">
        <v>7</v>
      </c>
      <c r="J17" s="68" t="s">
        <v>13</v>
      </c>
      <c r="K17" s="86" t="s">
        <v>58</v>
      </c>
    </row>
    <row r="18" spans="1:11" ht="12.75" customHeight="1" x14ac:dyDescent="0.2">
      <c r="A18" s="8">
        <v>17</v>
      </c>
      <c r="B18" s="8" t="s">
        <v>59</v>
      </c>
      <c r="C18" s="8" t="s">
        <v>60</v>
      </c>
      <c r="D18" s="44">
        <v>8</v>
      </c>
      <c r="E18" s="67">
        <v>7</v>
      </c>
      <c r="F18" s="67">
        <v>8</v>
      </c>
      <c r="G18" s="44">
        <v>5</v>
      </c>
      <c r="H18" s="44">
        <v>8</v>
      </c>
      <c r="I18" s="67">
        <v>7</v>
      </c>
      <c r="J18" s="45" t="s">
        <v>13</v>
      </c>
      <c r="K18" s="86" t="s">
        <v>61</v>
      </c>
    </row>
    <row r="19" spans="1:11" ht="12.75" customHeight="1" x14ac:dyDescent="0.2">
      <c r="A19" s="8">
        <v>18</v>
      </c>
      <c r="B19" s="8" t="s">
        <v>62</v>
      </c>
      <c r="C19" s="8" t="s">
        <v>63</v>
      </c>
      <c r="D19" s="44">
        <v>7</v>
      </c>
      <c r="E19" s="67">
        <v>6</v>
      </c>
      <c r="F19" s="67">
        <v>7</v>
      </c>
      <c r="G19" s="44">
        <v>4</v>
      </c>
      <c r="H19" s="44">
        <v>5</v>
      </c>
      <c r="I19" s="67">
        <v>6</v>
      </c>
      <c r="J19" s="68" t="s">
        <v>13</v>
      </c>
      <c r="K19" s="86" t="s">
        <v>64</v>
      </c>
    </row>
    <row r="20" spans="1:11" ht="12.75" customHeight="1" x14ac:dyDescent="0.2">
      <c r="A20" s="8">
        <v>19</v>
      </c>
      <c r="B20" s="8" t="s">
        <v>65</v>
      </c>
      <c r="C20" s="8" t="s">
        <v>66</v>
      </c>
      <c r="D20" s="44">
        <v>7</v>
      </c>
      <c r="E20" s="67">
        <v>6</v>
      </c>
      <c r="F20" s="67">
        <v>7</v>
      </c>
      <c r="G20" s="44">
        <v>5</v>
      </c>
      <c r="H20" s="44">
        <v>6</v>
      </c>
      <c r="I20" s="67">
        <v>6</v>
      </c>
      <c r="J20" s="45" t="s">
        <v>13</v>
      </c>
      <c r="K20" s="86" t="s">
        <v>67</v>
      </c>
    </row>
    <row r="21" spans="1:11" ht="12.75" customHeight="1" x14ac:dyDescent="0.2">
      <c r="A21" s="8">
        <v>20</v>
      </c>
      <c r="B21" s="8" t="s">
        <v>68</v>
      </c>
      <c r="C21" s="8" t="s">
        <v>69</v>
      </c>
      <c r="D21" s="44">
        <v>7</v>
      </c>
      <c r="E21" s="67">
        <v>6</v>
      </c>
      <c r="F21" s="67">
        <v>7</v>
      </c>
      <c r="G21" s="44">
        <v>5</v>
      </c>
      <c r="H21" s="44">
        <v>5</v>
      </c>
      <c r="I21" s="67">
        <v>6</v>
      </c>
      <c r="J21" s="68" t="s">
        <v>13</v>
      </c>
      <c r="K21" s="86" t="s">
        <v>70</v>
      </c>
    </row>
    <row r="22" spans="1:11" ht="12.75" customHeight="1" x14ac:dyDescent="0.2">
      <c r="A22" s="8">
        <v>21</v>
      </c>
      <c r="B22" s="8" t="s">
        <v>71</v>
      </c>
      <c r="C22" s="8" t="s">
        <v>72</v>
      </c>
      <c r="D22" s="44">
        <v>7</v>
      </c>
      <c r="E22" s="67">
        <v>6</v>
      </c>
      <c r="F22" s="67">
        <v>7</v>
      </c>
      <c r="G22" s="44">
        <v>5</v>
      </c>
      <c r="H22" s="44">
        <v>7</v>
      </c>
      <c r="I22" s="67">
        <v>6</v>
      </c>
      <c r="J22" s="45" t="s">
        <v>13</v>
      </c>
      <c r="K22" s="86" t="s">
        <v>73</v>
      </c>
    </row>
    <row r="23" spans="1:11" ht="12.75" customHeight="1" x14ac:dyDescent="0.2">
      <c r="A23" s="8">
        <v>22</v>
      </c>
      <c r="B23" s="8" t="s">
        <v>74</v>
      </c>
      <c r="C23" s="8" t="s">
        <v>75</v>
      </c>
      <c r="D23" s="44">
        <v>7</v>
      </c>
      <c r="E23" s="67">
        <v>6</v>
      </c>
      <c r="F23" s="67">
        <v>7</v>
      </c>
      <c r="G23" s="44">
        <v>7</v>
      </c>
      <c r="H23" s="44">
        <v>6</v>
      </c>
      <c r="I23" s="67">
        <v>7</v>
      </c>
      <c r="J23" s="68" t="s">
        <v>13</v>
      </c>
      <c r="K23" s="87" t="s">
        <v>76</v>
      </c>
    </row>
    <row r="24" spans="1:11" ht="12.75" customHeight="1" x14ac:dyDescent="0.2">
      <c r="A24" s="8">
        <v>23</v>
      </c>
      <c r="B24" s="8" t="s">
        <v>77</v>
      </c>
      <c r="C24" s="8" t="s">
        <v>78</v>
      </c>
      <c r="D24" s="44">
        <v>8</v>
      </c>
      <c r="E24" s="67">
        <v>7</v>
      </c>
      <c r="F24" s="67">
        <v>8</v>
      </c>
      <c r="G24" s="44">
        <v>7</v>
      </c>
      <c r="H24" s="44">
        <v>9</v>
      </c>
      <c r="I24" s="67">
        <v>7</v>
      </c>
      <c r="J24" s="45" t="s">
        <v>13</v>
      </c>
      <c r="K24" s="87" t="s">
        <v>79</v>
      </c>
    </row>
    <row r="25" spans="1:11" ht="12.75" customHeight="1" x14ac:dyDescent="0.2">
      <c r="A25" s="8">
        <v>24</v>
      </c>
      <c r="B25" s="8" t="s">
        <v>80</v>
      </c>
      <c r="C25" s="8" t="s">
        <v>81</v>
      </c>
      <c r="D25" s="44">
        <v>9</v>
      </c>
      <c r="E25" s="67">
        <v>8</v>
      </c>
      <c r="F25" s="67">
        <v>9</v>
      </c>
      <c r="G25" s="44">
        <v>8</v>
      </c>
      <c r="H25" s="44">
        <v>7</v>
      </c>
      <c r="I25" s="67">
        <v>8</v>
      </c>
      <c r="J25" s="68" t="s">
        <v>13</v>
      </c>
      <c r="K25" s="87" t="s">
        <v>82</v>
      </c>
    </row>
    <row r="26" spans="1:11" ht="12.75" customHeight="1" x14ac:dyDescent="0.2">
      <c r="A26" s="8">
        <v>25</v>
      </c>
      <c r="B26" s="8" t="s">
        <v>83</v>
      </c>
      <c r="C26" s="8" t="s">
        <v>84</v>
      </c>
      <c r="D26" s="44">
        <v>7</v>
      </c>
      <c r="E26" s="67">
        <v>6</v>
      </c>
      <c r="F26" s="67">
        <v>7</v>
      </c>
      <c r="G26" s="44">
        <v>5</v>
      </c>
      <c r="H26" s="44">
        <v>7</v>
      </c>
      <c r="I26" s="67">
        <v>6</v>
      </c>
      <c r="J26" s="45" t="s">
        <v>13</v>
      </c>
      <c r="K26" s="87" t="s">
        <v>85</v>
      </c>
    </row>
    <row r="27" spans="1:11" ht="12.75" customHeight="1" x14ac:dyDescent="0.2">
      <c r="A27" s="8">
        <v>26</v>
      </c>
      <c r="B27" s="8" t="s">
        <v>86</v>
      </c>
      <c r="C27" s="8" t="s">
        <v>87</v>
      </c>
      <c r="D27" s="44">
        <v>8</v>
      </c>
      <c r="E27" s="67">
        <v>7</v>
      </c>
      <c r="F27" s="67">
        <v>8</v>
      </c>
      <c r="G27" s="44">
        <v>5</v>
      </c>
      <c r="H27" s="44">
        <v>7</v>
      </c>
      <c r="I27" s="67">
        <v>7</v>
      </c>
      <c r="J27" s="68" t="s">
        <v>13</v>
      </c>
      <c r="K27" s="87" t="s">
        <v>88</v>
      </c>
    </row>
    <row r="28" spans="1:11" ht="12.75" customHeight="1" x14ac:dyDescent="0.2">
      <c r="A28" s="8">
        <v>27</v>
      </c>
      <c r="B28" s="8" t="s">
        <v>89</v>
      </c>
      <c r="C28" s="8" t="s">
        <v>90</v>
      </c>
      <c r="D28" s="44">
        <v>7</v>
      </c>
      <c r="E28" s="67">
        <v>6</v>
      </c>
      <c r="F28" s="67">
        <v>7</v>
      </c>
      <c r="G28" s="44">
        <v>5</v>
      </c>
      <c r="H28" s="44">
        <v>6</v>
      </c>
      <c r="I28" s="67">
        <v>5</v>
      </c>
      <c r="J28" s="45" t="s">
        <v>13</v>
      </c>
      <c r="K28" s="87" t="s">
        <v>91</v>
      </c>
    </row>
    <row r="29" spans="1:11" ht="12.75" customHeight="1" x14ac:dyDescent="0.2">
      <c r="A29" s="51"/>
      <c r="B29" s="51"/>
      <c r="C29" s="51"/>
    </row>
    <row r="32" spans="1:11" ht="12.75" customHeight="1" x14ac:dyDescent="0.2">
      <c r="B32" s="146" t="s">
        <v>92</v>
      </c>
    </row>
    <row r="33" spans="2:2" ht="12.75" customHeight="1" x14ac:dyDescent="0.2">
      <c r="B33" s="146"/>
    </row>
    <row r="34" spans="2:2" ht="12.75" customHeight="1" x14ac:dyDescent="0.2">
      <c r="B34" s="146"/>
    </row>
    <row r="35" spans="2:2" ht="12.75" customHeight="1" x14ac:dyDescent="0.2">
      <c r="B35" s="146"/>
    </row>
    <row r="36" spans="2:2" ht="12.75" customHeight="1" x14ac:dyDescent="0.2">
      <c r="B36" s="146"/>
    </row>
    <row r="37" spans="2:2" ht="12.75" customHeight="1" x14ac:dyDescent="0.2">
      <c r="B37" s="146"/>
    </row>
    <row r="38" spans="2:2" ht="12.75" customHeight="1" x14ac:dyDescent="0.2">
      <c r="B38" s="146"/>
    </row>
  </sheetData>
  <mergeCells count="1">
    <mergeCell ref="B32:B3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1"/>
  <sheetViews>
    <sheetView topLeftCell="I1" workbookViewId="0">
      <selection activeCell="M22" sqref="M22"/>
    </sheetView>
  </sheetViews>
  <sheetFormatPr baseColWidth="10" defaultColWidth="17.140625" defaultRowHeight="12.75" customHeight="1" x14ac:dyDescent="0.2"/>
  <cols>
    <col min="1" max="1" width="3.28515625" style="53" bestFit="1" customWidth="1"/>
    <col min="2" max="2" width="28" style="53" bestFit="1" customWidth="1"/>
    <col min="3" max="3" width="14.28515625" style="53" bestFit="1" customWidth="1"/>
    <col min="4" max="4" width="39.140625" style="53" bestFit="1" customWidth="1"/>
    <col min="5" max="5" width="47.28515625" style="53" bestFit="1" customWidth="1"/>
    <col min="6" max="6" width="55.85546875" style="53" bestFit="1" customWidth="1"/>
    <col min="7" max="7" width="28" style="53" bestFit="1" customWidth="1"/>
    <col min="8" max="8" width="23.7109375" style="53" bestFit="1" customWidth="1"/>
    <col min="9" max="9" width="24.42578125" style="53" bestFit="1" customWidth="1"/>
    <col min="10" max="10" width="18.140625" style="53" bestFit="1" customWidth="1"/>
    <col min="11" max="11" width="23" style="53" bestFit="1" customWidth="1"/>
    <col min="12" max="12" width="23.5703125" style="53" bestFit="1" customWidth="1"/>
    <col min="13" max="13" width="25.28515625" style="53" bestFit="1" customWidth="1"/>
    <col min="14" max="16384" width="17.140625" style="53"/>
  </cols>
  <sheetData>
    <row r="1" spans="1:13" customFormat="1" ht="75" customHeight="1" x14ac:dyDescent="0.2">
      <c r="A1" s="5" t="s">
        <v>0</v>
      </c>
      <c r="B1" s="6" t="s">
        <v>1</v>
      </c>
      <c r="C1" s="6" t="s">
        <v>2</v>
      </c>
      <c r="D1" s="6" t="s">
        <v>93</v>
      </c>
      <c r="E1" s="11" t="s">
        <v>94</v>
      </c>
      <c r="F1" s="11" t="s">
        <v>95</v>
      </c>
      <c r="G1" s="7" t="s">
        <v>96</v>
      </c>
      <c r="H1" s="55" t="s">
        <v>97</v>
      </c>
      <c r="I1" s="56" t="s">
        <v>98</v>
      </c>
      <c r="J1" s="57" t="s">
        <v>99</v>
      </c>
      <c r="K1" s="58" t="s">
        <v>100</v>
      </c>
      <c r="L1" s="58" t="s">
        <v>101</v>
      </c>
      <c r="M1" s="58" t="s">
        <v>102</v>
      </c>
    </row>
    <row r="2" spans="1:13" ht="12.75" customHeight="1" x14ac:dyDescent="0.2">
      <c r="A2" s="59">
        <f>Listado!A4</f>
        <v>1</v>
      </c>
      <c r="B2" s="59" t="str">
        <f>Listado!B4</f>
        <v>Alonso Mansilla</v>
      </c>
      <c r="C2" s="59" t="str">
        <f>Listado!C4</f>
        <v>Javier</v>
      </c>
      <c r="D2" s="59" t="str">
        <f>Listado!E4</f>
        <v>javier.alonsomansilla@tajamar365.com</v>
      </c>
      <c r="E2" s="60">
        <f>SUM(Octubre!O4,Noviembre!O4,Diciembre!O4,Enero!O5,Febrero!O4,Marzo!O4,Abril!O4,Mayo!O4,Junio!O4)</f>
        <v>0</v>
      </c>
      <c r="F2" s="141">
        <f t="shared" ref="F2:F28" si="0">IF($D$31=0,"",100-((E2*100)/$D$31))</f>
        <v>100</v>
      </c>
      <c r="G2" s="60">
        <f>SUM(Octubre!Q4,Noviembre!Q4,Diciembre!Q4,Enero!Q5,Febrero!Q4,Marzo!Q4,Abril!Q4,Mayo!Q4,Junio!Q4)</f>
        <v>0</v>
      </c>
      <c r="H2" s="141">
        <f t="shared" ref="H2:H28" si="1">IF($D$31=0,"",100-((I2*100)/$D$31))</f>
        <v>100</v>
      </c>
      <c r="I2" s="60">
        <f>SUM(Octubre!P4,Noviembre!P4,Diciembre!P4,Enero!P5,Febrero!P4,Marzo!P4,Abril!P4,Mayo!P4,Junio!P4)</f>
        <v>0</v>
      </c>
      <c r="J2" s="61">
        <f>SUM(Octubre!J4,Octubre!K4,Octubre!M4,Octubre!N4,Noviembre!J4,Noviembre!K4,Noviembre!M4,Noviembre!N4,Diciembre!J4,Diciembre!K4,Diciembre!M4,Diciembre!N4,Enero!J5,Enero!K5,Enero!M5,Enero!N5,Febrero!J4,Febrero!K4,Febrero!M4,Febrero!N4,Marzo!J4,Marzo!K4,Marzo!M4,Marzo!N4,Abril!J4,Abril!K4,Abril!M4,Abril!N4,Mayo!J4,Mayo!K4,Mayo!M4,Mayo!N4,Junio!J4,Junio!K4,Junio!M4,Junio!N4)</f>
        <v>0</v>
      </c>
      <c r="K2" s="60">
        <f t="shared" ref="K2:K28" si="2">(J2/2)+I2</f>
        <v>0</v>
      </c>
      <c r="L2" s="141">
        <f t="shared" ref="L2:L28" si="3">IF($D$31=0,"",100-((K2*100)/$D$31))</f>
        <v>100</v>
      </c>
      <c r="M2" s="141">
        <f t="shared" ref="M2:M28" si="4">IF($D$31=0,"",100-((G2*100)/$D$31))</f>
        <v>100</v>
      </c>
    </row>
    <row r="3" spans="1:13" ht="12.75" customHeight="1" x14ac:dyDescent="0.2">
      <c r="A3" s="59">
        <f>Listado!A5</f>
        <v>2</v>
      </c>
      <c r="B3" s="59" t="str">
        <f>Listado!B5</f>
        <v>Barbacid Fernández</v>
      </c>
      <c r="C3" s="59" t="str">
        <f>Listado!C5</f>
        <v>Alberto</v>
      </c>
      <c r="D3" s="59" t="str">
        <f>Listado!E5</f>
        <v>alberto.barbacid@tajamar365.com</v>
      </c>
      <c r="E3" s="60">
        <f>SUM(Octubre!O5,Noviembre!O5,Diciembre!O5,Enero!O6,Febrero!O5,Marzo!O5,Abril!O5,Mayo!O5,Junio!O5)</f>
        <v>0</v>
      </c>
      <c r="F3" s="141">
        <f t="shared" si="0"/>
        <v>100</v>
      </c>
      <c r="G3" s="60">
        <f>SUM(Octubre!Q5,Noviembre!Q5,Diciembre!Q5,Enero!Q6,Febrero!Q5,Marzo!Q5,Abril!Q5,Mayo!Q5,Junio!Q5)</f>
        <v>0</v>
      </c>
      <c r="H3" s="141">
        <f t="shared" si="1"/>
        <v>100</v>
      </c>
      <c r="I3" s="60">
        <f>SUM(Octubre!P5,Noviembre!P5,Diciembre!P5,Enero!P6,Febrero!P5,Marzo!P5,Abril!P5,Mayo!P5,Junio!P5)</f>
        <v>0</v>
      </c>
      <c r="J3" s="61">
        <f>SUM(Octubre!J5,Octubre!K5,Octubre!M5,Octubre!N5,Noviembre!J5,Noviembre!K5,Noviembre!M5,Noviembre!N5,Diciembre!J5,Diciembre!K5,Diciembre!M5,Diciembre!N5,Enero!J6,Enero!K6,Enero!M6,Enero!N6,Febrero!J5,Febrero!K5,Febrero!M5,Febrero!N5,Marzo!J5,Marzo!K5,Marzo!M5,Marzo!N5,Abril!J5,Abril!K5,Abril!M5,Abril!N5,Mayo!J5,Mayo!K5,Mayo!M5,Mayo!N5,Junio!J5,Junio!K5,Junio!M5,Junio!N5)</f>
        <v>0</v>
      </c>
      <c r="K3" s="60">
        <f t="shared" si="2"/>
        <v>0</v>
      </c>
      <c r="L3" s="141">
        <f t="shared" si="3"/>
        <v>100</v>
      </c>
      <c r="M3" s="141">
        <f t="shared" si="4"/>
        <v>100</v>
      </c>
    </row>
    <row r="4" spans="1:13" ht="12.75" customHeight="1" x14ac:dyDescent="0.2">
      <c r="A4" s="59">
        <f>Listado!A6</f>
        <v>3</v>
      </c>
      <c r="B4" s="59" t="str">
        <f>Listado!B6</f>
        <v>Bayas Sarzosa</v>
      </c>
      <c r="C4" s="59" t="str">
        <f>Listado!C6</f>
        <v>Kevin</v>
      </c>
      <c r="D4" s="59" t="str">
        <f>Listado!E6</f>
        <v>kevin.bayas@tajamar365.com</v>
      </c>
      <c r="E4" s="60">
        <f>SUM(Octubre!O6,Noviembre!O6,Diciembre!O6,Enero!O7,Febrero!O6,Marzo!O6,Abril!O6,Mayo!O6,Junio!O6)</f>
        <v>0</v>
      </c>
      <c r="F4" s="141">
        <f t="shared" si="0"/>
        <v>100</v>
      </c>
      <c r="G4" s="60">
        <f>SUM(Octubre!Q6,Noviembre!Q6,Diciembre!Q6,Enero!Q7,Febrero!Q6,Marzo!Q6,Abril!Q6,Mayo!Q6,Junio!Q6)</f>
        <v>0</v>
      </c>
      <c r="H4" s="141">
        <f t="shared" si="1"/>
        <v>100</v>
      </c>
      <c r="I4" s="60">
        <f>SUM(Octubre!P6,Noviembre!P6,Diciembre!P6,Enero!P7,Febrero!P6,Marzo!P6,Abril!P6,Mayo!P6,Junio!P6)</f>
        <v>0</v>
      </c>
      <c r="J4" s="61">
        <f>SUM(Octubre!J6,Octubre!K6,Octubre!M6,Octubre!N6,Noviembre!J6,Noviembre!K6,Noviembre!M6,Noviembre!N6,Diciembre!J6,Diciembre!K6,Diciembre!M6,Diciembre!N6,Enero!J7,Enero!K7,Enero!M7,Enero!N7,Febrero!J6,Febrero!K6,Febrero!M6,Febrero!N6,Marzo!J6,Marzo!K6,Marzo!M6,Marzo!N6,Abril!J6,Abril!K6,Abril!M6,Abril!N6,Mayo!J6,Mayo!K6,Mayo!M6,Mayo!N6,Junio!J6,Junio!K6,Junio!M6,Junio!N6)</f>
        <v>0</v>
      </c>
      <c r="K4" s="60">
        <f t="shared" si="2"/>
        <v>0</v>
      </c>
      <c r="L4" s="141">
        <f t="shared" si="3"/>
        <v>100</v>
      </c>
      <c r="M4" s="141">
        <f t="shared" si="4"/>
        <v>100</v>
      </c>
    </row>
    <row r="5" spans="1:13" ht="12.75" customHeight="1" x14ac:dyDescent="0.2">
      <c r="A5" s="59">
        <f>Listado!A7</f>
        <v>4</v>
      </c>
      <c r="B5" s="59" t="str">
        <f>Listado!B7</f>
        <v>Cánovas López</v>
      </c>
      <c r="C5" s="59" t="str">
        <f>Listado!C7</f>
        <v>Alejandro</v>
      </c>
      <c r="D5" s="59" t="str">
        <f>Listado!E7</f>
        <v>alejandro.canovas@tajamar365.com</v>
      </c>
      <c r="E5" s="60">
        <f>SUM(Octubre!O7,Noviembre!O7,Diciembre!O7,Enero!O8,Febrero!O7,Marzo!O7,Abril!O7,Mayo!O7,Junio!O7)</f>
        <v>0</v>
      </c>
      <c r="F5" s="141">
        <f t="shared" si="0"/>
        <v>100</v>
      </c>
      <c r="G5" s="60">
        <f>SUM(Octubre!Q7,Noviembre!Q7,Diciembre!Q7,Enero!Q8,Febrero!Q7,Marzo!Q7,Abril!Q7,Mayo!Q7,Junio!Q7)</f>
        <v>0</v>
      </c>
      <c r="H5" s="141">
        <f t="shared" si="1"/>
        <v>100</v>
      </c>
      <c r="I5" s="60">
        <f>SUM(Octubre!P7,Noviembre!P7,Diciembre!P7,Enero!P8,Febrero!P7,Marzo!P7,Abril!P7,Mayo!P7,Junio!P7)</f>
        <v>0</v>
      </c>
      <c r="J5" s="61">
        <f>SUM(Octubre!J7,Octubre!K7,Octubre!M7,Octubre!N7,Noviembre!J7,Noviembre!K7,Noviembre!M7,Noviembre!N7,Diciembre!J7,Diciembre!K7,Diciembre!M7,Diciembre!N7,Enero!J8,Enero!K8,Enero!M8,Enero!N8,Febrero!J7,Febrero!K7,Febrero!M7,Febrero!N7,Marzo!J7,Marzo!K7,Marzo!M7,Marzo!N7,Abril!J7,Abril!K7,Abril!M7,Abril!N7,Mayo!J7,Mayo!K7,Mayo!M7,Mayo!N7,Junio!J7,Junio!K7,Junio!M7,Junio!N7)</f>
        <v>0</v>
      </c>
      <c r="K5" s="60">
        <f t="shared" si="2"/>
        <v>0</v>
      </c>
      <c r="L5" s="141">
        <f t="shared" si="3"/>
        <v>100</v>
      </c>
      <c r="M5" s="141">
        <f t="shared" si="4"/>
        <v>100</v>
      </c>
    </row>
    <row r="6" spans="1:13" ht="12.75" customHeight="1" x14ac:dyDescent="0.2">
      <c r="A6" s="59" t="e">
        <f>Listado!#REF!</f>
        <v>#REF!</v>
      </c>
      <c r="B6" s="59" t="e">
        <f>Listado!#REF!</f>
        <v>#REF!</v>
      </c>
      <c r="C6" s="59" t="e">
        <f>Listado!#REF!</f>
        <v>#REF!</v>
      </c>
      <c r="D6" s="59" t="e">
        <f>Listado!#REF!</f>
        <v>#REF!</v>
      </c>
      <c r="E6" s="60" t="e">
        <f>SUM(Octubre!#REF!,Noviembre!#REF!,Diciembre!#REF!,Enero!#REF!,Febrero!#REF!,Marzo!#REF!,Abril!#REF!,Mayo!#REF!,Junio!#REF!)</f>
        <v>#REF!</v>
      </c>
      <c r="F6" s="141" t="e">
        <f t="shared" si="0"/>
        <v>#REF!</v>
      </c>
      <c r="G6" s="60" t="e">
        <f>SUM(Octubre!#REF!,Noviembre!#REF!,Diciembre!#REF!,Enero!#REF!,Febrero!#REF!,Marzo!#REF!,Abril!#REF!,Mayo!#REF!,Junio!#REF!)</f>
        <v>#REF!</v>
      </c>
      <c r="H6" s="141" t="e">
        <f t="shared" si="1"/>
        <v>#REF!</v>
      </c>
      <c r="I6" s="60" t="e">
        <f>SUM(Octubre!#REF!,Noviembre!#REF!,Diciembre!#REF!,Enero!#REF!,Febrero!#REF!,Marzo!#REF!,Abril!#REF!,Mayo!#REF!,Junio!#REF!)</f>
        <v>#REF!</v>
      </c>
      <c r="J6" s="61" t="e">
        <f>SUM(Octubre!#REF!,Octubre!#REF!,Octubre!#REF!,Octubre!#REF!,Noviembre!#REF!,Noviembre!#REF!,Noviembre!#REF!,Noviembre!#REF!,Diciembre!#REF!,Diciembre!#REF!,Diciembre!#REF!,Diciembre!#REF!,Enero!#REF!,Enero!#REF!,Enero!#REF!,Enero!#REF!,Febrero!#REF!,Febrero!#REF!,Febrero!#REF!,Febrero!#REF!,Marzo!#REF!,Marzo!#REF!,Marzo!#REF!,Marzo!#REF!,Abril!#REF!,Abril!#REF!,Abril!#REF!,Abril!#REF!,Mayo!#REF!,Mayo!#REF!,Mayo!#REF!,Mayo!#REF!,Junio!#REF!,Junio!#REF!,Junio!#REF!,Junio!#REF!)</f>
        <v>#REF!</v>
      </c>
      <c r="K6" s="60" t="e">
        <f t="shared" si="2"/>
        <v>#REF!</v>
      </c>
      <c r="L6" s="141" t="e">
        <f t="shared" si="3"/>
        <v>#REF!</v>
      </c>
      <c r="M6" s="141" t="e">
        <f t="shared" si="4"/>
        <v>#REF!</v>
      </c>
    </row>
    <row r="7" spans="1:13" ht="12.75" customHeight="1" x14ac:dyDescent="0.2">
      <c r="A7" s="59">
        <f>Listado!A8</f>
        <v>5</v>
      </c>
      <c r="B7" s="59" t="str">
        <f>Listado!B8</f>
        <v>Cardona Hernández</v>
      </c>
      <c r="C7" s="59" t="str">
        <f>Listado!C8</f>
        <v>Diego</v>
      </c>
      <c r="D7" s="59" t="str">
        <f>Listado!E8</f>
        <v>diego.cardona@tajamar365.com</v>
      </c>
      <c r="E7" s="60">
        <f>SUM(Octubre!O8,Noviembre!O8,Diciembre!O8,Enero!O9,Febrero!O8,Marzo!O8,Abril!O8,Mayo!O8,Junio!O8)</f>
        <v>0</v>
      </c>
      <c r="F7" s="141">
        <f t="shared" si="0"/>
        <v>100</v>
      </c>
      <c r="G7" s="60">
        <f>SUM(Octubre!Q8,Noviembre!Q8,Diciembre!Q8,Enero!Q9,Febrero!Q8,Marzo!Q8,Abril!Q8,Mayo!Q8,Junio!Q8)</f>
        <v>0</v>
      </c>
      <c r="H7" s="141">
        <f t="shared" si="1"/>
        <v>100</v>
      </c>
      <c r="I7" s="60">
        <f>SUM(Octubre!P8,Noviembre!P8,Diciembre!P8,Enero!P9,Febrero!P8,Marzo!P8,Abril!P8,Mayo!P8,Junio!P8)</f>
        <v>0</v>
      </c>
      <c r="J7" s="61">
        <f>SUM(Octubre!J8,Octubre!K8,Octubre!M8,Octubre!N8,Noviembre!J8,Noviembre!K8,Noviembre!M8,Noviembre!N8,Diciembre!J8,Diciembre!K8,Diciembre!M8,Diciembre!N8,Enero!J9,Enero!K9,Enero!M9,Enero!N9,Febrero!J8,Febrero!K8,Febrero!M8,Febrero!N8,Marzo!J8,Marzo!K8,Marzo!M8,Marzo!N8,Abril!J8,Abril!K8,Abril!M8,Abril!N8,Mayo!J8,Mayo!K8,Mayo!M8,Mayo!N8,Junio!J8,Junio!K8,Junio!M8,Junio!N8)</f>
        <v>0</v>
      </c>
      <c r="K7" s="60">
        <f t="shared" si="2"/>
        <v>0</v>
      </c>
      <c r="L7" s="141">
        <f t="shared" si="3"/>
        <v>100</v>
      </c>
      <c r="M7" s="141">
        <f t="shared" si="4"/>
        <v>100</v>
      </c>
    </row>
    <row r="8" spans="1:13" ht="12.75" customHeight="1" x14ac:dyDescent="0.2">
      <c r="A8" s="59">
        <f>Listado!A9</f>
        <v>6</v>
      </c>
      <c r="B8" s="59" t="str">
        <f>Listado!B9</f>
        <v>Casco Valero</v>
      </c>
      <c r="C8" s="59" t="str">
        <f>Listado!C9</f>
        <v>Álvaro</v>
      </c>
      <c r="D8" s="59" t="str">
        <f>Listado!E9</f>
        <v>alvaro.casco@tajamar365.com</v>
      </c>
      <c r="E8" s="60">
        <f>SUM(Octubre!O9,Noviembre!O9,Diciembre!O9,Enero!O10,Febrero!O9,Marzo!O9,Abril!O9,Mayo!O9,Junio!O9)</f>
        <v>0</v>
      </c>
      <c r="F8" s="141">
        <f t="shared" si="0"/>
        <v>100</v>
      </c>
      <c r="G8" s="60">
        <f>SUM(Octubre!Q9,Noviembre!Q9,Diciembre!Q9,Enero!Q10,Febrero!Q9,Marzo!Q9,Abril!Q9,Mayo!Q9,Junio!Q9)</f>
        <v>0</v>
      </c>
      <c r="H8" s="141">
        <f t="shared" si="1"/>
        <v>100</v>
      </c>
      <c r="I8" s="60">
        <f>SUM(Octubre!P9,Noviembre!P9,Diciembre!P9,Enero!P10,Febrero!P9,Marzo!P9,Abril!P9,Mayo!P9,Junio!P9)</f>
        <v>0</v>
      </c>
      <c r="J8" s="61">
        <f>SUM(Octubre!J9,Octubre!K9,Octubre!M9,Octubre!N9,Noviembre!J9,Noviembre!K9,Noviembre!M9,Noviembre!N9,Diciembre!J9,Diciembre!K9,Diciembre!M9,Diciembre!N9,Enero!J10,Enero!K10,Enero!M10,Enero!N10,Febrero!J9,Febrero!K9,Febrero!M9,Febrero!N9,Marzo!J9,Marzo!K9,Marzo!M9,Marzo!N9,Abril!J9,Abril!K9,Abril!M9,Abril!N9,Mayo!J9,Mayo!K9,Mayo!M9,Mayo!N9,Junio!J9,Junio!K9,Junio!M9,Junio!N9)</f>
        <v>0</v>
      </c>
      <c r="K8" s="60">
        <f t="shared" si="2"/>
        <v>0</v>
      </c>
      <c r="L8" s="141">
        <f t="shared" si="3"/>
        <v>100</v>
      </c>
      <c r="M8" s="141">
        <f t="shared" si="4"/>
        <v>100</v>
      </c>
    </row>
    <row r="9" spans="1:13" ht="12.75" customHeight="1" x14ac:dyDescent="0.2">
      <c r="A9" s="59">
        <f>Listado!A10</f>
        <v>7</v>
      </c>
      <c r="B9" s="59" t="str">
        <f>Listado!B10</f>
        <v>Cobo Marcos</v>
      </c>
      <c r="C9" s="59" t="str">
        <f>Listado!C10</f>
        <v>Alejandro</v>
      </c>
      <c r="D9" s="59" t="str">
        <f>Listado!E10</f>
        <v>alejandro.cobo@tajamar365.com</v>
      </c>
      <c r="E9" s="60">
        <f>SUM(Octubre!O10,Noviembre!O10,Diciembre!O10,Enero!O11,Febrero!O10,Marzo!O10,Abril!O10,Mayo!O10,Junio!O10)</f>
        <v>0</v>
      </c>
      <c r="F9" s="141">
        <f t="shared" si="0"/>
        <v>100</v>
      </c>
      <c r="G9" s="60">
        <f>SUM(Octubre!Q10,Noviembre!Q10,Diciembre!Q10,Enero!Q11,Febrero!Q10,Marzo!Q10,Abril!Q10,Mayo!Q10,Junio!Q10)</f>
        <v>0</v>
      </c>
      <c r="H9" s="141">
        <f t="shared" si="1"/>
        <v>100</v>
      </c>
      <c r="I9" s="60">
        <f>SUM(Octubre!P10,Noviembre!P10,Diciembre!P10,Enero!P11,Febrero!P10,Marzo!P10,Abril!P10,Mayo!P10,Junio!P10)</f>
        <v>0</v>
      </c>
      <c r="J9" s="61">
        <f>SUM(Octubre!J10,Octubre!K10,Octubre!M10,Octubre!N10,Noviembre!J10,Noviembre!K10,Noviembre!M10,Noviembre!N10,Diciembre!J10,Diciembre!K10,Diciembre!M10,Diciembre!N10,Enero!J11,Enero!K11,Enero!M11,Enero!N11,Febrero!J10,Febrero!K10,Febrero!M10,Febrero!N10,Marzo!J10,Marzo!K10,Marzo!M10,Marzo!N10,Abril!J10,Abril!K10,Abril!M10,Abril!N10,Mayo!J10,Mayo!K10,Mayo!M10,Mayo!N10,Junio!J10,Junio!K10,Junio!M10,Junio!N10)</f>
        <v>0</v>
      </c>
      <c r="K9" s="60">
        <f t="shared" si="2"/>
        <v>0</v>
      </c>
      <c r="L9" s="141">
        <f t="shared" si="3"/>
        <v>100</v>
      </c>
      <c r="M9" s="141">
        <f t="shared" si="4"/>
        <v>100</v>
      </c>
    </row>
    <row r="10" spans="1:13" ht="12.75" customHeight="1" x14ac:dyDescent="0.2">
      <c r="A10" s="59">
        <f>Listado!A11</f>
        <v>8</v>
      </c>
      <c r="B10" s="59" t="str">
        <f>Listado!B11</f>
        <v>Galán Castro</v>
      </c>
      <c r="C10" s="59" t="str">
        <f>Listado!C11</f>
        <v>Asil</v>
      </c>
      <c r="D10" s="59" t="str">
        <f>Listado!E11</f>
        <v>asil.galan@tajamar365.com</v>
      </c>
      <c r="E10" s="60">
        <f>SUM(Octubre!O11,Noviembre!O11,Diciembre!O11,Enero!O12,Febrero!O11,Marzo!O11,Abril!O11,Mayo!O11,Junio!O11)</f>
        <v>0</v>
      </c>
      <c r="F10" s="141">
        <f t="shared" si="0"/>
        <v>100</v>
      </c>
      <c r="G10" s="60">
        <f>SUM(Octubre!Q11,Noviembre!Q11,Diciembre!Q11,Enero!Q12,Febrero!Q11,Marzo!Q11,Abril!Q11,Mayo!Q11,Junio!Q11)</f>
        <v>0</v>
      </c>
      <c r="H10" s="141">
        <f t="shared" si="1"/>
        <v>100</v>
      </c>
      <c r="I10" s="60">
        <f>SUM(Octubre!P11,Noviembre!P11,Diciembre!P11,Enero!P12,Febrero!P11,Marzo!P11,Abril!P11,Mayo!P11,Junio!P11)</f>
        <v>0</v>
      </c>
      <c r="J10" s="61">
        <f>SUM(Octubre!J11,Octubre!K11,Octubre!M11,Octubre!N11,Noviembre!J11,Noviembre!K11,Noviembre!M11,Noviembre!N11,Diciembre!J11,Diciembre!K11,Diciembre!M11,Diciembre!N11,Enero!J12,Enero!K12,Enero!M12,Enero!N12,Febrero!J11,Febrero!K11,Febrero!M11,Febrero!N11,Marzo!J11,Marzo!K11,Marzo!M11,Marzo!N11,Abril!J11,Abril!K11,Abril!M11,Abril!N11,Mayo!J11,Mayo!K11,Mayo!M11,Mayo!N11,Junio!J11,Junio!K11,Junio!M11,Junio!N11)</f>
        <v>0</v>
      </c>
      <c r="K10" s="60">
        <f t="shared" si="2"/>
        <v>0</v>
      </c>
      <c r="L10" s="141">
        <f t="shared" si="3"/>
        <v>100</v>
      </c>
      <c r="M10" s="141">
        <f t="shared" si="4"/>
        <v>100</v>
      </c>
    </row>
    <row r="11" spans="1:13" ht="12.75" customHeight="1" x14ac:dyDescent="0.2">
      <c r="A11" s="59">
        <f>Listado!A12</f>
        <v>9</v>
      </c>
      <c r="B11" s="59" t="str">
        <f>Listado!B12</f>
        <v>García Martín</v>
      </c>
      <c r="C11" s="59" t="str">
        <f>Listado!C12</f>
        <v>Alonso</v>
      </c>
      <c r="D11" s="59" t="str">
        <f>Listado!E12</f>
        <v>alonso.garcia@tajamar365.com</v>
      </c>
      <c r="E11" s="60">
        <f>SUM(Octubre!O12,Noviembre!O12,Diciembre!O12,Enero!O13,Febrero!O12,Marzo!O12,Abril!O12,Mayo!O12,Junio!O12)</f>
        <v>0</v>
      </c>
      <c r="F11" s="141">
        <f t="shared" si="0"/>
        <v>100</v>
      </c>
      <c r="G11" s="60">
        <f>SUM(Octubre!Q12,Noviembre!Q12,Diciembre!Q12,Enero!Q13,Febrero!Q12,Marzo!Q12,Abril!Q12,Mayo!Q12,Junio!Q12)</f>
        <v>0</v>
      </c>
      <c r="H11" s="141">
        <f t="shared" si="1"/>
        <v>100</v>
      </c>
      <c r="I11" s="60">
        <f>SUM(Octubre!P12,Noviembre!P12,Diciembre!P12,Enero!P13,Febrero!P12,Marzo!P12,Abril!P12,Mayo!P12,Junio!P12)</f>
        <v>0</v>
      </c>
      <c r="J11" s="61">
        <f>SUM(Octubre!J12,Octubre!K12,Octubre!M12,Octubre!N12,Noviembre!J12,Noviembre!K12,Noviembre!M12,Noviembre!N12,Diciembre!J12,Diciembre!K12,Diciembre!M12,Diciembre!N12,Enero!J13,Enero!K13,Enero!M13,Enero!N13,Febrero!J12,Febrero!K12,Febrero!M12,Febrero!N12,Marzo!J12,Marzo!K12,Marzo!M12,Marzo!N12,Abril!J12,Abril!K12,Abril!M12,Abril!N12,Mayo!J12,Mayo!K12,Mayo!M12,Mayo!N12,Junio!J12,Junio!K12,Junio!M12,Junio!N12)</f>
        <v>0</v>
      </c>
      <c r="K11" s="60">
        <f t="shared" si="2"/>
        <v>0</v>
      </c>
      <c r="L11" s="141">
        <f t="shared" si="3"/>
        <v>100</v>
      </c>
      <c r="M11" s="141">
        <f t="shared" si="4"/>
        <v>100</v>
      </c>
    </row>
    <row r="12" spans="1:13" ht="12.75" customHeight="1" x14ac:dyDescent="0.2">
      <c r="A12" s="59">
        <f>Listado!A13</f>
        <v>10</v>
      </c>
      <c r="B12" s="59" t="str">
        <f>Listado!B13</f>
        <v>García Muñoz</v>
      </c>
      <c r="C12" s="59" t="str">
        <f>Listado!C13</f>
        <v>Raúl</v>
      </c>
      <c r="D12" s="59" t="str">
        <f>Listado!E13</f>
        <v>raul.garciamunoz@tajamar365.com</v>
      </c>
      <c r="E12" s="60">
        <f>SUM(Octubre!O13,Noviembre!O13,Diciembre!O13,Enero!O14,Febrero!O13,Marzo!O13,Abril!O13,Mayo!O13,Junio!O13)</f>
        <v>0</v>
      </c>
      <c r="F12" s="141">
        <f t="shared" si="0"/>
        <v>100</v>
      </c>
      <c r="G12" s="60">
        <f>SUM(Octubre!Q13,Noviembre!Q13,Diciembre!Q13,Enero!Q14,Febrero!Q13,Marzo!Q13,Abril!Q13,Mayo!Q13,Junio!Q13)</f>
        <v>0</v>
      </c>
      <c r="H12" s="141">
        <f t="shared" si="1"/>
        <v>100</v>
      </c>
      <c r="I12" s="60">
        <f>SUM(Octubre!P13,Noviembre!P13,Diciembre!P13,Enero!P14,Febrero!P13,Marzo!P13,Abril!P13,Mayo!P13,Junio!P13)</f>
        <v>0</v>
      </c>
      <c r="J12" s="61">
        <f>SUM(Octubre!J13,Octubre!K13,Octubre!M13,Octubre!N13,Noviembre!J13,Noviembre!K13,Noviembre!M13,Noviembre!N13,Diciembre!J13,Diciembre!K13,Diciembre!M13,Diciembre!N13,Enero!J14,Enero!K14,Enero!M14,Enero!N14,Febrero!J13,Febrero!K13,Febrero!M13,Febrero!N13,Marzo!J13,Marzo!K13,Marzo!M13,Marzo!N13,Abril!J13,Abril!K13,Abril!M13,Abril!N13,Mayo!J13,Mayo!K13,Mayo!M13,Mayo!N13,Junio!J13,Junio!K13,Junio!M13,Junio!N13)</f>
        <v>0</v>
      </c>
      <c r="K12" s="60">
        <f t="shared" si="2"/>
        <v>0</v>
      </c>
      <c r="L12" s="141">
        <f t="shared" si="3"/>
        <v>100</v>
      </c>
      <c r="M12" s="141">
        <f t="shared" si="4"/>
        <v>100</v>
      </c>
    </row>
    <row r="13" spans="1:13" ht="12.75" customHeight="1" x14ac:dyDescent="0.2">
      <c r="A13" s="59">
        <f>Listado!A14</f>
        <v>11</v>
      </c>
      <c r="B13" s="59" t="str">
        <f>Listado!B14</f>
        <v>Gil Fuertes</v>
      </c>
      <c r="C13" s="59" t="str">
        <f>Listado!C14</f>
        <v>Héctor</v>
      </c>
      <c r="D13" s="59" t="str">
        <f>Listado!E14</f>
        <v>hector.gil@tajamar365.com</v>
      </c>
      <c r="E13" s="60">
        <f>SUM(Octubre!O14,Noviembre!O14,Diciembre!O14,Enero!O15,Febrero!O14,Marzo!O14,Abril!O14,Mayo!O14,Junio!O14)</f>
        <v>0</v>
      </c>
      <c r="F13" s="141">
        <f t="shared" si="0"/>
        <v>100</v>
      </c>
      <c r="G13" s="60">
        <f>SUM(Octubre!Q14,Noviembre!Q14,Diciembre!Q14,Enero!Q15,Febrero!Q14,Marzo!Q14,Abril!Q14,Mayo!Q14,Junio!Q14)</f>
        <v>0</v>
      </c>
      <c r="H13" s="141">
        <f t="shared" si="1"/>
        <v>100</v>
      </c>
      <c r="I13" s="60">
        <f>SUM(Octubre!P14,Noviembre!P14,Diciembre!P14,Enero!P15,Febrero!P14,Marzo!P14,Abril!P14,Mayo!P14,Junio!P14)</f>
        <v>0</v>
      </c>
      <c r="J13" s="61">
        <f>SUM(Octubre!J14,Octubre!K14,Octubre!M14,Octubre!N14,Noviembre!J14,Noviembre!K14,Noviembre!M14,Noviembre!N14,Diciembre!J14,Diciembre!K14,Diciembre!M14,Diciembre!N14,Enero!J15,Enero!K15,Enero!M15,Enero!N15,Febrero!J14,Febrero!K14,Febrero!M14,Febrero!N14,Marzo!J14,Marzo!K14,Marzo!M14,Marzo!N14,Abril!J14,Abril!K14,Abril!M14,Abril!N14,Mayo!J14,Mayo!K14,Mayo!M14,Mayo!N14,Junio!J14,Junio!K14,Junio!M14,Junio!N14)</f>
        <v>0</v>
      </c>
      <c r="K13" s="60">
        <f t="shared" si="2"/>
        <v>0</v>
      </c>
      <c r="L13" s="141">
        <f t="shared" si="3"/>
        <v>100</v>
      </c>
      <c r="M13" s="141">
        <f t="shared" si="4"/>
        <v>100</v>
      </c>
    </row>
    <row r="14" spans="1:13" ht="12.75" customHeight="1" x14ac:dyDescent="0.2">
      <c r="A14" s="59">
        <f>Listado!A15</f>
        <v>12</v>
      </c>
      <c r="B14" s="59" t="str">
        <f>Listado!B15</f>
        <v>Gonzalo Lucas</v>
      </c>
      <c r="C14" s="59" t="str">
        <f>Listado!C15</f>
        <v>Pablo</v>
      </c>
      <c r="D14" s="59" t="str">
        <f>Listado!E15</f>
        <v>pablo.gonzalo@tajamar365.com</v>
      </c>
      <c r="E14" s="60">
        <f>SUM(Octubre!O15,Noviembre!O15,Diciembre!O15,Enero!O16,Febrero!O15,Marzo!O15,Abril!O15,Mayo!O15,Junio!O15)</f>
        <v>0</v>
      </c>
      <c r="F14" s="141">
        <f t="shared" si="0"/>
        <v>100</v>
      </c>
      <c r="G14" s="60">
        <f>SUM(Octubre!Q15,Noviembre!Q15,Diciembre!Q15,Enero!Q16,Febrero!Q15,Marzo!Q15,Abril!Q15,Mayo!Q15,Junio!Q15)</f>
        <v>0</v>
      </c>
      <c r="H14" s="141">
        <f t="shared" si="1"/>
        <v>100</v>
      </c>
      <c r="I14" s="60">
        <f>SUM(Octubre!P15,Noviembre!P15,Diciembre!P15,Enero!P16,Febrero!P15,Marzo!P15,Abril!P15,Mayo!P15,Junio!P15)</f>
        <v>0</v>
      </c>
      <c r="J14" s="61">
        <f>SUM(Octubre!J15,Octubre!K15,Octubre!M15,Octubre!N15,Noviembre!J15,Noviembre!K15,Noviembre!M15,Noviembre!N15,Diciembre!J15,Diciembre!K15,Diciembre!M15,Diciembre!N15,Enero!J16,Enero!K16,Enero!M16,Enero!N16,Febrero!J15,Febrero!K15,Febrero!M15,Febrero!N15,Marzo!J15,Marzo!K15,Marzo!M15,Marzo!N15,Abril!J15,Abril!K15,Abril!M15,Abril!N15,Mayo!J15,Mayo!K15,Mayo!M15,Mayo!N15,Junio!J15,Junio!K15,Junio!M15,Junio!N15)</f>
        <v>0</v>
      </c>
      <c r="K14" s="60">
        <f t="shared" si="2"/>
        <v>0</v>
      </c>
      <c r="L14" s="141">
        <f t="shared" si="3"/>
        <v>100</v>
      </c>
      <c r="M14" s="141">
        <f t="shared" si="4"/>
        <v>100</v>
      </c>
    </row>
    <row r="15" spans="1:13" ht="12.75" customHeight="1" x14ac:dyDescent="0.2">
      <c r="A15" s="59">
        <f>Listado!A16</f>
        <v>13</v>
      </c>
      <c r="B15" s="59" t="str">
        <f>Listado!B16</f>
        <v xml:space="preserve">Jacek </v>
      </c>
      <c r="C15" s="59" t="str">
        <f>Listado!C16</f>
        <v>Adrian</v>
      </c>
      <c r="D15" s="59" t="str">
        <f>Listado!E16</f>
        <v>adrian.jacek@tajamar365.com</v>
      </c>
      <c r="E15" s="60">
        <f>SUM(Octubre!O16,Noviembre!O16,Diciembre!O16,Enero!O17,Febrero!O16,Marzo!O16,Abril!O16,Mayo!O16,Junio!O16)</f>
        <v>0</v>
      </c>
      <c r="F15" s="141">
        <f t="shared" si="0"/>
        <v>100</v>
      </c>
      <c r="G15" s="60">
        <f>SUM(Octubre!Q16,Noviembre!Q16,Diciembre!Q16,Enero!Q17,Febrero!Q16,Marzo!Q16,Abril!Q16,Mayo!Q16,Junio!Q16)</f>
        <v>0</v>
      </c>
      <c r="H15" s="141">
        <f t="shared" si="1"/>
        <v>100</v>
      </c>
      <c r="I15" s="60">
        <f>SUM(Octubre!P16,Noviembre!P16,Diciembre!P16,Enero!P17,Febrero!P16,Marzo!P16,Abril!P16,Mayo!P16,Junio!P16)</f>
        <v>0</v>
      </c>
      <c r="J15" s="61">
        <f>SUM(Octubre!J16,Octubre!K16,Octubre!M16,Octubre!N16,Noviembre!J16,Noviembre!K16,Noviembre!M16,Noviembre!N16,Diciembre!J16,Diciembre!K16,Diciembre!M16,Diciembre!N16,Enero!J17,Enero!K17,Enero!M17,Enero!N17,Febrero!J16,Febrero!K16,Febrero!M16,Febrero!N16,Marzo!J16,Marzo!K16,Marzo!M16,Marzo!N16,Abril!J16,Abril!K16,Abril!M16,Abril!N16,Mayo!J16,Mayo!K16,Mayo!M16,Mayo!N16,Junio!J16,Junio!K16,Junio!M16,Junio!N16)</f>
        <v>0</v>
      </c>
      <c r="K15" s="60">
        <f t="shared" si="2"/>
        <v>0</v>
      </c>
      <c r="L15" s="141">
        <f t="shared" si="3"/>
        <v>100</v>
      </c>
      <c r="M15" s="141">
        <f t="shared" si="4"/>
        <v>100</v>
      </c>
    </row>
    <row r="16" spans="1:13" ht="12.75" customHeight="1" x14ac:dyDescent="0.2">
      <c r="A16" s="59">
        <f>Listado!A17</f>
        <v>14</v>
      </c>
      <c r="B16" s="59" t="str">
        <f>Listado!B17</f>
        <v>López Pachón</v>
      </c>
      <c r="C16" s="59" t="str">
        <f>Listado!C17</f>
        <v xml:space="preserve">José Antonio </v>
      </c>
      <c r="D16" s="59" t="str">
        <f>Listado!E17</f>
        <v>joseantonio.lopez@tajamar365.com</v>
      </c>
      <c r="E16" s="60">
        <f>SUM(Octubre!O17,Noviembre!O17,Diciembre!O17,Enero!O18,Febrero!O17,Marzo!O17,Abril!O17,Mayo!O17,Junio!O17)</f>
        <v>0</v>
      </c>
      <c r="F16" s="141">
        <f t="shared" si="0"/>
        <v>100</v>
      </c>
      <c r="G16" s="60">
        <f>SUM(Octubre!Q17,Noviembre!Q17,Diciembre!Q17,Enero!Q18,Febrero!Q17,Marzo!Q17,Abril!Q17,Mayo!Q17,Junio!Q17)</f>
        <v>0</v>
      </c>
      <c r="H16" s="141">
        <f t="shared" si="1"/>
        <v>100</v>
      </c>
      <c r="I16" s="60">
        <f>SUM(Octubre!P17,Noviembre!P17,Diciembre!P17,Enero!P18,Febrero!P17,Marzo!P17,Abril!P17,Mayo!P17,Junio!P17)</f>
        <v>0</v>
      </c>
      <c r="J16" s="61">
        <f>SUM(Octubre!J17,Octubre!K17,Octubre!M17,Octubre!N17,Noviembre!J17,Noviembre!K17,Noviembre!M17,Noviembre!N17,Diciembre!J17,Diciembre!K17,Diciembre!M17,Diciembre!N17,Enero!J18,Enero!K18,Enero!M18,Enero!N18,Febrero!J17,Febrero!K17,Febrero!M17,Febrero!N17,Marzo!J17,Marzo!K17,Marzo!M17,Marzo!N17,Abril!J17,Abril!K17,Abril!M17,Abril!N17,Mayo!J17,Mayo!K17,Mayo!M17,Mayo!N17,Junio!J17,Junio!K17,Junio!M17,Junio!N17)</f>
        <v>0</v>
      </c>
      <c r="K16" s="60">
        <f t="shared" si="2"/>
        <v>0</v>
      </c>
      <c r="L16" s="141">
        <f t="shared" si="3"/>
        <v>100</v>
      </c>
      <c r="M16" s="141">
        <f t="shared" si="4"/>
        <v>100</v>
      </c>
    </row>
    <row r="17" spans="1:13" ht="12.75" customHeight="1" x14ac:dyDescent="0.2">
      <c r="A17" s="59">
        <f>Listado!A18</f>
        <v>15</v>
      </c>
      <c r="B17" s="59" t="str">
        <f>Listado!B18</f>
        <v>Miguel Tolosana</v>
      </c>
      <c r="C17" s="59" t="str">
        <f>Listado!C18</f>
        <v>María</v>
      </c>
      <c r="D17" s="59" t="str">
        <f>Listado!E18</f>
        <v>maria.miguel@tajamar365.com</v>
      </c>
      <c r="E17" s="60">
        <f>SUM(Octubre!O18,Noviembre!O18,Diciembre!O18,Enero!O19,Febrero!O18,Marzo!O18,Abril!O18,Mayo!O18,Junio!O18)</f>
        <v>0</v>
      </c>
      <c r="F17" s="141">
        <f t="shared" si="0"/>
        <v>100</v>
      </c>
      <c r="G17" s="60">
        <f>SUM(Octubre!Q18,Noviembre!Q18,Diciembre!Q18,Enero!Q19,Febrero!Q18,Marzo!Q18,Abril!Q18,Mayo!Q18,Junio!Q18)</f>
        <v>0</v>
      </c>
      <c r="H17" s="141">
        <f t="shared" si="1"/>
        <v>100</v>
      </c>
      <c r="I17" s="60">
        <f>SUM(Octubre!P18,Noviembre!P18,Diciembre!P18,Enero!P19,Febrero!P18,Marzo!P18,Abril!P18,Mayo!P18,Junio!P18)</f>
        <v>0</v>
      </c>
      <c r="J17" s="61">
        <f>SUM(Octubre!J18,Octubre!K18,Octubre!M18,Octubre!N18,Noviembre!J18,Noviembre!K18,Noviembre!M18,Noviembre!N18,Diciembre!J18,Diciembre!K18,Diciembre!M18,Diciembre!N18,Enero!J19,Enero!K19,Enero!M19,Enero!N19,Febrero!J18,Febrero!K18,Febrero!M18,Febrero!N18,Marzo!J18,Marzo!K18,Marzo!M18,Marzo!N18,Abril!J18,Abril!K18,Abril!M18,Abril!N18,Mayo!J18,Mayo!K18,Mayo!M18,Mayo!N18,Junio!J18,Junio!K18,Junio!M18,Junio!N18)</f>
        <v>0</v>
      </c>
      <c r="K17" s="60">
        <f t="shared" si="2"/>
        <v>0</v>
      </c>
      <c r="L17" s="141">
        <f t="shared" si="3"/>
        <v>100</v>
      </c>
      <c r="M17" s="141">
        <f t="shared" si="4"/>
        <v>100</v>
      </c>
    </row>
    <row r="18" spans="1:13" ht="12.75" customHeight="1" x14ac:dyDescent="0.2">
      <c r="A18" s="59">
        <f>Listado!A19</f>
        <v>16</v>
      </c>
      <c r="B18" s="59" t="str">
        <f>Listado!B19</f>
        <v>Navarro Fernández</v>
      </c>
      <c r="C18" s="59" t="str">
        <f>Listado!C19</f>
        <v>Alejandro</v>
      </c>
      <c r="D18" s="59" t="str">
        <f>Listado!E19</f>
        <v>alejandro.navarro@tajamar365.com</v>
      </c>
      <c r="E18" s="60">
        <f>SUM(Octubre!O19,Noviembre!O19,Diciembre!O19,Enero!O20,Febrero!O19,Marzo!O19,Abril!O19,Mayo!O19,Junio!O19)</f>
        <v>0</v>
      </c>
      <c r="F18" s="141">
        <f t="shared" si="0"/>
        <v>100</v>
      </c>
      <c r="G18" s="60">
        <f>SUM(Octubre!Q19,Noviembre!Q19,Diciembre!Q19,Enero!Q20,Febrero!Q19,Marzo!Q19,Abril!Q19,Mayo!Q19,Junio!Q19)</f>
        <v>0</v>
      </c>
      <c r="H18" s="141">
        <f t="shared" si="1"/>
        <v>100</v>
      </c>
      <c r="I18" s="60">
        <f>SUM(Octubre!P19,Noviembre!P19,Diciembre!P19,Enero!P20,Febrero!P19,Marzo!P19,Abril!P19,Mayo!P19,Junio!P19)</f>
        <v>0</v>
      </c>
      <c r="J18" s="61">
        <f>SUM(Octubre!J19,Octubre!K19,Octubre!M19,Octubre!N19,Noviembre!J19,Noviembre!K19,Noviembre!M19,Noviembre!N19,Diciembre!J19,Diciembre!K19,Diciembre!M19,Diciembre!N19,Enero!J20,Enero!K20,Enero!M20,Enero!N20,Febrero!J19,Febrero!K19,Febrero!M19,Febrero!N19,Marzo!J19,Marzo!K19,Marzo!M19,Marzo!N19,Abril!J19,Abril!K19,Abril!M19,Abril!N19,Mayo!J19,Mayo!K19,Mayo!M19,Mayo!N19,Junio!J19,Junio!K19,Junio!M19,Junio!N19)</f>
        <v>0</v>
      </c>
      <c r="K18" s="60">
        <f t="shared" si="2"/>
        <v>0</v>
      </c>
      <c r="L18" s="141">
        <f t="shared" si="3"/>
        <v>100</v>
      </c>
      <c r="M18" s="141">
        <f t="shared" si="4"/>
        <v>100</v>
      </c>
    </row>
    <row r="19" spans="1:13" ht="12.75" customHeight="1" x14ac:dyDescent="0.2">
      <c r="A19" s="59">
        <f>Listado!A20</f>
        <v>17</v>
      </c>
      <c r="B19" s="59" t="str">
        <f>Listado!B20</f>
        <v>Ordóñez Rimacuna</v>
      </c>
      <c r="C19" s="59" t="str">
        <f>Listado!C20</f>
        <v>Julio Alejandro</v>
      </c>
      <c r="D19" s="59" t="str">
        <f>Listado!E20</f>
        <v>julioalejandro.ordonez@tajamar365.com</v>
      </c>
      <c r="E19" s="60">
        <f>SUM(Octubre!O20,Noviembre!O20,Diciembre!O20,Enero!O21,Febrero!O20,Marzo!O20,Abril!O20,Mayo!O20,Junio!O20)</f>
        <v>0</v>
      </c>
      <c r="F19" s="141">
        <f t="shared" si="0"/>
        <v>100</v>
      </c>
      <c r="G19" s="60">
        <f>SUM(Octubre!Q20,Noviembre!Q20,Diciembre!Q20,Enero!Q21,Febrero!Q20,Marzo!Q20,Abril!Q20,Mayo!Q20,Junio!Q20)</f>
        <v>0</v>
      </c>
      <c r="H19" s="141">
        <f t="shared" si="1"/>
        <v>100</v>
      </c>
      <c r="I19" s="60">
        <f>SUM(Octubre!P20,Noviembre!P20,Diciembre!P20,Enero!P21,Febrero!P20,Marzo!P20,Abril!P20,Mayo!P20,Junio!P20)</f>
        <v>0</v>
      </c>
      <c r="J19" s="61">
        <f>SUM(Octubre!J20,Octubre!K20,Octubre!M20,Octubre!N20,Noviembre!J20,Noviembre!K20,Noviembre!M20,Noviembre!N20,Diciembre!J20,Diciembre!K20,Diciembre!M20,Diciembre!N20,Enero!J21,Enero!K21,Enero!M21,Enero!N21,Febrero!J20,Febrero!K20,Febrero!M20,Febrero!N20,Marzo!J20,Marzo!K20,Marzo!M20,Marzo!N20,Abril!J20,Abril!K20,Abril!M20,Abril!N20,Mayo!J20,Mayo!K20,Mayo!M20,Mayo!N20,Junio!J20,Junio!K20,Junio!M20,Junio!N20)</f>
        <v>0</v>
      </c>
      <c r="K19" s="60">
        <f t="shared" si="2"/>
        <v>0</v>
      </c>
      <c r="L19" s="141">
        <f t="shared" si="3"/>
        <v>100</v>
      </c>
      <c r="M19" s="141">
        <f t="shared" si="4"/>
        <v>100</v>
      </c>
    </row>
    <row r="20" spans="1:13" ht="12.75" customHeight="1" x14ac:dyDescent="0.2">
      <c r="A20" s="59">
        <f>Listado!A21</f>
        <v>18</v>
      </c>
      <c r="B20" s="59" t="str">
        <f>Listado!B21</f>
        <v>Pedroche Pérez</v>
      </c>
      <c r="C20" s="59" t="str">
        <f>Listado!C21</f>
        <v>Marcos</v>
      </c>
      <c r="D20" s="59" t="str">
        <f>Listado!E21</f>
        <v>marcos.pedroche@tajamar365.com</v>
      </c>
      <c r="E20" s="60">
        <f>SUM(Octubre!O21,Noviembre!O21,Diciembre!O21,Enero!O22,Febrero!O21,Marzo!O21,Abril!O21,Mayo!O21,Junio!O21)</f>
        <v>0</v>
      </c>
      <c r="F20" s="141">
        <f t="shared" si="0"/>
        <v>100</v>
      </c>
      <c r="G20" s="60">
        <f>SUM(Octubre!Q21,Noviembre!Q21,Diciembre!Q21,Enero!Q22,Febrero!Q21,Marzo!Q21,Abril!Q21,Mayo!Q21,Junio!Q21)</f>
        <v>0</v>
      </c>
      <c r="H20" s="141">
        <f t="shared" si="1"/>
        <v>100</v>
      </c>
      <c r="I20" s="60">
        <f>SUM(Octubre!P21,Noviembre!P21,Diciembre!P21,Enero!P22,Febrero!P21,Marzo!P21,Abril!P21,Mayo!P21,Junio!P21)</f>
        <v>0</v>
      </c>
      <c r="J20" s="61">
        <f>SUM(Octubre!J21,Octubre!K21,Octubre!M21,Octubre!N21,Noviembre!J21,Noviembre!K21,Noviembre!M21,Noviembre!N21,Diciembre!J21,Diciembre!K21,Diciembre!M21,Diciembre!N21,Enero!J22,Enero!K22,Enero!M22,Enero!N22,Febrero!J21,Febrero!K21,Febrero!M21,Febrero!N21,Marzo!J21,Marzo!K21,Marzo!M21,Marzo!N21,Abril!J21,Abril!K21,Abril!M21,Abril!N21,Mayo!J21,Mayo!K21,Mayo!M21,Mayo!N21,Junio!J21,Junio!K21,Junio!M21,Junio!N21)</f>
        <v>0</v>
      </c>
      <c r="K20" s="60">
        <f t="shared" si="2"/>
        <v>0</v>
      </c>
      <c r="L20" s="141">
        <f t="shared" si="3"/>
        <v>100</v>
      </c>
      <c r="M20" s="141">
        <f t="shared" si="4"/>
        <v>100</v>
      </c>
    </row>
    <row r="21" spans="1:13" ht="12.75" customHeight="1" x14ac:dyDescent="0.2">
      <c r="A21" s="59">
        <f>Listado!A22</f>
        <v>19</v>
      </c>
      <c r="B21" s="59" t="str">
        <f>Listado!B22</f>
        <v xml:space="preserve">Pérez Gregorio </v>
      </c>
      <c r="C21" s="59" t="str">
        <f>Listado!C22</f>
        <v xml:space="preserve">Diego </v>
      </c>
      <c r="D21" s="59" t="str">
        <f>Listado!E22</f>
        <v>diego.perez@tajamar365.com</v>
      </c>
      <c r="E21" s="60">
        <f>SUM(Octubre!O22,Noviembre!O22,Diciembre!O22,Enero!O23,Febrero!O22,Marzo!O22,Abril!O22,Mayo!O22,Junio!O22)</f>
        <v>0</v>
      </c>
      <c r="F21" s="141">
        <f t="shared" si="0"/>
        <v>100</v>
      </c>
      <c r="G21" s="60">
        <f>SUM(Octubre!Q22,Noviembre!Q22,Diciembre!Q22,Enero!Q23,Febrero!Q22,Marzo!Q22,Abril!Q22,Mayo!Q22,Junio!Q22)</f>
        <v>0</v>
      </c>
      <c r="H21" s="141">
        <f t="shared" si="1"/>
        <v>100</v>
      </c>
      <c r="I21" s="60">
        <f>SUM(Octubre!P22,Noviembre!P22,Diciembre!P22,Enero!P23,Febrero!P22,Marzo!P22,Abril!P22,Mayo!P22,Junio!P22)</f>
        <v>0</v>
      </c>
      <c r="J21" s="61">
        <f>SUM(Octubre!J22,Octubre!K22,Octubre!M22,Octubre!N22,Noviembre!J22,Noviembre!K22,Noviembre!M22,Noviembre!N22,Diciembre!J22,Diciembre!K22,Diciembre!M22,Diciembre!N22,Enero!J23,Enero!K23,Enero!M23,Enero!N23,Febrero!J22,Febrero!K22,Febrero!M22,Febrero!N22,Marzo!J22,Marzo!K22,Marzo!M22,Marzo!N22,Abril!J22,Abril!K22,Abril!M22,Abril!N22,Mayo!J22,Mayo!K22,Mayo!M22,Mayo!N22,Junio!J22,Junio!K22,Junio!M22,Junio!N22)</f>
        <v>0</v>
      </c>
      <c r="K21" s="60">
        <f t="shared" si="2"/>
        <v>0</v>
      </c>
      <c r="L21" s="141">
        <f t="shared" si="3"/>
        <v>100</v>
      </c>
      <c r="M21" s="141">
        <f t="shared" si="4"/>
        <v>100</v>
      </c>
    </row>
    <row r="22" spans="1:13" ht="12.75" customHeight="1" x14ac:dyDescent="0.2">
      <c r="A22" s="59">
        <f>Listado!A23</f>
        <v>20</v>
      </c>
      <c r="B22" s="59" t="str">
        <f>Listado!B23</f>
        <v>Pinto Díaz</v>
      </c>
      <c r="C22" s="59" t="str">
        <f>Listado!C23</f>
        <v>Ángel</v>
      </c>
      <c r="D22" s="59" t="str">
        <f>Listado!E23</f>
        <v>angel.pinto@tajamar365.com</v>
      </c>
      <c r="E22" s="60">
        <f>SUM(Octubre!O23,Noviembre!O23,Diciembre!O23,Enero!O24,Febrero!O23,Marzo!O23,Abril!O23,Mayo!O23,Junio!O23)</f>
        <v>0</v>
      </c>
      <c r="F22" s="141">
        <f t="shared" si="0"/>
        <v>100</v>
      </c>
      <c r="G22" s="60">
        <f>SUM(Octubre!Q23,Noviembre!Q23,Diciembre!Q23,Enero!Q24,Febrero!Q23,Marzo!Q23,Abril!Q23,Mayo!Q23,Junio!Q23)</f>
        <v>0</v>
      </c>
      <c r="H22" s="141">
        <f t="shared" si="1"/>
        <v>100</v>
      </c>
      <c r="I22" s="60">
        <f>SUM(Octubre!P23,Noviembre!P23,Diciembre!P23,Enero!P24,Febrero!P23,Marzo!P23,Abril!P23,Mayo!P23,Junio!P23)</f>
        <v>0</v>
      </c>
      <c r="J22" s="61">
        <f>SUM(Octubre!J23,Octubre!K23,Octubre!M23,Octubre!N23,Noviembre!J23,Noviembre!K23,Noviembre!M23,Noviembre!N23,Diciembre!J23,Diciembre!K23,Diciembre!M23,Diciembre!N23,Enero!J24,Enero!K24,Enero!M24,Enero!N24,Febrero!J23,Febrero!K23,Febrero!M23,Febrero!N23,Marzo!J23,Marzo!K23,Marzo!M23,Marzo!N23,Abril!J23,Abril!K23,Abril!M23,Abril!N23,Mayo!J23,Mayo!K23,Mayo!M23,Mayo!N23,Junio!J23,Junio!K23,Junio!M23,Junio!N23)</f>
        <v>0</v>
      </c>
      <c r="K22" s="60">
        <f t="shared" si="2"/>
        <v>0</v>
      </c>
      <c r="L22" s="141">
        <f t="shared" si="3"/>
        <v>100</v>
      </c>
      <c r="M22" s="141">
        <f t="shared" si="4"/>
        <v>100</v>
      </c>
    </row>
    <row r="23" spans="1:13" ht="12.75" customHeight="1" x14ac:dyDescent="0.2">
      <c r="A23" s="59">
        <f>Listado!A24</f>
        <v>21</v>
      </c>
      <c r="B23" s="59" t="str">
        <f>Listado!B24</f>
        <v>Quirós Martín-Portugués</v>
      </c>
      <c r="C23" s="59" t="str">
        <f>Listado!C24</f>
        <v>Marta</v>
      </c>
      <c r="D23" s="59" t="str">
        <f>Listado!E24</f>
        <v>marta.quiros@tajamar365.com</v>
      </c>
      <c r="E23" s="60">
        <f>SUM(Octubre!O24,Noviembre!O24,Diciembre!O24,Enero!O25,Febrero!O24,Marzo!O24,Abril!O24,Mayo!O24,Junio!O24)</f>
        <v>0</v>
      </c>
      <c r="F23" s="141">
        <f t="shared" si="0"/>
        <v>100</v>
      </c>
      <c r="G23" s="60">
        <f>SUM(Octubre!Q24,Noviembre!Q24,Diciembre!Q24,Enero!Q25,Febrero!Q24,Marzo!Q24,Abril!Q24,Mayo!Q24,Junio!Q24)</f>
        <v>0</v>
      </c>
      <c r="H23" s="141">
        <f t="shared" si="1"/>
        <v>100</v>
      </c>
      <c r="I23" s="60">
        <f>SUM(Octubre!P24,Noviembre!P24,Diciembre!P24,Enero!P25,Febrero!P24,Marzo!P24,Abril!P24,Mayo!P24,Junio!P24)</f>
        <v>0</v>
      </c>
      <c r="J23" s="61">
        <f>SUM(Octubre!J24,Octubre!K24,Octubre!M24,Octubre!N24,Noviembre!J24,Noviembre!K24,Noviembre!M24,Noviembre!N24,Diciembre!J24,Diciembre!K24,Diciembre!M24,Diciembre!N24,Enero!J25,Enero!K25,Enero!M25,Enero!N25,Febrero!J24,Febrero!K24,Febrero!M24,Febrero!N24,Marzo!J24,Marzo!K24,Marzo!M24,Marzo!N24,Abril!J24,Abril!K24,Abril!M24,Abril!N24,Mayo!J24,Mayo!K24,Mayo!M24,Mayo!N24,Junio!J24,Junio!K24,Junio!M24,Junio!N24)</f>
        <v>0</v>
      </c>
      <c r="K23" s="60">
        <f t="shared" si="2"/>
        <v>0</v>
      </c>
      <c r="L23" s="141">
        <f t="shared" si="3"/>
        <v>100</v>
      </c>
      <c r="M23" s="141">
        <f t="shared" si="4"/>
        <v>100</v>
      </c>
    </row>
    <row r="24" spans="1:13" ht="12.75" customHeight="1" x14ac:dyDescent="0.2">
      <c r="A24" s="59">
        <f>Listado!A25</f>
        <v>22</v>
      </c>
      <c r="B24" s="59" t="str">
        <f>Listado!B25</f>
        <v>Rodríguez Alonso</v>
      </c>
      <c r="C24" s="59" t="str">
        <f>Listado!C25</f>
        <v>Jorge</v>
      </c>
      <c r="D24" s="59" t="str">
        <f>Listado!E25</f>
        <v>jorge.rodriguezalonso@tajamar365.com</v>
      </c>
      <c r="E24" s="60">
        <f>SUM(Octubre!O25,Noviembre!O25,Diciembre!O25,Enero!O26,Febrero!O25,Marzo!O25,Abril!O25,Mayo!O25,Junio!O25)</f>
        <v>0</v>
      </c>
      <c r="F24" s="141">
        <f t="shared" si="0"/>
        <v>100</v>
      </c>
      <c r="G24" s="60">
        <f>SUM(Octubre!Q25,Noviembre!Q25,Diciembre!Q25,Enero!Q26,Febrero!Q25,Marzo!Q25,Abril!Q25,Mayo!Q25,Junio!Q25)</f>
        <v>0</v>
      </c>
      <c r="H24" s="141">
        <f t="shared" si="1"/>
        <v>100</v>
      </c>
      <c r="I24" s="60">
        <f>SUM(Octubre!P25,Noviembre!P25,Diciembre!P25,Enero!P26,Febrero!P25,Marzo!P25,Abril!P25,Mayo!P25,Junio!P25)</f>
        <v>0</v>
      </c>
      <c r="J24" s="61">
        <f>SUM(Octubre!J25,Octubre!K25,Octubre!M25,Octubre!N25,Noviembre!J25,Noviembre!K25,Noviembre!M25,Noviembre!N25,Diciembre!J25,Diciembre!K25,Diciembre!M25,Diciembre!N25,Enero!J26,Enero!K26,Enero!M26,Enero!N26,Febrero!J25,Febrero!K25,Febrero!M25,Febrero!N25,Marzo!J25,Marzo!K25,Marzo!M25,Marzo!N25,Abril!J25,Abril!K25,Abril!M25,Abril!N25,Mayo!J25,Mayo!K25,Mayo!M25,Mayo!N25,Junio!J25,Junio!K25,Junio!M25,Junio!N25)</f>
        <v>0</v>
      </c>
      <c r="K24" s="60">
        <f t="shared" si="2"/>
        <v>0</v>
      </c>
      <c r="L24" s="141">
        <f t="shared" si="3"/>
        <v>100</v>
      </c>
      <c r="M24" s="141">
        <f t="shared" si="4"/>
        <v>100</v>
      </c>
    </row>
    <row r="25" spans="1:13" ht="12.75" customHeight="1" x14ac:dyDescent="0.2">
      <c r="A25" s="59">
        <f>Listado!A26</f>
        <v>23</v>
      </c>
      <c r="B25" s="59" t="str">
        <f>Listado!B26</f>
        <v>Rodríguez-Rey Prieto</v>
      </c>
      <c r="C25" s="59" t="str">
        <f>Listado!C26</f>
        <v>Alberto</v>
      </c>
      <c r="D25" s="59" t="str">
        <f>Listado!E26</f>
        <v>alberto.rodriguez-rey@tajamar365.com</v>
      </c>
      <c r="E25" s="60">
        <f>SUM(Octubre!O26,Noviembre!O26,Diciembre!O26,Enero!O27,Febrero!O26,Marzo!O26,Abril!O26,Mayo!O26,Junio!O26)</f>
        <v>0</v>
      </c>
      <c r="F25" s="141">
        <f t="shared" si="0"/>
        <v>100</v>
      </c>
      <c r="G25" s="60">
        <f>SUM(Octubre!Q26,Noviembre!Q26,Diciembre!Q26,Enero!Q27,Febrero!Q26,Marzo!Q26,Abril!Q26,Mayo!Q26,Junio!Q26)</f>
        <v>0</v>
      </c>
      <c r="H25" s="141">
        <f t="shared" si="1"/>
        <v>100</v>
      </c>
      <c r="I25" s="60">
        <f>SUM(Octubre!P26,Noviembre!P26,Diciembre!P26,Enero!P27,Febrero!P26,Marzo!P26,Abril!P26,Mayo!P26,Junio!P26)</f>
        <v>0</v>
      </c>
      <c r="J25" s="61">
        <f>SUM(Octubre!J26,Octubre!K26,Octubre!M26,Octubre!N26,Noviembre!J26,Noviembre!K26,Noviembre!M26,Noviembre!N26,Diciembre!J26,Diciembre!K26,Diciembre!M26,Diciembre!N26,Enero!J27,Enero!K27,Enero!M27,Enero!N27,Febrero!J26,Febrero!K26,Febrero!M26,Febrero!N26,Marzo!J26,Marzo!K26,Marzo!M26,Marzo!N26,Abril!J26,Abril!K26,Abril!M26,Abril!N26,Mayo!J26,Mayo!K26,Mayo!M26,Mayo!N26,Junio!J26,Junio!K26,Junio!M26,Junio!N26)</f>
        <v>0</v>
      </c>
      <c r="K25" s="60">
        <f t="shared" si="2"/>
        <v>0</v>
      </c>
      <c r="L25" s="141">
        <f t="shared" si="3"/>
        <v>100</v>
      </c>
      <c r="M25" s="141">
        <f t="shared" si="4"/>
        <v>100</v>
      </c>
    </row>
    <row r="26" spans="1:13" ht="12.75" customHeight="1" x14ac:dyDescent="0.2">
      <c r="A26" s="59">
        <f>Listado!A27</f>
        <v>24</v>
      </c>
      <c r="B26" s="59" t="str">
        <f>Listado!B27</f>
        <v>Ruiz García</v>
      </c>
      <c r="C26" s="59" t="str">
        <f>Listado!C27</f>
        <v>Alejandro</v>
      </c>
      <c r="D26" s="59" t="str">
        <f>Listado!E27</f>
        <v>alejandro.ruizgarcia@tajamar365.com</v>
      </c>
      <c r="E26" s="60">
        <f>SUM(Octubre!O27,Noviembre!O27,Diciembre!O27,Enero!O28,Febrero!O27,Marzo!O27,Abril!O27,Mayo!O27,Junio!O27)</f>
        <v>0</v>
      </c>
      <c r="F26" s="141">
        <f t="shared" si="0"/>
        <v>100</v>
      </c>
      <c r="G26" s="60">
        <f>SUM(Octubre!Q27,Noviembre!Q27,Diciembre!Q27,Enero!Q28,Febrero!Q27,Marzo!Q27,Abril!Q27,Mayo!Q27,Junio!Q27)</f>
        <v>0</v>
      </c>
      <c r="H26" s="141">
        <f t="shared" si="1"/>
        <v>100</v>
      </c>
      <c r="I26" s="60">
        <f>SUM(Octubre!P27,Noviembre!P27,Diciembre!P27,Enero!P28,Febrero!P27,Marzo!P27,Abril!P27,Mayo!P27,Junio!P27)</f>
        <v>0</v>
      </c>
      <c r="J26" s="61">
        <f>SUM(Octubre!J27,Octubre!K27,Octubre!M27,Octubre!N27,Noviembre!J27,Noviembre!K27,Noviembre!M27,Noviembre!N27,Diciembre!J27,Diciembre!K27,Diciembre!M27,Diciembre!N27,Enero!J28,Enero!K28,Enero!M28,Enero!N28,Febrero!J27,Febrero!K27,Febrero!M27,Febrero!N27,Marzo!J27,Marzo!K27,Marzo!M27,Marzo!N27,Abril!J27,Abril!K27,Abril!M27,Abril!N27,Mayo!J27,Mayo!K27,Mayo!M27,Mayo!N27,Junio!J27,Junio!K27,Junio!M27,Junio!N27)</f>
        <v>0</v>
      </c>
      <c r="K26" s="60">
        <f t="shared" si="2"/>
        <v>0</v>
      </c>
      <c r="L26" s="141">
        <f t="shared" si="3"/>
        <v>100</v>
      </c>
      <c r="M26" s="141">
        <f t="shared" si="4"/>
        <v>100</v>
      </c>
    </row>
    <row r="27" spans="1:13" ht="12.75" customHeight="1" x14ac:dyDescent="0.2">
      <c r="A27" s="59">
        <f>Listado!A28</f>
        <v>25</v>
      </c>
      <c r="B27" s="59" t="str">
        <f>Listado!B28</f>
        <v>Solís Torrijos</v>
      </c>
      <c r="C27" s="59" t="str">
        <f>Listado!C28</f>
        <v>Juan</v>
      </c>
      <c r="D27" s="59" t="str">
        <f>Listado!E28</f>
        <v>juan.solis@tajamar365.com</v>
      </c>
      <c r="E27" s="60">
        <f>SUM(Octubre!O28,Noviembre!O28,Diciembre!O28,Enero!O29,Febrero!O28,Marzo!O28,Abril!O28,Mayo!O28,Junio!O28)</f>
        <v>0</v>
      </c>
      <c r="F27" s="141">
        <f t="shared" si="0"/>
        <v>100</v>
      </c>
      <c r="G27" s="60">
        <f>SUM(Octubre!Q28,Noviembre!Q28,Diciembre!Q28,Enero!Q29,Febrero!Q28,Marzo!Q28,Abril!Q28,Mayo!Q28,Junio!Q28)</f>
        <v>0</v>
      </c>
      <c r="H27" s="141">
        <f t="shared" si="1"/>
        <v>100</v>
      </c>
      <c r="I27" s="60">
        <f>SUM(Octubre!P28,Noviembre!P28,Diciembre!P28,Enero!P29,Febrero!P28,Marzo!P28,Abril!P28,Mayo!P28,Junio!P28)</f>
        <v>0</v>
      </c>
      <c r="J27" s="61">
        <f>SUM(Octubre!J28,Octubre!K28,Octubre!M28,Octubre!N28,Noviembre!J28,Noviembre!K28,Noviembre!M28,Noviembre!N28,Diciembre!J28,Diciembre!K28,Diciembre!M28,Diciembre!N28,Enero!J29,Enero!K29,Enero!M29,Enero!N29,Febrero!J28,Febrero!K28,Febrero!M28,Febrero!N28,Marzo!J28,Marzo!K28,Marzo!M28,Marzo!N28,Abril!J28,Abril!K28,Abril!M28,Abril!N28,Mayo!J28,Mayo!K28,Mayo!M28,Mayo!N28,Junio!J28,Junio!K28,Junio!M28,Junio!N28)</f>
        <v>0</v>
      </c>
      <c r="K27" s="60">
        <f t="shared" si="2"/>
        <v>0</v>
      </c>
      <c r="L27" s="141">
        <f t="shared" si="3"/>
        <v>100</v>
      </c>
      <c r="M27" s="141">
        <f t="shared" si="4"/>
        <v>100</v>
      </c>
    </row>
    <row r="28" spans="1:13" ht="12.75" customHeight="1" x14ac:dyDescent="0.2">
      <c r="A28" s="59">
        <f>Listado!A29</f>
        <v>26</v>
      </c>
      <c r="B28" s="59" t="str">
        <f>Listado!B29</f>
        <v>Vázquez Martínez</v>
      </c>
      <c r="C28" s="59" t="str">
        <f>Listado!C29</f>
        <v>Iván</v>
      </c>
      <c r="D28" s="59" t="str">
        <f>Listado!E29</f>
        <v>ivan.vazquez@tajamar365.com</v>
      </c>
      <c r="E28" s="60">
        <f>SUM(Octubre!O29,Noviembre!O29,Diciembre!O29,Enero!O30,Febrero!O29,Marzo!O29,Abril!O29,Mayo!O29,Junio!O29)</f>
        <v>0</v>
      </c>
      <c r="F28" s="141">
        <f t="shared" si="0"/>
        <v>100</v>
      </c>
      <c r="G28" s="60">
        <f>SUM(Octubre!Q29,Noviembre!Q29,Diciembre!Q29,Enero!Q30,Febrero!Q29,Marzo!Q29,Abril!Q29,Mayo!Q29,Junio!Q29)</f>
        <v>0</v>
      </c>
      <c r="H28" s="141">
        <f t="shared" si="1"/>
        <v>100</v>
      </c>
      <c r="I28" s="60">
        <f>SUM(Octubre!P29,Noviembre!P29,Diciembre!P29,Enero!P30,Febrero!P29,Marzo!P29,Abril!P29,Mayo!P29,Junio!P29)</f>
        <v>0</v>
      </c>
      <c r="J28" s="61">
        <f>SUM(Octubre!J29,Octubre!K29,Octubre!M29,Octubre!N29,Noviembre!J29,Noviembre!K29,Noviembre!M29,Noviembre!N29,Diciembre!J29,Diciembre!K29,Diciembre!M29,Diciembre!N29,Enero!J30,Enero!K30,Enero!M30,Enero!N30,Febrero!J29,Febrero!K29,Febrero!M29,Febrero!N29,Marzo!J29,Marzo!K29,Marzo!M29,Marzo!N29,Abril!J29,Abril!K29,Abril!M29,Abril!N29,Mayo!J29,Mayo!K29,Mayo!M29,Mayo!N29,Junio!J29,Junio!K29,Junio!M29,Junio!N29)</f>
        <v>0</v>
      </c>
      <c r="K28" s="60">
        <f t="shared" si="2"/>
        <v>0</v>
      </c>
      <c r="L28" s="141">
        <f t="shared" si="3"/>
        <v>100</v>
      </c>
      <c r="M28" s="141">
        <f t="shared" si="4"/>
        <v>100</v>
      </c>
    </row>
    <row r="29" spans="1:13" ht="12.75" customHeight="1" x14ac:dyDescent="0.2">
      <c r="A29" s="59"/>
      <c r="B29" s="59"/>
      <c r="C29" s="59"/>
      <c r="D29" s="59"/>
      <c r="E29" s="60"/>
      <c r="F29" s="61"/>
      <c r="G29" s="60"/>
      <c r="H29" s="61"/>
      <c r="I29" s="60"/>
      <c r="J29" s="61"/>
      <c r="K29" s="60"/>
      <c r="L29" s="62"/>
      <c r="M29" s="61"/>
    </row>
    <row r="30" spans="1:13" ht="12.75" customHeight="1" x14ac:dyDescent="0.2">
      <c r="G30" s="63"/>
      <c r="H30" s="63"/>
      <c r="I30" s="63"/>
      <c r="K30" s="63"/>
      <c r="L30" s="63"/>
      <c r="M30" s="63"/>
    </row>
    <row r="31" spans="1:13" ht="12.75" customHeight="1" x14ac:dyDescent="0.2">
      <c r="B31" s="64" t="s">
        <v>103</v>
      </c>
      <c r="C31" s="64"/>
      <c r="D31" s="64">
        <f>Totales!F29</f>
        <v>156</v>
      </c>
      <c r="E31" s="64"/>
      <c r="F31" s="64"/>
      <c r="J31" s="64"/>
    </row>
  </sheetData>
  <conditionalFormatting sqref="L2:L29">
    <cfRule type="cellIs" dxfId="60" priority="1" operator="lessThan">
      <formula>75</formula>
    </cfRule>
    <cfRule type="cellIs" dxfId="59" priority="2" operator="lessThan">
      <formula>80</formula>
    </cfRule>
  </conditionalFormatting>
  <conditionalFormatting sqref="M2:M29">
    <cfRule type="cellIs" dxfId="58" priority="10" operator="less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2CEC-3941-4E36-9EF7-EEFDF3CFC5F1}">
  <dimension ref="A1:B16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3.42578125" customWidth="1"/>
    <col min="2" max="2" width="25.7109375" customWidth="1"/>
  </cols>
  <sheetData>
    <row r="1" spans="1:2" ht="15" x14ac:dyDescent="0.25">
      <c r="A1" s="69" t="s">
        <v>104</v>
      </c>
      <c r="B1" s="70" t="s">
        <v>105</v>
      </c>
    </row>
    <row r="2" spans="1:2" ht="15" x14ac:dyDescent="0.25">
      <c r="A2" s="71">
        <v>44244</v>
      </c>
      <c r="B2" s="72" t="s">
        <v>106</v>
      </c>
    </row>
    <row r="3" spans="1:2" ht="15" x14ac:dyDescent="0.25">
      <c r="A3" s="73">
        <v>44245</v>
      </c>
      <c r="B3" s="74" t="s">
        <v>107</v>
      </c>
    </row>
    <row r="4" spans="1:2" ht="15" x14ac:dyDescent="0.25">
      <c r="A4" s="73">
        <v>44250</v>
      </c>
      <c r="B4" s="74" t="s">
        <v>108</v>
      </c>
    </row>
    <row r="5" spans="1:2" ht="15" x14ac:dyDescent="0.25">
      <c r="A5" s="73">
        <v>44251</v>
      </c>
      <c r="B5" s="74" t="s">
        <v>109</v>
      </c>
    </row>
    <row r="6" spans="1:2" ht="15" x14ac:dyDescent="0.25">
      <c r="A6" s="75">
        <v>44252</v>
      </c>
      <c r="B6" s="76" t="s">
        <v>110</v>
      </c>
    </row>
    <row r="7" spans="1:2" ht="15" x14ac:dyDescent="0.25">
      <c r="A7" s="71">
        <v>44253</v>
      </c>
      <c r="B7" s="77" t="s">
        <v>111</v>
      </c>
    </row>
    <row r="8" spans="1:2" ht="15" x14ac:dyDescent="0.25">
      <c r="A8" s="71">
        <v>44256</v>
      </c>
      <c r="B8" s="77" t="s">
        <v>112</v>
      </c>
    </row>
    <row r="9" spans="1:2" ht="15" x14ac:dyDescent="0.25">
      <c r="A9" s="71">
        <v>44257</v>
      </c>
      <c r="B9" s="77" t="s">
        <v>113</v>
      </c>
    </row>
    <row r="10" spans="1:2" ht="15" x14ac:dyDescent="0.25">
      <c r="A10" s="78">
        <v>44258</v>
      </c>
      <c r="B10" s="79" t="s">
        <v>114</v>
      </c>
    </row>
    <row r="11" spans="1:2" ht="15" x14ac:dyDescent="0.25">
      <c r="A11" s="78">
        <v>44263</v>
      </c>
      <c r="B11" s="79" t="s">
        <v>115</v>
      </c>
    </row>
    <row r="12" spans="1:2" ht="15" x14ac:dyDescent="0.25">
      <c r="A12" s="80">
        <v>44265</v>
      </c>
      <c r="B12" s="81" t="s">
        <v>116</v>
      </c>
    </row>
    <row r="13" spans="1:2" ht="15" x14ac:dyDescent="0.25">
      <c r="A13" s="82">
        <v>44267</v>
      </c>
      <c r="B13" s="83" t="s">
        <v>117</v>
      </c>
    </row>
    <row r="14" spans="1:2" x14ac:dyDescent="0.2">
      <c r="A14" s="82">
        <v>44270</v>
      </c>
      <c r="B14" t="s">
        <v>118</v>
      </c>
    </row>
    <row r="15" spans="1:2" x14ac:dyDescent="0.2">
      <c r="A15" s="82">
        <v>44271</v>
      </c>
      <c r="B15" t="s">
        <v>119</v>
      </c>
    </row>
    <row r="16" spans="1:2" x14ac:dyDescent="0.2">
      <c r="A16" s="82">
        <v>44277</v>
      </c>
      <c r="B16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2673-EE29-4AB2-8C11-7240B91F8AEA}">
  <dimension ref="A1:AS114"/>
  <sheetViews>
    <sheetView tabSelected="1" workbookViewId="0">
      <pane xSplit="4" ySplit="3" topLeftCell="E4" activePane="bottomRight" state="frozen"/>
      <selection pane="topRight" activeCell="D20" sqref="D20"/>
      <selection pane="bottomLeft" activeCell="D20" sqref="D20"/>
      <selection pane="bottomRight" activeCell="F17" sqref="F17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43" width="10.28515625" customWidth="1"/>
    <col min="45" max="45" width="14.42578125" bestFit="1" customWidth="1"/>
  </cols>
  <sheetData>
    <row r="1" spans="1:45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/>
      <c r="U1" s="20"/>
      <c r="V1" s="20"/>
      <c r="W1" s="20" t="s">
        <v>123</v>
      </c>
      <c r="X1" s="20" t="s">
        <v>123</v>
      </c>
      <c r="Y1" s="20"/>
      <c r="Z1" s="20"/>
      <c r="AA1" s="20"/>
      <c r="AB1" s="20"/>
      <c r="AC1" s="20" t="s">
        <v>123</v>
      </c>
      <c r="AD1" s="20" t="s">
        <v>123</v>
      </c>
      <c r="AE1" s="20" t="s">
        <v>123</v>
      </c>
      <c r="AF1" s="20"/>
      <c r="AG1" s="20"/>
      <c r="AH1" s="20"/>
      <c r="AI1" s="20"/>
      <c r="AJ1" s="20"/>
      <c r="AK1" s="20" t="s">
        <v>123</v>
      </c>
      <c r="AL1" s="20" t="s">
        <v>123</v>
      </c>
      <c r="AM1" s="20"/>
      <c r="AN1" s="20"/>
      <c r="AO1" s="20"/>
      <c r="AP1" s="20"/>
      <c r="AQ1" s="20"/>
      <c r="AR1" s="23"/>
      <c r="AS1" s="24" t="s">
        <v>124</v>
      </c>
    </row>
    <row r="2" spans="1:45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126</v>
      </c>
      <c r="S2" s="3" t="s">
        <v>127</v>
      </c>
      <c r="T2" s="3" t="s">
        <v>128</v>
      </c>
      <c r="U2" s="3" t="s">
        <v>129</v>
      </c>
      <c r="V2" s="25" t="s">
        <v>130</v>
      </c>
      <c r="W2" s="3" t="s">
        <v>131</v>
      </c>
      <c r="X2" s="3" t="s">
        <v>132</v>
      </c>
      <c r="Y2" s="3" t="s">
        <v>126</v>
      </c>
      <c r="Z2" s="3" t="s">
        <v>127</v>
      </c>
      <c r="AA2" s="3" t="s">
        <v>128</v>
      </c>
      <c r="AB2" s="3" t="s">
        <v>129</v>
      </c>
      <c r="AC2" s="25" t="s">
        <v>130</v>
      </c>
      <c r="AD2" s="3" t="s">
        <v>131</v>
      </c>
      <c r="AE2" s="3" t="s">
        <v>132</v>
      </c>
      <c r="AF2" s="3" t="s">
        <v>126</v>
      </c>
      <c r="AG2" s="3" t="s">
        <v>127</v>
      </c>
      <c r="AH2" s="3" t="s">
        <v>128</v>
      </c>
      <c r="AI2" s="3" t="s">
        <v>129</v>
      </c>
      <c r="AJ2" s="25" t="s">
        <v>130</v>
      </c>
      <c r="AK2" s="3" t="s">
        <v>131</v>
      </c>
      <c r="AL2" s="3" t="s">
        <v>132</v>
      </c>
      <c r="AM2" s="3" t="s">
        <v>126</v>
      </c>
      <c r="AN2" s="3" t="s">
        <v>127</v>
      </c>
      <c r="AO2" s="3" t="s">
        <v>128</v>
      </c>
      <c r="AP2" s="3" t="s">
        <v>129</v>
      </c>
      <c r="AQ2" s="25" t="s">
        <v>130</v>
      </c>
      <c r="AR2" s="26"/>
      <c r="AS2" s="27" t="s">
        <v>133</v>
      </c>
    </row>
    <row r="3" spans="1:45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46146</v>
      </c>
      <c r="S3" s="29">
        <v>46147</v>
      </c>
      <c r="T3" s="29">
        <v>46148</v>
      </c>
      <c r="U3" s="29">
        <v>46149</v>
      </c>
      <c r="V3" s="29">
        <v>46150</v>
      </c>
      <c r="W3" s="29">
        <v>46151</v>
      </c>
      <c r="X3" s="29">
        <v>46152</v>
      </c>
      <c r="Y3" s="29">
        <v>46153</v>
      </c>
      <c r="Z3" s="29">
        <v>46154</v>
      </c>
      <c r="AA3" s="29">
        <v>46155</v>
      </c>
      <c r="AB3" s="29">
        <v>46156</v>
      </c>
      <c r="AC3" s="29">
        <v>46157</v>
      </c>
      <c r="AD3" s="29">
        <v>46158</v>
      </c>
      <c r="AE3" s="29">
        <v>46159</v>
      </c>
      <c r="AF3" s="29">
        <v>46160</v>
      </c>
      <c r="AG3" s="29">
        <v>46161</v>
      </c>
      <c r="AH3" s="29">
        <v>46162</v>
      </c>
      <c r="AI3" s="29">
        <v>46163</v>
      </c>
      <c r="AJ3" s="29">
        <v>46164</v>
      </c>
      <c r="AK3" s="29">
        <v>46165</v>
      </c>
      <c r="AL3" s="29">
        <v>46166</v>
      </c>
      <c r="AM3" s="29">
        <v>46167</v>
      </c>
      <c r="AN3" s="29">
        <v>46168</v>
      </c>
      <c r="AO3" s="29">
        <v>46169</v>
      </c>
      <c r="AP3" s="29">
        <v>46170</v>
      </c>
      <c r="AQ3" s="29">
        <v>46171</v>
      </c>
      <c r="AR3" s="26"/>
      <c r="AS3" s="27" t="s">
        <v>148</v>
      </c>
    </row>
    <row r="4" spans="1:45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>COUNTBLANK(R4:AQ4)</f>
        <v>19</v>
      </c>
      <c r="I4" s="31">
        <f>COUNTIF(R4:AQ4,"FJ")</f>
        <v>0</v>
      </c>
      <c r="J4" s="31">
        <f>COUNTIF(R4:AQ4,"RJ")</f>
        <v>0</v>
      </c>
      <c r="K4" s="31">
        <f>COUNTIF(R4:AQ4,"SAFJ")</f>
        <v>0</v>
      </c>
      <c r="L4" s="31">
        <f>COUNTIF(R4:AQ4,"F")</f>
        <v>0</v>
      </c>
      <c r="M4" s="31">
        <f>COUNTIF(R4:AQ4,"R")</f>
        <v>0</v>
      </c>
      <c r="N4" s="31">
        <f>COUNTIF(R4:AQ4,"SAF")</f>
        <v>0</v>
      </c>
      <c r="O4" s="32">
        <f>(L4+(M4/2))+(N4/2)</f>
        <v>0</v>
      </c>
      <c r="P4" s="4">
        <f>I4+L4</f>
        <v>0</v>
      </c>
      <c r="Q4" s="4">
        <f>SUM(I4:N4)</f>
        <v>0</v>
      </c>
      <c r="R4" s="25"/>
      <c r="S4" s="25"/>
      <c r="T4" s="25"/>
      <c r="U4" s="25"/>
      <c r="V4" s="25"/>
      <c r="W4" s="34" t="s">
        <v>123</v>
      </c>
      <c r="X4" s="34" t="s">
        <v>123</v>
      </c>
      <c r="Y4" s="25"/>
      <c r="Z4" s="25"/>
      <c r="AA4" s="25"/>
      <c r="AB4" s="25"/>
      <c r="AC4" s="34" t="s">
        <v>123</v>
      </c>
      <c r="AD4" s="34" t="s">
        <v>123</v>
      </c>
      <c r="AE4" s="34" t="s">
        <v>123</v>
      </c>
      <c r="AF4" s="25"/>
      <c r="AG4" s="25"/>
      <c r="AH4" s="25"/>
      <c r="AI4" s="25"/>
      <c r="AJ4" s="25"/>
      <c r="AK4" s="34" t="s">
        <v>123</v>
      </c>
      <c r="AL4" s="34" t="s">
        <v>123</v>
      </c>
      <c r="AM4" s="25"/>
      <c r="AN4" s="25"/>
      <c r="AO4" s="25"/>
      <c r="AP4" s="25"/>
      <c r="AQ4" s="25"/>
      <c r="AR4" s="26"/>
      <c r="AS4" s="27">
        <f t="shared" ref="AS4:AS29" si="0">H4*B$49</f>
        <v>104.5</v>
      </c>
    </row>
    <row r="5" spans="1:45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ref="H5:H29" si="1">COUNTBLANK(R5:AQ5)</f>
        <v>19</v>
      </c>
      <c r="I5" s="31">
        <f t="shared" ref="I5:I29" si="2">COUNTIF(R5:AQ5,"FJ")</f>
        <v>0</v>
      </c>
      <c r="J5" s="31">
        <f t="shared" ref="J5:J29" si="3">COUNTIF(R5:AQ5,"RJ")</f>
        <v>0</v>
      </c>
      <c r="K5" s="31">
        <f t="shared" ref="K5:K29" si="4">COUNTIF(R5:AQ5,"SAFJ")</f>
        <v>0</v>
      </c>
      <c r="L5" s="31">
        <f t="shared" ref="L5:L29" si="5">COUNTIF(R5:AQ5,"F")</f>
        <v>0</v>
      </c>
      <c r="M5" s="31">
        <f t="shared" ref="M5:M29" si="6">COUNTIF(R5:AQ5,"R")</f>
        <v>0</v>
      </c>
      <c r="N5" s="31">
        <f t="shared" ref="N5:N29" si="7">COUNTIF(R5:AQ5,"SAF")</f>
        <v>0</v>
      </c>
      <c r="O5" s="32">
        <f t="shared" ref="O5:O29" si="8">(L5+(M5/2))+(N5/2)</f>
        <v>0</v>
      </c>
      <c r="P5" s="4">
        <f t="shared" ref="P5:P29" si="9">I5+L5</f>
        <v>0</v>
      </c>
      <c r="Q5" s="4">
        <f t="shared" ref="Q5:Q29" si="10">SUM(I5:N5)</f>
        <v>0</v>
      </c>
      <c r="R5" s="25"/>
      <c r="S5" s="25"/>
      <c r="T5" s="25"/>
      <c r="U5" s="25"/>
      <c r="V5" s="25"/>
      <c r="W5" s="34" t="s">
        <v>123</v>
      </c>
      <c r="X5" s="34" t="s">
        <v>123</v>
      </c>
      <c r="Y5" s="25"/>
      <c r="Z5" s="25"/>
      <c r="AA5" s="25"/>
      <c r="AB5" s="25"/>
      <c r="AC5" s="34" t="s">
        <v>123</v>
      </c>
      <c r="AD5" s="34" t="s">
        <v>123</v>
      </c>
      <c r="AE5" s="34" t="s">
        <v>123</v>
      </c>
      <c r="AF5" s="25"/>
      <c r="AG5" s="25"/>
      <c r="AH5" s="25"/>
      <c r="AI5" s="25"/>
      <c r="AJ5" s="25"/>
      <c r="AK5" s="34" t="s">
        <v>123</v>
      </c>
      <c r="AL5" s="34" t="s">
        <v>123</v>
      </c>
      <c r="AM5" s="25"/>
      <c r="AN5" s="25"/>
      <c r="AO5" s="25"/>
      <c r="AP5" s="25"/>
      <c r="AQ5" s="25"/>
      <c r="AR5" s="26"/>
      <c r="AS5" s="27">
        <f t="shared" si="0"/>
        <v>104.5</v>
      </c>
    </row>
    <row r="6" spans="1:45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1"/>
        <v>19</v>
      </c>
      <c r="I6" s="31">
        <f t="shared" si="2"/>
        <v>0</v>
      </c>
      <c r="J6" s="31">
        <f t="shared" si="3"/>
        <v>0</v>
      </c>
      <c r="K6" s="31">
        <f t="shared" si="4"/>
        <v>0</v>
      </c>
      <c r="L6" s="31">
        <f t="shared" si="5"/>
        <v>0</v>
      </c>
      <c r="M6" s="31">
        <f t="shared" si="6"/>
        <v>0</v>
      </c>
      <c r="N6" s="31">
        <f t="shared" si="7"/>
        <v>0</v>
      </c>
      <c r="O6" s="32">
        <f t="shared" si="8"/>
        <v>0</v>
      </c>
      <c r="P6" s="4">
        <f t="shared" si="9"/>
        <v>0</v>
      </c>
      <c r="Q6" s="4">
        <f t="shared" si="10"/>
        <v>0</v>
      </c>
      <c r="R6" s="25"/>
      <c r="S6" s="25"/>
      <c r="T6" s="25"/>
      <c r="U6" s="25"/>
      <c r="V6" s="25"/>
      <c r="W6" s="34" t="s">
        <v>123</v>
      </c>
      <c r="X6" s="34" t="s">
        <v>123</v>
      </c>
      <c r="Y6" s="25"/>
      <c r="Z6" s="25"/>
      <c r="AA6" s="25"/>
      <c r="AB6" s="25"/>
      <c r="AC6" s="34" t="s">
        <v>123</v>
      </c>
      <c r="AD6" s="34" t="s">
        <v>123</v>
      </c>
      <c r="AE6" s="34" t="s">
        <v>123</v>
      </c>
      <c r="AF6" s="25"/>
      <c r="AG6" s="25"/>
      <c r="AH6" s="25"/>
      <c r="AI6" s="25"/>
      <c r="AJ6" s="25"/>
      <c r="AK6" s="34" t="s">
        <v>123</v>
      </c>
      <c r="AL6" s="34" t="s">
        <v>123</v>
      </c>
      <c r="AM6" s="25"/>
      <c r="AN6" s="25"/>
      <c r="AO6" s="25"/>
      <c r="AP6" s="25"/>
      <c r="AQ6" s="25"/>
      <c r="AR6" s="26"/>
      <c r="AS6" s="27">
        <f t="shared" si="0"/>
        <v>104.5</v>
      </c>
    </row>
    <row r="7" spans="1:45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1"/>
        <v>19</v>
      </c>
      <c r="I7" s="31">
        <f t="shared" si="2"/>
        <v>0</v>
      </c>
      <c r="J7" s="31">
        <f t="shared" si="3"/>
        <v>0</v>
      </c>
      <c r="K7" s="31">
        <f t="shared" si="4"/>
        <v>0</v>
      </c>
      <c r="L7" s="31">
        <f t="shared" si="5"/>
        <v>0</v>
      </c>
      <c r="M7" s="31">
        <f t="shared" si="6"/>
        <v>0</v>
      </c>
      <c r="N7" s="31">
        <f t="shared" si="7"/>
        <v>0</v>
      </c>
      <c r="O7" s="32">
        <f t="shared" si="8"/>
        <v>0</v>
      </c>
      <c r="P7" s="4">
        <f t="shared" si="9"/>
        <v>0</v>
      </c>
      <c r="Q7" s="4">
        <f t="shared" si="10"/>
        <v>0</v>
      </c>
      <c r="R7" s="25"/>
      <c r="S7" s="25"/>
      <c r="T7" s="25"/>
      <c r="U7" s="25"/>
      <c r="V7" s="25"/>
      <c r="W7" s="34" t="s">
        <v>123</v>
      </c>
      <c r="X7" s="34" t="s">
        <v>123</v>
      </c>
      <c r="Y7" s="25"/>
      <c r="Z7" s="25"/>
      <c r="AA7" s="25"/>
      <c r="AB7" s="25"/>
      <c r="AC7" s="34" t="s">
        <v>123</v>
      </c>
      <c r="AD7" s="34" t="s">
        <v>123</v>
      </c>
      <c r="AE7" s="34" t="s">
        <v>123</v>
      </c>
      <c r="AF7" s="25"/>
      <c r="AG7" s="25"/>
      <c r="AH7" s="25"/>
      <c r="AI7" s="25"/>
      <c r="AJ7" s="25"/>
      <c r="AK7" s="34" t="s">
        <v>123</v>
      </c>
      <c r="AL7" s="34" t="s">
        <v>123</v>
      </c>
      <c r="AM7" s="25"/>
      <c r="AN7" s="25"/>
      <c r="AO7" s="25"/>
      <c r="AP7" s="25"/>
      <c r="AQ7" s="25"/>
      <c r="AR7" s="26"/>
      <c r="AS7" s="27">
        <f t="shared" si="0"/>
        <v>104.5</v>
      </c>
    </row>
    <row r="8" spans="1:45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1"/>
        <v>19</v>
      </c>
      <c r="I8" s="31">
        <f t="shared" si="2"/>
        <v>0</v>
      </c>
      <c r="J8" s="31">
        <f t="shared" si="3"/>
        <v>0</v>
      </c>
      <c r="K8" s="31">
        <f t="shared" si="4"/>
        <v>0</v>
      </c>
      <c r="L8" s="31">
        <f t="shared" si="5"/>
        <v>0</v>
      </c>
      <c r="M8" s="31">
        <f t="shared" si="6"/>
        <v>0</v>
      </c>
      <c r="N8" s="31">
        <f t="shared" si="7"/>
        <v>0</v>
      </c>
      <c r="O8" s="32">
        <f t="shared" si="8"/>
        <v>0</v>
      </c>
      <c r="P8" s="4">
        <f t="shared" si="9"/>
        <v>0</v>
      </c>
      <c r="Q8" s="4">
        <f t="shared" si="10"/>
        <v>0</v>
      </c>
      <c r="R8" s="25"/>
      <c r="S8" s="25"/>
      <c r="T8" s="25"/>
      <c r="U8" s="25"/>
      <c r="V8" s="25"/>
      <c r="W8" s="34" t="s">
        <v>123</v>
      </c>
      <c r="X8" s="34" t="s">
        <v>123</v>
      </c>
      <c r="Y8" s="25"/>
      <c r="Z8" s="25"/>
      <c r="AA8" s="25"/>
      <c r="AB8" s="25"/>
      <c r="AC8" s="34" t="s">
        <v>123</v>
      </c>
      <c r="AD8" s="34" t="s">
        <v>123</v>
      </c>
      <c r="AE8" s="34" t="s">
        <v>123</v>
      </c>
      <c r="AF8" s="25"/>
      <c r="AG8" s="25"/>
      <c r="AH8" s="25"/>
      <c r="AI8" s="25"/>
      <c r="AJ8" s="25"/>
      <c r="AK8" s="34" t="s">
        <v>123</v>
      </c>
      <c r="AL8" s="34" t="s">
        <v>123</v>
      </c>
      <c r="AM8" s="25"/>
      <c r="AN8" s="25"/>
      <c r="AO8" s="25"/>
      <c r="AP8" s="25"/>
      <c r="AQ8" s="25"/>
      <c r="AR8" s="26"/>
      <c r="AS8" s="27">
        <f t="shared" si="0"/>
        <v>104.5</v>
      </c>
    </row>
    <row r="9" spans="1:45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1"/>
        <v>19</v>
      </c>
      <c r="I9" s="31">
        <f t="shared" si="2"/>
        <v>0</v>
      </c>
      <c r="J9" s="31">
        <f t="shared" si="3"/>
        <v>0</v>
      </c>
      <c r="K9" s="31">
        <f t="shared" si="4"/>
        <v>0</v>
      </c>
      <c r="L9" s="31">
        <f t="shared" si="5"/>
        <v>0</v>
      </c>
      <c r="M9" s="31">
        <f t="shared" si="6"/>
        <v>0</v>
      </c>
      <c r="N9" s="31">
        <f t="shared" si="7"/>
        <v>0</v>
      </c>
      <c r="O9" s="32">
        <f t="shared" si="8"/>
        <v>0</v>
      </c>
      <c r="P9" s="4">
        <f t="shared" si="9"/>
        <v>0</v>
      </c>
      <c r="Q9" s="4">
        <f t="shared" si="10"/>
        <v>0</v>
      </c>
      <c r="R9" s="25"/>
      <c r="S9" s="25"/>
      <c r="T9" s="25"/>
      <c r="U9" s="25"/>
      <c r="V9" s="25"/>
      <c r="W9" s="34" t="s">
        <v>123</v>
      </c>
      <c r="X9" s="34" t="s">
        <v>123</v>
      </c>
      <c r="Y9" s="25"/>
      <c r="Z9" s="25"/>
      <c r="AA9" s="25"/>
      <c r="AB9" s="25"/>
      <c r="AC9" s="34" t="s">
        <v>123</v>
      </c>
      <c r="AD9" s="34" t="s">
        <v>123</v>
      </c>
      <c r="AE9" s="34" t="s">
        <v>123</v>
      </c>
      <c r="AF9" s="25"/>
      <c r="AG9" s="25"/>
      <c r="AH9" s="25"/>
      <c r="AI9" s="25"/>
      <c r="AJ9" s="25"/>
      <c r="AK9" s="34" t="s">
        <v>123</v>
      </c>
      <c r="AL9" s="34" t="s">
        <v>123</v>
      </c>
      <c r="AM9" s="25"/>
      <c r="AN9" s="25"/>
      <c r="AO9" s="25"/>
      <c r="AP9" s="25"/>
      <c r="AQ9" s="25"/>
      <c r="AR9" s="26"/>
      <c r="AS9" s="27">
        <f t="shared" si="0"/>
        <v>104.5</v>
      </c>
    </row>
    <row r="10" spans="1:45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1"/>
        <v>19</v>
      </c>
      <c r="I10" s="31">
        <f t="shared" si="2"/>
        <v>0</v>
      </c>
      <c r="J10" s="31">
        <f t="shared" si="3"/>
        <v>0</v>
      </c>
      <c r="K10" s="31">
        <f t="shared" si="4"/>
        <v>0</v>
      </c>
      <c r="L10" s="31">
        <f t="shared" si="5"/>
        <v>0</v>
      </c>
      <c r="M10" s="31">
        <f t="shared" si="6"/>
        <v>0</v>
      </c>
      <c r="N10" s="31">
        <f t="shared" si="7"/>
        <v>0</v>
      </c>
      <c r="O10" s="32">
        <f t="shared" si="8"/>
        <v>0</v>
      </c>
      <c r="P10" s="4">
        <f t="shared" si="9"/>
        <v>0</v>
      </c>
      <c r="Q10" s="4">
        <f t="shared" si="10"/>
        <v>0</v>
      </c>
      <c r="R10" s="25"/>
      <c r="S10" s="25"/>
      <c r="T10" s="25"/>
      <c r="U10" s="25"/>
      <c r="V10" s="25"/>
      <c r="W10" s="34" t="s">
        <v>123</v>
      </c>
      <c r="X10" s="34" t="s">
        <v>123</v>
      </c>
      <c r="Y10" s="25"/>
      <c r="Z10" s="25"/>
      <c r="AA10" s="25"/>
      <c r="AB10" s="25"/>
      <c r="AC10" s="34" t="s">
        <v>123</v>
      </c>
      <c r="AD10" s="34" t="s">
        <v>123</v>
      </c>
      <c r="AE10" s="34" t="s">
        <v>123</v>
      </c>
      <c r="AF10" s="25"/>
      <c r="AG10" s="25"/>
      <c r="AH10" s="25"/>
      <c r="AI10" s="25"/>
      <c r="AJ10" s="25"/>
      <c r="AK10" s="34" t="s">
        <v>123</v>
      </c>
      <c r="AL10" s="34" t="s">
        <v>123</v>
      </c>
      <c r="AM10" s="25"/>
      <c r="AN10" s="25"/>
      <c r="AO10" s="25"/>
      <c r="AP10" s="25"/>
      <c r="AQ10" s="25"/>
      <c r="AR10" s="26"/>
      <c r="AS10" s="27">
        <f t="shared" si="0"/>
        <v>104.5</v>
      </c>
    </row>
    <row r="11" spans="1:45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03"/>
      <c r="H11" s="30">
        <f t="shared" si="1"/>
        <v>19</v>
      </c>
      <c r="I11" s="31">
        <f t="shared" si="2"/>
        <v>0</v>
      </c>
      <c r="J11" s="31">
        <f t="shared" si="3"/>
        <v>0</v>
      </c>
      <c r="K11" s="31">
        <f t="shared" si="4"/>
        <v>0</v>
      </c>
      <c r="L11" s="31">
        <f t="shared" si="5"/>
        <v>0</v>
      </c>
      <c r="M11" s="31">
        <f t="shared" si="6"/>
        <v>0</v>
      </c>
      <c r="N11" s="31">
        <f t="shared" si="7"/>
        <v>0</v>
      </c>
      <c r="O11" s="32">
        <f t="shared" si="8"/>
        <v>0</v>
      </c>
      <c r="P11" s="4">
        <f t="shared" si="9"/>
        <v>0</v>
      </c>
      <c r="Q11" s="4">
        <f t="shared" si="10"/>
        <v>0</v>
      </c>
      <c r="R11" s="25"/>
      <c r="S11" s="25"/>
      <c r="T11" s="25"/>
      <c r="U11" s="25"/>
      <c r="W11" s="34" t="s">
        <v>123</v>
      </c>
      <c r="X11" s="34" t="s">
        <v>123</v>
      </c>
      <c r="Y11" s="25"/>
      <c r="Z11" s="25"/>
      <c r="AA11" s="25"/>
      <c r="AB11" s="25"/>
      <c r="AC11" s="34" t="s">
        <v>123</v>
      </c>
      <c r="AD11" s="34" t="s">
        <v>123</v>
      </c>
      <c r="AE11" s="34" t="s">
        <v>123</v>
      </c>
      <c r="AF11" s="25"/>
      <c r="AG11" s="25"/>
      <c r="AH11" s="25"/>
      <c r="AI11" s="25"/>
      <c r="AJ11" s="25"/>
      <c r="AK11" s="34" t="s">
        <v>123</v>
      </c>
      <c r="AL11" s="34" t="s">
        <v>123</v>
      </c>
      <c r="AM11" s="25"/>
      <c r="AN11" s="25"/>
      <c r="AO11" s="25"/>
      <c r="AP11" s="25"/>
      <c r="AQ11" s="25"/>
      <c r="AR11" s="26"/>
      <c r="AS11" s="27">
        <f t="shared" si="0"/>
        <v>104.5</v>
      </c>
    </row>
    <row r="12" spans="1:45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1"/>
        <v>19</v>
      </c>
      <c r="I12" s="31">
        <f t="shared" si="2"/>
        <v>0</v>
      </c>
      <c r="J12" s="31">
        <f t="shared" si="3"/>
        <v>0</v>
      </c>
      <c r="K12" s="31">
        <f t="shared" si="4"/>
        <v>0</v>
      </c>
      <c r="L12" s="31">
        <f t="shared" si="5"/>
        <v>0</v>
      </c>
      <c r="M12" s="31">
        <f t="shared" si="6"/>
        <v>0</v>
      </c>
      <c r="N12" s="31">
        <f t="shared" si="7"/>
        <v>0</v>
      </c>
      <c r="O12" s="32">
        <f t="shared" si="8"/>
        <v>0</v>
      </c>
      <c r="P12" s="4">
        <f t="shared" si="9"/>
        <v>0</v>
      </c>
      <c r="Q12" s="4">
        <f t="shared" si="10"/>
        <v>0</v>
      </c>
      <c r="R12" s="25"/>
      <c r="S12" s="25"/>
      <c r="T12" s="25"/>
      <c r="U12" s="25"/>
      <c r="V12" s="25"/>
      <c r="W12" s="34" t="s">
        <v>123</v>
      </c>
      <c r="X12" s="34" t="s">
        <v>123</v>
      </c>
      <c r="Y12" s="25"/>
      <c r="Z12" s="25"/>
      <c r="AA12" s="25"/>
      <c r="AB12" s="25"/>
      <c r="AC12" s="34" t="s">
        <v>123</v>
      </c>
      <c r="AD12" s="34" t="s">
        <v>123</v>
      </c>
      <c r="AE12" s="34" t="s">
        <v>123</v>
      </c>
      <c r="AF12" s="25"/>
      <c r="AG12" s="25"/>
      <c r="AH12" s="25"/>
      <c r="AI12" s="25"/>
      <c r="AJ12" s="25"/>
      <c r="AK12" s="34" t="s">
        <v>123</v>
      </c>
      <c r="AL12" s="34" t="s">
        <v>123</v>
      </c>
      <c r="AM12" s="25"/>
      <c r="AN12" s="25"/>
      <c r="AO12" s="25"/>
      <c r="AP12" s="25"/>
      <c r="AQ12" s="25"/>
      <c r="AR12" s="26"/>
      <c r="AS12" s="27">
        <f t="shared" si="0"/>
        <v>104.5</v>
      </c>
    </row>
    <row r="13" spans="1:45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1"/>
        <v>19</v>
      </c>
      <c r="I13" s="31">
        <f t="shared" si="2"/>
        <v>0</v>
      </c>
      <c r="J13" s="31">
        <f t="shared" si="3"/>
        <v>0</v>
      </c>
      <c r="K13" s="31">
        <f t="shared" si="4"/>
        <v>0</v>
      </c>
      <c r="L13" s="31">
        <f t="shared" si="5"/>
        <v>0</v>
      </c>
      <c r="M13" s="31">
        <f t="shared" si="6"/>
        <v>0</v>
      </c>
      <c r="N13" s="31">
        <f t="shared" si="7"/>
        <v>0</v>
      </c>
      <c r="O13" s="32">
        <f t="shared" si="8"/>
        <v>0</v>
      </c>
      <c r="P13" s="4">
        <f t="shared" si="9"/>
        <v>0</v>
      </c>
      <c r="Q13" s="4">
        <f t="shared" si="10"/>
        <v>0</v>
      </c>
      <c r="R13" s="25"/>
      <c r="S13" s="25"/>
      <c r="T13" s="25"/>
      <c r="U13" s="25"/>
      <c r="V13" s="25"/>
      <c r="W13" s="34" t="s">
        <v>123</v>
      </c>
      <c r="X13" s="34" t="s">
        <v>123</v>
      </c>
      <c r="Y13" s="25"/>
      <c r="Z13" s="25"/>
      <c r="AA13" s="25"/>
      <c r="AB13" s="25"/>
      <c r="AC13" s="34" t="s">
        <v>123</v>
      </c>
      <c r="AD13" s="34" t="s">
        <v>123</v>
      </c>
      <c r="AE13" s="34" t="s">
        <v>123</v>
      </c>
      <c r="AF13" s="25"/>
      <c r="AG13" s="25"/>
      <c r="AH13" s="25"/>
      <c r="AI13" s="25"/>
      <c r="AJ13" s="25"/>
      <c r="AK13" s="34" t="s">
        <v>123</v>
      </c>
      <c r="AL13" s="34" t="s">
        <v>123</v>
      </c>
      <c r="AM13" s="25"/>
      <c r="AN13" s="25"/>
      <c r="AO13" s="25"/>
      <c r="AP13" s="25"/>
      <c r="AQ13" s="25"/>
      <c r="AR13" s="26"/>
      <c r="AS13" s="27">
        <f t="shared" si="0"/>
        <v>104.5</v>
      </c>
    </row>
    <row r="14" spans="1:45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1"/>
        <v>19</v>
      </c>
      <c r="I14" s="31">
        <f t="shared" si="2"/>
        <v>0</v>
      </c>
      <c r="J14" s="31">
        <f t="shared" si="3"/>
        <v>0</v>
      </c>
      <c r="K14" s="31">
        <f t="shared" si="4"/>
        <v>0</v>
      </c>
      <c r="L14" s="31">
        <f t="shared" si="5"/>
        <v>0</v>
      </c>
      <c r="M14" s="31">
        <f t="shared" si="6"/>
        <v>0</v>
      </c>
      <c r="N14" s="31">
        <f t="shared" si="7"/>
        <v>0</v>
      </c>
      <c r="O14" s="32">
        <f t="shared" si="8"/>
        <v>0</v>
      </c>
      <c r="P14" s="4">
        <f t="shared" si="9"/>
        <v>0</v>
      </c>
      <c r="Q14" s="4">
        <f t="shared" si="10"/>
        <v>0</v>
      </c>
      <c r="R14" s="25"/>
      <c r="S14" s="25"/>
      <c r="T14" s="25"/>
      <c r="U14" s="25"/>
      <c r="V14" s="25"/>
      <c r="W14" s="34" t="s">
        <v>123</v>
      </c>
      <c r="X14" s="34" t="s">
        <v>123</v>
      </c>
      <c r="Y14" s="25"/>
      <c r="Z14" s="25"/>
      <c r="AA14" s="25"/>
      <c r="AB14" s="25"/>
      <c r="AC14" s="34" t="s">
        <v>123</v>
      </c>
      <c r="AD14" s="34" t="s">
        <v>123</v>
      </c>
      <c r="AE14" s="34" t="s">
        <v>123</v>
      </c>
      <c r="AF14" s="25"/>
      <c r="AG14" s="25"/>
      <c r="AH14" s="25"/>
      <c r="AI14" s="25"/>
      <c r="AJ14" s="25"/>
      <c r="AK14" s="34" t="s">
        <v>123</v>
      </c>
      <c r="AL14" s="34" t="s">
        <v>123</v>
      </c>
      <c r="AM14" s="25"/>
      <c r="AN14" s="25"/>
      <c r="AO14" s="25"/>
      <c r="AP14" s="25"/>
      <c r="AQ14" s="25"/>
      <c r="AR14" s="26"/>
      <c r="AS14" s="27">
        <f t="shared" si="0"/>
        <v>104.5</v>
      </c>
    </row>
    <row r="15" spans="1:45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1"/>
        <v>19</v>
      </c>
      <c r="I15" s="31">
        <f t="shared" si="2"/>
        <v>0</v>
      </c>
      <c r="J15" s="31">
        <f t="shared" si="3"/>
        <v>0</v>
      </c>
      <c r="K15" s="31">
        <f t="shared" si="4"/>
        <v>0</v>
      </c>
      <c r="L15" s="31">
        <f t="shared" si="5"/>
        <v>0</v>
      </c>
      <c r="M15" s="31">
        <f t="shared" si="6"/>
        <v>0</v>
      </c>
      <c r="N15" s="31">
        <f t="shared" si="7"/>
        <v>0</v>
      </c>
      <c r="O15" s="32">
        <f t="shared" si="8"/>
        <v>0</v>
      </c>
      <c r="P15" s="4">
        <f t="shared" si="9"/>
        <v>0</v>
      </c>
      <c r="Q15" s="4">
        <f t="shared" si="10"/>
        <v>0</v>
      </c>
      <c r="R15" s="25"/>
      <c r="S15" s="25"/>
      <c r="T15" s="25"/>
      <c r="U15" s="25"/>
      <c r="V15" s="25"/>
      <c r="W15" s="34" t="s">
        <v>123</v>
      </c>
      <c r="X15" s="34" t="s">
        <v>123</v>
      </c>
      <c r="Y15" s="25"/>
      <c r="Z15" s="25"/>
      <c r="AA15" s="25"/>
      <c r="AB15" s="25"/>
      <c r="AC15" s="34" t="s">
        <v>123</v>
      </c>
      <c r="AD15" s="34" t="s">
        <v>123</v>
      </c>
      <c r="AE15" s="34" t="s">
        <v>123</v>
      </c>
      <c r="AF15" s="25"/>
      <c r="AG15" s="25"/>
      <c r="AH15" s="25"/>
      <c r="AI15" s="25"/>
      <c r="AJ15" s="25"/>
      <c r="AK15" s="34" t="s">
        <v>123</v>
      </c>
      <c r="AL15" s="34" t="s">
        <v>123</v>
      </c>
      <c r="AM15" s="25"/>
      <c r="AN15" s="25"/>
      <c r="AO15" s="25"/>
      <c r="AP15" s="25"/>
      <c r="AQ15" s="25"/>
      <c r="AR15" s="26"/>
      <c r="AS15" s="27">
        <f t="shared" si="0"/>
        <v>104.5</v>
      </c>
    </row>
    <row r="16" spans="1:45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1"/>
        <v>19</v>
      </c>
      <c r="I16" s="31">
        <f t="shared" si="2"/>
        <v>0</v>
      </c>
      <c r="J16" s="31">
        <f t="shared" si="3"/>
        <v>0</v>
      </c>
      <c r="K16" s="31">
        <f t="shared" si="4"/>
        <v>0</v>
      </c>
      <c r="L16" s="31">
        <f t="shared" si="5"/>
        <v>0</v>
      </c>
      <c r="M16" s="31">
        <f t="shared" si="6"/>
        <v>0</v>
      </c>
      <c r="N16" s="31">
        <f t="shared" si="7"/>
        <v>0</v>
      </c>
      <c r="O16" s="32">
        <f t="shared" si="8"/>
        <v>0</v>
      </c>
      <c r="P16" s="4">
        <f t="shared" si="9"/>
        <v>0</v>
      </c>
      <c r="Q16" s="4">
        <f t="shared" si="10"/>
        <v>0</v>
      </c>
      <c r="R16" s="25"/>
      <c r="S16" s="25"/>
      <c r="T16" s="25"/>
      <c r="U16" s="25"/>
      <c r="V16" s="25"/>
      <c r="W16" s="34" t="s">
        <v>123</v>
      </c>
      <c r="X16" s="34" t="s">
        <v>123</v>
      </c>
      <c r="Y16" s="25"/>
      <c r="Z16" s="25"/>
      <c r="AA16" s="25"/>
      <c r="AB16" s="25"/>
      <c r="AC16" s="34" t="s">
        <v>123</v>
      </c>
      <c r="AD16" s="34" t="s">
        <v>123</v>
      </c>
      <c r="AE16" s="34" t="s">
        <v>123</v>
      </c>
      <c r="AF16" s="25"/>
      <c r="AG16" s="25"/>
      <c r="AH16" s="25"/>
      <c r="AI16" s="25"/>
      <c r="AJ16" s="25"/>
      <c r="AK16" s="34" t="s">
        <v>123</v>
      </c>
      <c r="AL16" s="34" t="s">
        <v>123</v>
      </c>
      <c r="AM16" s="25"/>
      <c r="AN16" s="25"/>
      <c r="AO16" s="25"/>
      <c r="AP16" s="25"/>
      <c r="AQ16" s="25"/>
      <c r="AR16" s="26"/>
      <c r="AS16" s="27">
        <f t="shared" si="0"/>
        <v>104.5</v>
      </c>
    </row>
    <row r="17" spans="1:45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1"/>
        <v>19</v>
      </c>
      <c r="I17" s="31">
        <f t="shared" si="2"/>
        <v>0</v>
      </c>
      <c r="J17" s="31">
        <f t="shared" si="3"/>
        <v>0</v>
      </c>
      <c r="K17" s="31">
        <f t="shared" si="4"/>
        <v>0</v>
      </c>
      <c r="L17" s="31">
        <f t="shared" si="5"/>
        <v>0</v>
      </c>
      <c r="M17" s="31">
        <f t="shared" si="6"/>
        <v>0</v>
      </c>
      <c r="N17" s="31">
        <f t="shared" si="7"/>
        <v>0</v>
      </c>
      <c r="O17" s="32">
        <f t="shared" si="8"/>
        <v>0</v>
      </c>
      <c r="P17" s="4">
        <f t="shared" si="9"/>
        <v>0</v>
      </c>
      <c r="Q17" s="4">
        <f t="shared" si="10"/>
        <v>0</v>
      </c>
      <c r="R17" s="25"/>
      <c r="S17" s="25"/>
      <c r="T17" s="25"/>
      <c r="U17" s="25"/>
      <c r="V17" s="25"/>
      <c r="W17" s="34" t="s">
        <v>123</v>
      </c>
      <c r="X17" s="34" t="s">
        <v>123</v>
      </c>
      <c r="Y17" s="25"/>
      <c r="Z17" s="25"/>
      <c r="AA17" s="25"/>
      <c r="AB17" s="25"/>
      <c r="AC17" s="34" t="s">
        <v>123</v>
      </c>
      <c r="AD17" s="34" t="s">
        <v>123</v>
      </c>
      <c r="AE17" s="34" t="s">
        <v>123</v>
      </c>
      <c r="AF17" s="25"/>
      <c r="AG17" s="25"/>
      <c r="AH17" s="25"/>
      <c r="AI17" s="25"/>
      <c r="AJ17" s="25"/>
      <c r="AK17" s="34" t="s">
        <v>123</v>
      </c>
      <c r="AL17" s="34" t="s">
        <v>123</v>
      </c>
      <c r="AM17" s="25"/>
      <c r="AN17" s="25"/>
      <c r="AO17" s="25"/>
      <c r="AP17" s="25"/>
      <c r="AQ17" s="25"/>
      <c r="AR17" s="26"/>
      <c r="AS17" s="27">
        <f t="shared" si="0"/>
        <v>104.5</v>
      </c>
    </row>
    <row r="18" spans="1:45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1"/>
        <v>19</v>
      </c>
      <c r="I18" s="31">
        <f t="shared" si="2"/>
        <v>0</v>
      </c>
      <c r="J18" s="31">
        <f t="shared" si="3"/>
        <v>0</v>
      </c>
      <c r="K18" s="31">
        <f t="shared" si="4"/>
        <v>0</v>
      </c>
      <c r="L18" s="31">
        <f t="shared" si="5"/>
        <v>0</v>
      </c>
      <c r="M18" s="31">
        <f t="shared" si="6"/>
        <v>0</v>
      </c>
      <c r="N18" s="31">
        <f t="shared" si="7"/>
        <v>0</v>
      </c>
      <c r="O18" s="32">
        <f t="shared" si="8"/>
        <v>0</v>
      </c>
      <c r="P18" s="4">
        <f t="shared" si="9"/>
        <v>0</v>
      </c>
      <c r="Q18" s="4">
        <f t="shared" si="10"/>
        <v>0</v>
      </c>
      <c r="R18" s="25"/>
      <c r="S18" s="25"/>
      <c r="T18" s="25"/>
      <c r="U18" s="25"/>
      <c r="V18" s="25"/>
      <c r="W18" s="34" t="s">
        <v>123</v>
      </c>
      <c r="X18" s="34" t="s">
        <v>123</v>
      </c>
      <c r="Y18" s="25"/>
      <c r="Z18" s="25"/>
      <c r="AA18" s="25"/>
      <c r="AB18" s="25"/>
      <c r="AC18" s="34" t="s">
        <v>123</v>
      </c>
      <c r="AD18" s="34" t="s">
        <v>123</v>
      </c>
      <c r="AE18" s="34" t="s">
        <v>123</v>
      </c>
      <c r="AF18" s="25"/>
      <c r="AG18" s="25"/>
      <c r="AH18" s="25"/>
      <c r="AI18" s="25"/>
      <c r="AJ18" s="25"/>
      <c r="AK18" s="34" t="s">
        <v>123</v>
      </c>
      <c r="AL18" s="34" t="s">
        <v>123</v>
      </c>
      <c r="AM18" s="25"/>
      <c r="AN18" s="25"/>
      <c r="AO18" s="25"/>
      <c r="AP18" s="25"/>
      <c r="AQ18" s="25"/>
      <c r="AR18" s="26"/>
      <c r="AS18" s="27">
        <f t="shared" si="0"/>
        <v>104.5</v>
      </c>
    </row>
    <row r="19" spans="1:45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1"/>
        <v>19</v>
      </c>
      <c r="I19" s="31">
        <f t="shared" si="2"/>
        <v>0</v>
      </c>
      <c r="J19" s="31">
        <f t="shared" si="3"/>
        <v>0</v>
      </c>
      <c r="K19" s="31">
        <f t="shared" si="4"/>
        <v>0</v>
      </c>
      <c r="L19" s="31">
        <f t="shared" si="5"/>
        <v>0</v>
      </c>
      <c r="M19" s="31">
        <f t="shared" si="6"/>
        <v>0</v>
      </c>
      <c r="N19" s="31">
        <f t="shared" si="7"/>
        <v>0</v>
      </c>
      <c r="O19" s="32">
        <f t="shared" si="8"/>
        <v>0</v>
      </c>
      <c r="P19" s="4">
        <f t="shared" si="9"/>
        <v>0</v>
      </c>
      <c r="Q19" s="4">
        <f t="shared" si="10"/>
        <v>0</v>
      </c>
      <c r="R19" s="25"/>
      <c r="S19" s="25"/>
      <c r="T19" s="25"/>
      <c r="U19" s="25"/>
      <c r="V19" s="25"/>
      <c r="W19" s="34" t="s">
        <v>123</v>
      </c>
      <c r="X19" s="34" t="s">
        <v>123</v>
      </c>
      <c r="Y19" s="25"/>
      <c r="Z19" s="25"/>
      <c r="AA19" s="25"/>
      <c r="AB19" s="25"/>
      <c r="AC19" s="34" t="s">
        <v>123</v>
      </c>
      <c r="AD19" s="34" t="s">
        <v>123</v>
      </c>
      <c r="AE19" s="34" t="s">
        <v>123</v>
      </c>
      <c r="AF19" s="25"/>
      <c r="AG19" s="25"/>
      <c r="AH19" s="25"/>
      <c r="AI19" s="25"/>
      <c r="AJ19" s="25"/>
      <c r="AK19" s="34" t="s">
        <v>123</v>
      </c>
      <c r="AL19" s="34" t="s">
        <v>123</v>
      </c>
      <c r="AM19" s="25"/>
      <c r="AN19" s="25"/>
      <c r="AO19" s="25"/>
      <c r="AP19" s="25"/>
      <c r="AQ19" s="25"/>
      <c r="AR19" s="26"/>
      <c r="AS19" s="27">
        <f t="shared" si="0"/>
        <v>104.5</v>
      </c>
    </row>
    <row r="20" spans="1:45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1"/>
        <v>19</v>
      </c>
      <c r="I20" s="31">
        <f t="shared" si="2"/>
        <v>0</v>
      </c>
      <c r="J20" s="31">
        <f t="shared" si="3"/>
        <v>0</v>
      </c>
      <c r="K20" s="31">
        <f t="shared" si="4"/>
        <v>0</v>
      </c>
      <c r="L20" s="31">
        <f t="shared" si="5"/>
        <v>0</v>
      </c>
      <c r="M20" s="31">
        <f t="shared" si="6"/>
        <v>0</v>
      </c>
      <c r="N20" s="31">
        <f t="shared" si="7"/>
        <v>0</v>
      </c>
      <c r="O20" s="32">
        <f t="shared" si="8"/>
        <v>0</v>
      </c>
      <c r="P20" s="4">
        <f t="shared" si="9"/>
        <v>0</v>
      </c>
      <c r="Q20" s="4">
        <f t="shared" si="10"/>
        <v>0</v>
      </c>
      <c r="R20" s="25"/>
      <c r="S20" s="25"/>
      <c r="T20" s="25"/>
      <c r="U20" s="25"/>
      <c r="V20" s="25"/>
      <c r="W20" s="34" t="s">
        <v>123</v>
      </c>
      <c r="X20" s="34" t="s">
        <v>123</v>
      </c>
      <c r="Y20" s="25"/>
      <c r="Z20" s="25"/>
      <c r="AA20" s="25"/>
      <c r="AB20" s="25"/>
      <c r="AC20" s="34" t="s">
        <v>123</v>
      </c>
      <c r="AD20" s="34" t="s">
        <v>123</v>
      </c>
      <c r="AE20" s="34" t="s">
        <v>123</v>
      </c>
      <c r="AF20" s="25"/>
      <c r="AG20" s="25"/>
      <c r="AH20" s="25"/>
      <c r="AI20" s="25"/>
      <c r="AJ20" s="25"/>
      <c r="AK20" s="34" t="s">
        <v>123</v>
      </c>
      <c r="AL20" s="34" t="s">
        <v>123</v>
      </c>
      <c r="AM20" s="25"/>
      <c r="AN20" s="25"/>
      <c r="AO20" s="25"/>
      <c r="AP20" s="25"/>
      <c r="AQ20" s="25"/>
      <c r="AR20" s="26"/>
      <c r="AS20" s="27">
        <f t="shared" si="0"/>
        <v>104.5</v>
      </c>
    </row>
    <row r="21" spans="1:45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1"/>
        <v>19</v>
      </c>
      <c r="I21" s="31">
        <f t="shared" si="2"/>
        <v>0</v>
      </c>
      <c r="J21" s="31">
        <f t="shared" si="3"/>
        <v>0</v>
      </c>
      <c r="K21" s="31">
        <f t="shared" si="4"/>
        <v>0</v>
      </c>
      <c r="L21" s="31">
        <f t="shared" si="5"/>
        <v>0</v>
      </c>
      <c r="M21" s="31">
        <f t="shared" si="6"/>
        <v>0</v>
      </c>
      <c r="N21" s="31">
        <f t="shared" si="7"/>
        <v>0</v>
      </c>
      <c r="O21" s="32">
        <f t="shared" si="8"/>
        <v>0</v>
      </c>
      <c r="P21" s="4">
        <f t="shared" si="9"/>
        <v>0</v>
      </c>
      <c r="Q21" s="4">
        <f t="shared" si="10"/>
        <v>0</v>
      </c>
      <c r="R21" s="25"/>
      <c r="S21" s="25"/>
      <c r="T21" s="25"/>
      <c r="U21" s="25"/>
      <c r="V21" s="25"/>
      <c r="W21" s="34" t="s">
        <v>123</v>
      </c>
      <c r="X21" s="34" t="s">
        <v>123</v>
      </c>
      <c r="Y21" s="25"/>
      <c r="Z21" s="25"/>
      <c r="AA21" s="25"/>
      <c r="AB21" s="25"/>
      <c r="AC21" s="34" t="s">
        <v>123</v>
      </c>
      <c r="AD21" s="34" t="s">
        <v>123</v>
      </c>
      <c r="AE21" s="34" t="s">
        <v>123</v>
      </c>
      <c r="AF21" s="25"/>
      <c r="AG21" s="25"/>
      <c r="AH21" s="25"/>
      <c r="AI21" s="25"/>
      <c r="AJ21" s="25"/>
      <c r="AK21" s="34" t="s">
        <v>123</v>
      </c>
      <c r="AL21" s="34" t="s">
        <v>123</v>
      </c>
      <c r="AM21" s="25"/>
      <c r="AN21" s="25"/>
      <c r="AO21" s="25"/>
      <c r="AP21" s="25"/>
      <c r="AQ21" s="25"/>
      <c r="AR21" s="26"/>
      <c r="AS21" s="27">
        <f t="shared" si="0"/>
        <v>104.5</v>
      </c>
    </row>
    <row r="22" spans="1:45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1"/>
        <v>19</v>
      </c>
      <c r="I22" s="31">
        <f t="shared" si="2"/>
        <v>0</v>
      </c>
      <c r="J22" s="31">
        <f t="shared" si="3"/>
        <v>0</v>
      </c>
      <c r="K22" s="31">
        <f t="shared" si="4"/>
        <v>0</v>
      </c>
      <c r="L22" s="31">
        <f t="shared" si="5"/>
        <v>0</v>
      </c>
      <c r="M22" s="31">
        <f t="shared" si="6"/>
        <v>0</v>
      </c>
      <c r="N22" s="31">
        <f t="shared" si="7"/>
        <v>0</v>
      </c>
      <c r="O22" s="32">
        <f t="shared" si="8"/>
        <v>0</v>
      </c>
      <c r="P22" s="4">
        <f t="shared" si="9"/>
        <v>0</v>
      </c>
      <c r="Q22" s="4">
        <f t="shared" si="10"/>
        <v>0</v>
      </c>
      <c r="R22" s="25"/>
      <c r="S22" s="25"/>
      <c r="T22" s="25"/>
      <c r="U22" s="25"/>
      <c r="V22" s="25"/>
      <c r="W22" s="34" t="s">
        <v>123</v>
      </c>
      <c r="X22" s="34" t="s">
        <v>123</v>
      </c>
      <c r="Y22" s="25"/>
      <c r="Z22" s="25"/>
      <c r="AA22" s="25"/>
      <c r="AB22" s="25"/>
      <c r="AC22" s="34" t="s">
        <v>123</v>
      </c>
      <c r="AD22" s="34" t="s">
        <v>123</v>
      </c>
      <c r="AE22" s="34" t="s">
        <v>123</v>
      </c>
      <c r="AF22" s="25"/>
      <c r="AG22" s="25"/>
      <c r="AH22" s="25"/>
      <c r="AI22" s="25"/>
      <c r="AJ22" s="25"/>
      <c r="AK22" s="34" t="s">
        <v>123</v>
      </c>
      <c r="AL22" s="34" t="s">
        <v>123</v>
      </c>
      <c r="AM22" s="25"/>
      <c r="AN22" s="25"/>
      <c r="AO22" s="25"/>
      <c r="AP22" s="25"/>
      <c r="AQ22" s="25"/>
      <c r="AR22" s="26"/>
      <c r="AS22" s="27">
        <f t="shared" si="0"/>
        <v>104.5</v>
      </c>
    </row>
    <row r="23" spans="1:45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1"/>
        <v>19</v>
      </c>
      <c r="I23" s="31">
        <f t="shared" si="2"/>
        <v>0</v>
      </c>
      <c r="J23" s="31">
        <f t="shared" si="3"/>
        <v>0</v>
      </c>
      <c r="K23" s="31">
        <f t="shared" si="4"/>
        <v>0</v>
      </c>
      <c r="L23" s="31">
        <f t="shared" si="5"/>
        <v>0</v>
      </c>
      <c r="M23" s="31">
        <f t="shared" si="6"/>
        <v>0</v>
      </c>
      <c r="N23" s="31">
        <f t="shared" si="7"/>
        <v>0</v>
      </c>
      <c r="O23" s="32">
        <f t="shared" si="8"/>
        <v>0</v>
      </c>
      <c r="P23" s="4">
        <f t="shared" si="9"/>
        <v>0</v>
      </c>
      <c r="Q23" s="4">
        <f t="shared" si="10"/>
        <v>0</v>
      </c>
      <c r="R23" s="25"/>
      <c r="S23" s="25"/>
      <c r="T23" s="25"/>
      <c r="U23" s="25"/>
      <c r="V23" s="25"/>
      <c r="W23" s="34" t="s">
        <v>123</v>
      </c>
      <c r="X23" s="34" t="s">
        <v>123</v>
      </c>
      <c r="Y23" s="25"/>
      <c r="Z23" s="25"/>
      <c r="AA23" s="25"/>
      <c r="AB23" s="25"/>
      <c r="AC23" s="34" t="s">
        <v>123</v>
      </c>
      <c r="AD23" s="34" t="s">
        <v>123</v>
      </c>
      <c r="AE23" s="34" t="s">
        <v>123</v>
      </c>
      <c r="AF23" s="25"/>
      <c r="AG23" s="25"/>
      <c r="AH23" s="25"/>
      <c r="AI23" s="25"/>
      <c r="AJ23" s="25"/>
      <c r="AK23" s="34" t="s">
        <v>123</v>
      </c>
      <c r="AL23" s="34" t="s">
        <v>123</v>
      </c>
      <c r="AM23" s="25"/>
      <c r="AN23" s="25"/>
      <c r="AO23" s="25"/>
      <c r="AP23" s="25"/>
      <c r="AQ23" s="25"/>
      <c r="AR23" s="26"/>
      <c r="AS23" s="27">
        <f t="shared" si="0"/>
        <v>104.5</v>
      </c>
    </row>
    <row r="24" spans="1:45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1"/>
        <v>19</v>
      </c>
      <c r="I24" s="31">
        <f t="shared" si="2"/>
        <v>0</v>
      </c>
      <c r="J24" s="31">
        <f t="shared" si="3"/>
        <v>0</v>
      </c>
      <c r="K24" s="31">
        <f t="shared" si="4"/>
        <v>0</v>
      </c>
      <c r="L24" s="31">
        <f t="shared" si="5"/>
        <v>0</v>
      </c>
      <c r="M24" s="31">
        <f t="shared" si="6"/>
        <v>0</v>
      </c>
      <c r="N24" s="31">
        <f t="shared" si="7"/>
        <v>0</v>
      </c>
      <c r="O24" s="32">
        <f t="shared" si="8"/>
        <v>0</v>
      </c>
      <c r="P24" s="4">
        <f t="shared" si="9"/>
        <v>0</v>
      </c>
      <c r="Q24" s="4">
        <f t="shared" si="10"/>
        <v>0</v>
      </c>
      <c r="R24" s="25"/>
      <c r="S24" s="25"/>
      <c r="T24" s="25"/>
      <c r="U24" s="25"/>
      <c r="V24" s="25"/>
      <c r="W24" s="34" t="s">
        <v>123</v>
      </c>
      <c r="X24" s="34" t="s">
        <v>123</v>
      </c>
      <c r="Y24" s="25"/>
      <c r="Z24" s="25"/>
      <c r="AA24" s="25"/>
      <c r="AB24" s="25"/>
      <c r="AC24" s="34" t="s">
        <v>123</v>
      </c>
      <c r="AD24" s="34" t="s">
        <v>123</v>
      </c>
      <c r="AE24" s="34" t="s">
        <v>123</v>
      </c>
      <c r="AF24" s="25"/>
      <c r="AG24" s="25"/>
      <c r="AH24" s="25"/>
      <c r="AI24" s="25"/>
      <c r="AJ24" s="25"/>
      <c r="AK24" s="34" t="s">
        <v>123</v>
      </c>
      <c r="AL24" s="34" t="s">
        <v>123</v>
      </c>
      <c r="AM24" s="25"/>
      <c r="AN24" s="25"/>
      <c r="AO24" s="25"/>
      <c r="AP24" s="25"/>
      <c r="AQ24" s="25"/>
      <c r="AR24" s="26"/>
      <c r="AS24" s="27">
        <f t="shared" si="0"/>
        <v>104.5</v>
      </c>
    </row>
    <row r="25" spans="1:45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1"/>
        <v>19</v>
      </c>
      <c r="I25" s="31">
        <f t="shared" si="2"/>
        <v>0</v>
      </c>
      <c r="J25" s="31">
        <f t="shared" si="3"/>
        <v>0</v>
      </c>
      <c r="K25" s="31">
        <f t="shared" si="4"/>
        <v>0</v>
      </c>
      <c r="L25" s="31">
        <f t="shared" si="5"/>
        <v>0</v>
      </c>
      <c r="M25" s="31">
        <f t="shared" si="6"/>
        <v>0</v>
      </c>
      <c r="N25" s="31">
        <f t="shared" si="7"/>
        <v>0</v>
      </c>
      <c r="O25" s="32">
        <f t="shared" si="8"/>
        <v>0</v>
      </c>
      <c r="P25" s="4">
        <f t="shared" si="9"/>
        <v>0</v>
      </c>
      <c r="Q25" s="4">
        <f t="shared" si="10"/>
        <v>0</v>
      </c>
      <c r="R25" s="25"/>
      <c r="S25" s="25"/>
      <c r="T25" s="25"/>
      <c r="U25" s="25"/>
      <c r="V25" s="25"/>
      <c r="W25" s="34" t="s">
        <v>123</v>
      </c>
      <c r="X25" s="34" t="s">
        <v>123</v>
      </c>
      <c r="Y25" s="25"/>
      <c r="Z25" s="25"/>
      <c r="AA25" s="25"/>
      <c r="AB25" s="25"/>
      <c r="AC25" s="34" t="s">
        <v>123</v>
      </c>
      <c r="AD25" s="34" t="s">
        <v>123</v>
      </c>
      <c r="AE25" s="34" t="s">
        <v>123</v>
      </c>
      <c r="AF25" s="25"/>
      <c r="AG25" s="25"/>
      <c r="AH25" s="25"/>
      <c r="AI25" s="25"/>
      <c r="AJ25" s="25"/>
      <c r="AK25" s="34" t="s">
        <v>123</v>
      </c>
      <c r="AL25" s="34" t="s">
        <v>123</v>
      </c>
      <c r="AM25" s="25"/>
      <c r="AN25" s="25"/>
      <c r="AO25" s="25"/>
      <c r="AP25" s="25"/>
      <c r="AQ25" s="25"/>
      <c r="AR25" s="26"/>
      <c r="AS25" s="27">
        <f t="shared" si="0"/>
        <v>104.5</v>
      </c>
    </row>
    <row r="26" spans="1:45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1"/>
        <v>19</v>
      </c>
      <c r="I26" s="31">
        <f t="shared" si="2"/>
        <v>0</v>
      </c>
      <c r="J26" s="31">
        <f t="shared" si="3"/>
        <v>0</v>
      </c>
      <c r="K26" s="31">
        <f t="shared" si="4"/>
        <v>0</v>
      </c>
      <c r="L26" s="31">
        <f t="shared" si="5"/>
        <v>0</v>
      </c>
      <c r="M26" s="31">
        <f t="shared" si="6"/>
        <v>0</v>
      </c>
      <c r="N26" s="31">
        <f t="shared" si="7"/>
        <v>0</v>
      </c>
      <c r="O26" s="32">
        <f t="shared" si="8"/>
        <v>0</v>
      </c>
      <c r="P26" s="4">
        <f t="shared" si="9"/>
        <v>0</v>
      </c>
      <c r="Q26" s="4">
        <f t="shared" si="10"/>
        <v>0</v>
      </c>
      <c r="R26" s="25"/>
      <c r="S26" s="25"/>
      <c r="T26" s="25"/>
      <c r="U26" s="25"/>
      <c r="V26" s="25"/>
      <c r="W26" s="34" t="s">
        <v>123</v>
      </c>
      <c r="X26" s="34" t="s">
        <v>123</v>
      </c>
      <c r="Y26" s="25"/>
      <c r="Z26" s="25"/>
      <c r="AA26" s="25"/>
      <c r="AB26" s="25"/>
      <c r="AC26" s="34" t="s">
        <v>123</v>
      </c>
      <c r="AD26" s="34" t="s">
        <v>123</v>
      </c>
      <c r="AE26" s="34" t="s">
        <v>123</v>
      </c>
      <c r="AF26" s="25"/>
      <c r="AG26" s="25"/>
      <c r="AH26" s="25"/>
      <c r="AI26" s="25"/>
      <c r="AJ26" s="25"/>
      <c r="AK26" s="34" t="s">
        <v>123</v>
      </c>
      <c r="AL26" s="34" t="s">
        <v>123</v>
      </c>
      <c r="AM26" s="25"/>
      <c r="AN26" s="25"/>
      <c r="AO26" s="25"/>
      <c r="AP26" s="25"/>
      <c r="AQ26" s="25"/>
      <c r="AR26" s="26"/>
      <c r="AS26" s="27">
        <f t="shared" si="0"/>
        <v>104.5</v>
      </c>
    </row>
    <row r="27" spans="1:45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1"/>
        <v>19</v>
      </c>
      <c r="I27" s="31">
        <f t="shared" si="2"/>
        <v>0</v>
      </c>
      <c r="J27" s="31">
        <f t="shared" si="3"/>
        <v>0</v>
      </c>
      <c r="K27" s="31">
        <f t="shared" si="4"/>
        <v>0</v>
      </c>
      <c r="L27" s="31">
        <f t="shared" si="5"/>
        <v>0</v>
      </c>
      <c r="M27" s="31">
        <f t="shared" si="6"/>
        <v>0</v>
      </c>
      <c r="N27" s="31">
        <f t="shared" si="7"/>
        <v>0</v>
      </c>
      <c r="O27" s="32">
        <f t="shared" si="8"/>
        <v>0</v>
      </c>
      <c r="P27" s="4">
        <f t="shared" si="9"/>
        <v>0</v>
      </c>
      <c r="Q27" s="4">
        <f t="shared" si="10"/>
        <v>0</v>
      </c>
      <c r="R27" s="25"/>
      <c r="S27" s="25"/>
      <c r="T27" s="25"/>
      <c r="U27" s="25"/>
      <c r="V27" s="25"/>
      <c r="W27" s="34" t="s">
        <v>123</v>
      </c>
      <c r="X27" s="34" t="s">
        <v>123</v>
      </c>
      <c r="Y27" s="25"/>
      <c r="Z27" s="25"/>
      <c r="AA27" s="25"/>
      <c r="AB27" s="25"/>
      <c r="AC27" s="34" t="s">
        <v>123</v>
      </c>
      <c r="AD27" s="34" t="s">
        <v>123</v>
      </c>
      <c r="AE27" s="34" t="s">
        <v>123</v>
      </c>
      <c r="AF27" s="25"/>
      <c r="AG27" s="25"/>
      <c r="AH27" s="25"/>
      <c r="AI27" s="25"/>
      <c r="AJ27" s="25"/>
      <c r="AK27" s="34" t="s">
        <v>123</v>
      </c>
      <c r="AL27" s="34" t="s">
        <v>123</v>
      </c>
      <c r="AM27" s="25"/>
      <c r="AN27" s="25"/>
      <c r="AO27" s="25"/>
      <c r="AP27" s="25"/>
      <c r="AQ27" s="25"/>
      <c r="AR27" s="26"/>
      <c r="AS27" s="27">
        <f t="shared" si="0"/>
        <v>104.5</v>
      </c>
    </row>
    <row r="28" spans="1:45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1"/>
        <v>19</v>
      </c>
      <c r="I28" s="31">
        <f t="shared" si="2"/>
        <v>0</v>
      </c>
      <c r="J28" s="31">
        <f t="shared" si="3"/>
        <v>0</v>
      </c>
      <c r="K28" s="31">
        <f t="shared" si="4"/>
        <v>0</v>
      </c>
      <c r="L28" s="31">
        <f t="shared" si="5"/>
        <v>0</v>
      </c>
      <c r="M28" s="31">
        <f t="shared" si="6"/>
        <v>0</v>
      </c>
      <c r="N28" s="31">
        <f t="shared" si="7"/>
        <v>0</v>
      </c>
      <c r="O28" s="32">
        <f t="shared" si="8"/>
        <v>0</v>
      </c>
      <c r="P28" s="4">
        <f t="shared" si="9"/>
        <v>0</v>
      </c>
      <c r="Q28" s="4">
        <f t="shared" si="10"/>
        <v>0</v>
      </c>
      <c r="R28" s="25"/>
      <c r="S28" s="25"/>
      <c r="T28" s="25"/>
      <c r="U28" s="25"/>
      <c r="V28" s="25"/>
      <c r="W28" s="34" t="s">
        <v>123</v>
      </c>
      <c r="X28" s="34" t="s">
        <v>123</v>
      </c>
      <c r="Y28" s="25"/>
      <c r="Z28" s="25"/>
      <c r="AA28" s="25"/>
      <c r="AB28" s="25"/>
      <c r="AC28" s="34" t="s">
        <v>123</v>
      </c>
      <c r="AD28" s="34" t="s">
        <v>123</v>
      </c>
      <c r="AE28" s="34" t="s">
        <v>123</v>
      </c>
      <c r="AF28" s="25"/>
      <c r="AG28" s="25"/>
      <c r="AH28" s="25"/>
      <c r="AI28" s="25"/>
      <c r="AJ28" s="25"/>
      <c r="AK28" s="34" t="s">
        <v>123</v>
      </c>
      <c r="AL28" s="34" t="s">
        <v>123</v>
      </c>
      <c r="AM28" s="25"/>
      <c r="AN28" s="25"/>
      <c r="AO28" s="25"/>
      <c r="AP28" s="25"/>
      <c r="AQ28" s="25"/>
      <c r="AR28" s="26"/>
      <c r="AS28" s="27">
        <f t="shared" si="0"/>
        <v>104.5</v>
      </c>
    </row>
    <row r="29" spans="1:45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1"/>
        <v>19</v>
      </c>
      <c r="I29" s="31">
        <f t="shared" si="2"/>
        <v>0</v>
      </c>
      <c r="J29" s="31">
        <f t="shared" si="3"/>
        <v>0</v>
      </c>
      <c r="K29" s="31">
        <f t="shared" si="4"/>
        <v>0</v>
      </c>
      <c r="L29" s="31">
        <f t="shared" si="5"/>
        <v>0</v>
      </c>
      <c r="M29" s="31">
        <f t="shared" si="6"/>
        <v>0</v>
      </c>
      <c r="N29" s="31">
        <f t="shared" si="7"/>
        <v>0</v>
      </c>
      <c r="O29" s="32">
        <f t="shared" si="8"/>
        <v>0</v>
      </c>
      <c r="P29" s="4">
        <f t="shared" si="9"/>
        <v>0</v>
      </c>
      <c r="Q29" s="4">
        <f t="shared" si="10"/>
        <v>0</v>
      </c>
      <c r="R29" s="25"/>
      <c r="S29" s="25"/>
      <c r="T29" s="25"/>
      <c r="U29" s="25"/>
      <c r="V29" s="25"/>
      <c r="W29" s="34" t="s">
        <v>123</v>
      </c>
      <c r="X29" s="34" t="s">
        <v>123</v>
      </c>
      <c r="Y29" s="25"/>
      <c r="Z29" s="25"/>
      <c r="AA29" s="25"/>
      <c r="AB29" s="25"/>
      <c r="AC29" s="34" t="s">
        <v>123</v>
      </c>
      <c r="AD29" s="34" t="s">
        <v>123</v>
      </c>
      <c r="AE29" s="34" t="s">
        <v>123</v>
      </c>
      <c r="AF29" s="25"/>
      <c r="AG29" s="25"/>
      <c r="AH29" s="25"/>
      <c r="AI29" s="25"/>
      <c r="AJ29" s="25"/>
      <c r="AK29" s="34" t="s">
        <v>123</v>
      </c>
      <c r="AL29" s="34" t="s">
        <v>123</v>
      </c>
      <c r="AM29" s="25"/>
      <c r="AN29" s="25"/>
      <c r="AO29" s="25"/>
      <c r="AP29" s="25"/>
      <c r="AQ29" s="25"/>
      <c r="AR29" s="26"/>
      <c r="AS29" s="27">
        <f t="shared" si="0"/>
        <v>104.5</v>
      </c>
    </row>
    <row r="30" spans="1:45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35"/>
      <c r="AS30" s="1"/>
    </row>
    <row r="31" spans="1:45" ht="12.75" customHeight="1" x14ac:dyDescent="0.2">
      <c r="A31" s="1"/>
      <c r="B31" s="2"/>
      <c r="C31" s="2"/>
      <c r="D31" s="2"/>
      <c r="E31" s="2"/>
      <c r="F31" s="2"/>
      <c r="G31" s="2"/>
      <c r="H31" s="151" t="s">
        <v>149</v>
      </c>
      <c r="I31" s="151"/>
      <c r="J31" s="151"/>
      <c r="K31" s="151"/>
      <c r="L31" s="151"/>
      <c r="M31" s="151"/>
      <c r="N31" s="151"/>
      <c r="O31" s="152"/>
      <c r="P31" s="36"/>
      <c r="Q31" s="36"/>
      <c r="R31" s="124"/>
      <c r="S31" s="25"/>
      <c r="T31" s="124"/>
      <c r="U31" s="124"/>
      <c r="V31" s="25"/>
      <c r="W31" s="38"/>
      <c r="X31" s="38"/>
      <c r="Y31" s="124"/>
      <c r="Z31" s="124"/>
      <c r="AA31" s="124"/>
      <c r="AB31" s="124"/>
      <c r="AC31" s="38"/>
      <c r="AD31" s="38"/>
      <c r="AE31" s="38"/>
      <c r="AF31" s="124"/>
      <c r="AG31" s="124"/>
      <c r="AH31" s="25"/>
      <c r="AI31" s="25"/>
      <c r="AJ31" s="25"/>
      <c r="AK31" s="38"/>
      <c r="AL31" s="38"/>
      <c r="AM31" s="25"/>
      <c r="AN31" s="25"/>
      <c r="AO31" s="25"/>
      <c r="AP31" s="25"/>
      <c r="AQ31" s="25"/>
      <c r="AR31" s="37"/>
    </row>
    <row r="32" spans="1:45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25"/>
      <c r="S32" s="25"/>
      <c r="T32" s="25"/>
      <c r="U32" s="25"/>
      <c r="V32" s="25"/>
      <c r="W32" s="38"/>
      <c r="X32" s="38"/>
      <c r="Y32" s="25"/>
      <c r="Z32" s="25"/>
      <c r="AA32" s="25"/>
      <c r="AB32" s="25"/>
      <c r="AC32" s="38"/>
      <c r="AD32" s="38"/>
      <c r="AE32" s="38"/>
      <c r="AF32" s="25"/>
      <c r="AG32" s="25"/>
      <c r="AH32" s="25"/>
      <c r="AI32" s="25"/>
      <c r="AJ32" s="25"/>
      <c r="AK32" s="38"/>
      <c r="AL32" s="38"/>
      <c r="AM32" s="25"/>
      <c r="AN32" s="25"/>
      <c r="AO32" s="25"/>
      <c r="AP32" s="25"/>
      <c r="AQ32" s="25"/>
      <c r="AR32" s="39"/>
    </row>
    <row r="33" spans="1:43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">
      <c r="A34" s="3" t="s">
        <v>148</v>
      </c>
      <c r="B34" s="3"/>
      <c r="C34" s="3" t="s">
        <v>153</v>
      </c>
      <c r="H34" t="s">
        <v>152</v>
      </c>
    </row>
    <row r="35" spans="1:43" ht="38.25" x14ac:dyDescent="0.2">
      <c r="A35" s="1" t="s">
        <v>154</v>
      </c>
      <c r="B35" s="1" t="s">
        <v>155</v>
      </c>
      <c r="C35" s="3"/>
    </row>
    <row r="36" spans="1:43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43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43" ht="38.25" x14ac:dyDescent="0.2">
      <c r="A38" s="3" t="s">
        <v>160</v>
      </c>
      <c r="B38" s="3" t="s">
        <v>141</v>
      </c>
      <c r="C38" s="3" t="s">
        <v>157</v>
      </c>
    </row>
    <row r="39" spans="1:43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43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43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43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43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43" x14ac:dyDescent="0.2">
      <c r="C44" s="1"/>
    </row>
    <row r="45" spans="1:43" x14ac:dyDescent="0.2">
      <c r="F45" s="54"/>
      <c r="G45" s="54"/>
      <c r="H45" s="54"/>
      <c r="I45" s="54"/>
      <c r="J45" s="54"/>
      <c r="K45" s="54"/>
      <c r="L45" s="54"/>
    </row>
    <row r="46" spans="1:43" x14ac:dyDescent="0.2"/>
    <row r="47" spans="1:43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43" ht="25.5" x14ac:dyDescent="0.2">
      <c r="A48" s="42" t="s">
        <v>172</v>
      </c>
      <c r="B48" s="42">
        <f>COUNTBLANK(R1:AQ1)</f>
        <v>19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104.5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f>[1]Septiembre!B50</f>
        <v>951.5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conditionalFormatting sqref="O4:O29">
    <cfRule type="cellIs" dxfId="57" priority="1" operator="greaterThan">
      <formula>3.9</formula>
    </cfRule>
    <cfRule type="cellIs" dxfId="56" priority="2" operator="between">
      <formula>2</formula>
      <formula>3.9</formula>
    </cfRule>
    <cfRule type="cellIs" dxfId="55" priority="6" stopIfTrue="1" operator="between">
      <formula>1</formula>
      <formula>1.9</formula>
    </cfRule>
  </conditionalFormatting>
  <conditionalFormatting sqref="P4:Q29">
    <cfRule type="cellIs" dxfId="54" priority="3" stopIfTrue="1" operator="between">
      <formula>0</formula>
      <formula>2.9</formula>
    </cfRule>
    <cfRule type="cellIs" dxfId="53" priority="4" stopIfTrue="1" operator="between">
      <formula>3</formula>
      <formula>3.9</formula>
    </cfRule>
    <cfRule type="cellIs" dxfId="52" priority="5" stopIfTrue="1" operator="greaterThan">
      <formula>3.9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8AEA-1A46-4948-9E50-2DB8AF8EB3BD}">
  <dimension ref="A1:AQ114"/>
  <sheetViews>
    <sheetView workbookViewId="0">
      <pane xSplit="4" ySplit="3" topLeftCell="E4" activePane="bottomRight" state="frozen"/>
      <selection pane="topRight" activeCell="D20" sqref="D20"/>
      <selection pane="bottomLeft" activeCell="D20" sqref="D20"/>
      <selection pane="bottomRight" activeCell="F11" sqref="F11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41" width="10.28515625" customWidth="1"/>
    <col min="43" max="43" width="14.42578125" bestFit="1" customWidth="1"/>
  </cols>
  <sheetData>
    <row r="1" spans="1:43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/>
      <c r="U1" s="20"/>
      <c r="V1" s="20" t="s">
        <v>123</v>
      </c>
      <c r="W1" s="20" t="s">
        <v>123</v>
      </c>
      <c r="X1" s="20"/>
      <c r="Y1" s="20"/>
      <c r="Z1" s="20"/>
      <c r="AA1" s="20"/>
      <c r="AB1" s="20"/>
      <c r="AC1" s="20" t="s">
        <v>123</v>
      </c>
      <c r="AD1" s="20" t="s">
        <v>123</v>
      </c>
      <c r="AE1" s="20"/>
      <c r="AF1" s="20"/>
      <c r="AG1" s="20"/>
      <c r="AH1" s="20"/>
      <c r="AI1" s="20"/>
      <c r="AJ1" s="20" t="s">
        <v>123</v>
      </c>
      <c r="AK1" s="20" t="s">
        <v>123</v>
      </c>
      <c r="AL1" s="20"/>
      <c r="AM1" s="20"/>
      <c r="AN1" s="20"/>
      <c r="AO1" s="20"/>
      <c r="AP1" s="23"/>
      <c r="AQ1" s="24" t="s">
        <v>124</v>
      </c>
    </row>
    <row r="2" spans="1:43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127</v>
      </c>
      <c r="S2" s="3" t="s">
        <v>128</v>
      </c>
      <c r="T2" s="3" t="s">
        <v>129</v>
      </c>
      <c r="U2" s="25" t="s">
        <v>130</v>
      </c>
      <c r="V2" s="3" t="s">
        <v>131</v>
      </c>
      <c r="W2" s="3" t="s">
        <v>132</v>
      </c>
      <c r="X2" s="3" t="s">
        <v>126</v>
      </c>
      <c r="Y2" s="3" t="s">
        <v>127</v>
      </c>
      <c r="Z2" s="3" t="s">
        <v>128</v>
      </c>
      <c r="AA2" s="3" t="s">
        <v>129</v>
      </c>
      <c r="AB2" s="25" t="s">
        <v>130</v>
      </c>
      <c r="AC2" s="3" t="s">
        <v>131</v>
      </c>
      <c r="AD2" s="3" t="s">
        <v>132</v>
      </c>
      <c r="AE2" s="3" t="s">
        <v>126</v>
      </c>
      <c r="AF2" s="3" t="s">
        <v>127</v>
      </c>
      <c r="AG2" s="3" t="s">
        <v>128</v>
      </c>
      <c r="AH2" s="3" t="s">
        <v>129</v>
      </c>
      <c r="AI2" s="25" t="s">
        <v>130</v>
      </c>
      <c r="AJ2" s="3" t="s">
        <v>131</v>
      </c>
      <c r="AK2" s="3" t="s">
        <v>132</v>
      </c>
      <c r="AL2" s="3" t="s">
        <v>126</v>
      </c>
      <c r="AM2" s="3" t="s">
        <v>127</v>
      </c>
      <c r="AN2" s="3" t="s">
        <v>128</v>
      </c>
      <c r="AO2" s="3" t="s">
        <v>129</v>
      </c>
      <c r="AP2" s="26"/>
      <c r="AQ2" s="27" t="s">
        <v>133</v>
      </c>
    </row>
    <row r="3" spans="1:43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46119</v>
      </c>
      <c r="S3" s="29">
        <v>46120</v>
      </c>
      <c r="T3" s="29">
        <v>46121</v>
      </c>
      <c r="U3" s="29">
        <v>46122</v>
      </c>
      <c r="V3" s="29">
        <v>46123</v>
      </c>
      <c r="W3" s="29">
        <v>46124</v>
      </c>
      <c r="X3" s="29">
        <v>46125</v>
      </c>
      <c r="Y3" s="29">
        <v>46126</v>
      </c>
      <c r="Z3" s="29">
        <v>46127</v>
      </c>
      <c r="AA3" s="29">
        <v>46128</v>
      </c>
      <c r="AB3" s="29">
        <v>46129</v>
      </c>
      <c r="AC3" s="29">
        <v>46130</v>
      </c>
      <c r="AD3" s="29">
        <v>46131</v>
      </c>
      <c r="AE3" s="29">
        <v>46132</v>
      </c>
      <c r="AF3" s="29">
        <v>46133</v>
      </c>
      <c r="AG3" s="29">
        <v>46134</v>
      </c>
      <c r="AH3" s="29">
        <v>46135</v>
      </c>
      <c r="AI3" s="29">
        <v>46136</v>
      </c>
      <c r="AJ3" s="29">
        <v>46137</v>
      </c>
      <c r="AK3" s="29">
        <v>46138</v>
      </c>
      <c r="AL3" s="29">
        <v>46139</v>
      </c>
      <c r="AM3" s="29">
        <v>46140</v>
      </c>
      <c r="AN3" s="29">
        <v>46141</v>
      </c>
      <c r="AO3" s="29">
        <v>46142</v>
      </c>
      <c r="AP3" s="26"/>
      <c r="AQ3" s="27" t="s">
        <v>148</v>
      </c>
    </row>
    <row r="4" spans="1:43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>COUNTBLANK(R4:AO4)</f>
        <v>18</v>
      </c>
      <c r="I4" s="31">
        <f>COUNTIF(R4:AO4,"FJ")</f>
        <v>0</v>
      </c>
      <c r="J4" s="31">
        <f>COUNTIF(R4:AO4,"RJ")</f>
        <v>0</v>
      </c>
      <c r="K4" s="31">
        <f>COUNTIF(R4:AO4,"SAFJ")</f>
        <v>0</v>
      </c>
      <c r="L4" s="31">
        <f>COUNTIF(R4:AO4,"F")</f>
        <v>0</v>
      </c>
      <c r="M4" s="31">
        <f>COUNTIF(R4:AO4,"R")</f>
        <v>0</v>
      </c>
      <c r="N4" s="31">
        <f>COUNTIF(R4:AO4,"SAF")</f>
        <v>0</v>
      </c>
      <c r="O4" s="32">
        <f>(L4+(M4/2))+(N4/2)</f>
        <v>0</v>
      </c>
      <c r="P4" s="4">
        <f>I4+L4</f>
        <v>0</v>
      </c>
      <c r="Q4" s="4">
        <f>SUM(I4:N4)</f>
        <v>0</v>
      </c>
      <c r="R4" s="25"/>
      <c r="S4" s="25"/>
      <c r="T4" s="25"/>
      <c r="U4" s="25"/>
      <c r="V4" s="34" t="s">
        <v>123</v>
      </c>
      <c r="W4" s="34" t="s">
        <v>123</v>
      </c>
      <c r="X4" s="25"/>
      <c r="Y4" s="25"/>
      <c r="Z4" s="25"/>
      <c r="AA4" s="25"/>
      <c r="AB4" s="25"/>
      <c r="AC4" s="34" t="s">
        <v>123</v>
      </c>
      <c r="AD4" s="34" t="s">
        <v>123</v>
      </c>
      <c r="AE4" s="25"/>
      <c r="AF4" s="25"/>
      <c r="AG4" s="25"/>
      <c r="AH4" s="25"/>
      <c r="AI4" s="25"/>
      <c r="AJ4" s="34" t="s">
        <v>123</v>
      </c>
      <c r="AK4" s="34" t="s">
        <v>123</v>
      </c>
      <c r="AL4" s="25"/>
      <c r="AM4" s="25"/>
      <c r="AN4" s="25"/>
      <c r="AO4" s="25"/>
      <c r="AP4" s="26"/>
      <c r="AQ4" s="27">
        <f t="shared" ref="AQ4:AQ29" si="0">H4*B$49</f>
        <v>99</v>
      </c>
    </row>
    <row r="5" spans="1:43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ref="H5:H29" si="1">COUNTBLANK(R5:AO5)</f>
        <v>18</v>
      </c>
      <c r="I5" s="31">
        <f t="shared" ref="I5:I29" si="2">COUNTIF(R5:AO5,"FJ")</f>
        <v>0</v>
      </c>
      <c r="J5" s="31">
        <f t="shared" ref="J5:J29" si="3">COUNTIF(R5:AO5,"RJ")</f>
        <v>0</v>
      </c>
      <c r="K5" s="31">
        <f t="shared" ref="K5:K29" si="4">COUNTIF(R5:AO5,"SAFJ")</f>
        <v>0</v>
      </c>
      <c r="L5" s="31">
        <f t="shared" ref="L5:L29" si="5">COUNTIF(R5:AO5,"F")</f>
        <v>0</v>
      </c>
      <c r="M5" s="31">
        <f t="shared" ref="M5:M29" si="6">COUNTIF(R5:AO5,"R")</f>
        <v>0</v>
      </c>
      <c r="N5" s="31">
        <f t="shared" ref="N5:N29" si="7">COUNTIF(R5:AO5,"SAF")</f>
        <v>0</v>
      </c>
      <c r="O5" s="32">
        <f t="shared" ref="O5:O29" si="8">(L5+(M5/2))+(N5/2)</f>
        <v>0</v>
      </c>
      <c r="P5" s="4">
        <f t="shared" ref="P5:P29" si="9">I5+L5</f>
        <v>0</v>
      </c>
      <c r="Q5" s="4">
        <f t="shared" ref="Q5:Q29" si="10">SUM(I5:N5)</f>
        <v>0</v>
      </c>
      <c r="R5" s="25"/>
      <c r="S5" s="25"/>
      <c r="T5" s="25"/>
      <c r="U5" s="25"/>
      <c r="V5" s="34" t="s">
        <v>123</v>
      </c>
      <c r="W5" s="34" t="s">
        <v>123</v>
      </c>
      <c r="X5" s="25"/>
      <c r="Y5" s="25"/>
      <c r="Z5" s="25"/>
      <c r="AA5" s="25"/>
      <c r="AB5" s="25"/>
      <c r="AC5" s="34" t="s">
        <v>123</v>
      </c>
      <c r="AD5" s="34" t="s">
        <v>123</v>
      </c>
      <c r="AE5" s="25"/>
      <c r="AF5" s="25"/>
      <c r="AG5" s="25"/>
      <c r="AH5" s="25"/>
      <c r="AI5" s="25"/>
      <c r="AJ5" s="34" t="s">
        <v>123</v>
      </c>
      <c r="AK5" s="34" t="s">
        <v>123</v>
      </c>
      <c r="AL5" s="25"/>
      <c r="AM5" s="25"/>
      <c r="AN5" s="25"/>
      <c r="AO5" s="25"/>
      <c r="AP5" s="26"/>
      <c r="AQ5" s="27">
        <f t="shared" si="0"/>
        <v>99</v>
      </c>
    </row>
    <row r="6" spans="1:43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1"/>
        <v>18</v>
      </c>
      <c r="I6" s="31">
        <f t="shared" si="2"/>
        <v>0</v>
      </c>
      <c r="J6" s="31">
        <f t="shared" si="3"/>
        <v>0</v>
      </c>
      <c r="K6" s="31">
        <f t="shared" si="4"/>
        <v>0</v>
      </c>
      <c r="L6" s="31">
        <f t="shared" si="5"/>
        <v>0</v>
      </c>
      <c r="M6" s="31">
        <f t="shared" si="6"/>
        <v>0</v>
      </c>
      <c r="N6" s="31">
        <f t="shared" si="7"/>
        <v>0</v>
      </c>
      <c r="O6" s="32">
        <f t="shared" si="8"/>
        <v>0</v>
      </c>
      <c r="P6" s="4">
        <f t="shared" si="9"/>
        <v>0</v>
      </c>
      <c r="Q6" s="4">
        <f t="shared" si="10"/>
        <v>0</v>
      </c>
      <c r="R6" s="25"/>
      <c r="S6" s="25"/>
      <c r="T6" s="25"/>
      <c r="U6" s="25"/>
      <c r="V6" s="34" t="s">
        <v>123</v>
      </c>
      <c r="W6" s="34" t="s">
        <v>123</v>
      </c>
      <c r="X6" s="25"/>
      <c r="Y6" s="25"/>
      <c r="Z6" s="25"/>
      <c r="AA6" s="25"/>
      <c r="AB6" s="25"/>
      <c r="AC6" s="34" t="s">
        <v>123</v>
      </c>
      <c r="AD6" s="34" t="s">
        <v>123</v>
      </c>
      <c r="AE6" s="25"/>
      <c r="AF6" s="25"/>
      <c r="AG6" s="25"/>
      <c r="AH6" s="25"/>
      <c r="AI6" s="25"/>
      <c r="AJ6" s="34" t="s">
        <v>123</v>
      </c>
      <c r="AK6" s="34" t="s">
        <v>123</v>
      </c>
      <c r="AL6" s="25"/>
      <c r="AM6" s="25"/>
      <c r="AN6" s="25"/>
      <c r="AO6" s="25"/>
      <c r="AP6" s="26"/>
      <c r="AQ6" s="27">
        <f t="shared" si="0"/>
        <v>99</v>
      </c>
    </row>
    <row r="7" spans="1:43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1"/>
        <v>18</v>
      </c>
      <c r="I7" s="31">
        <f t="shared" si="2"/>
        <v>0</v>
      </c>
      <c r="J7" s="31">
        <f t="shared" si="3"/>
        <v>0</v>
      </c>
      <c r="K7" s="31">
        <f t="shared" si="4"/>
        <v>0</v>
      </c>
      <c r="L7" s="31">
        <f t="shared" si="5"/>
        <v>0</v>
      </c>
      <c r="M7" s="31">
        <f t="shared" si="6"/>
        <v>0</v>
      </c>
      <c r="N7" s="31">
        <f t="shared" si="7"/>
        <v>0</v>
      </c>
      <c r="O7" s="32">
        <f t="shared" si="8"/>
        <v>0</v>
      </c>
      <c r="P7" s="4">
        <f t="shared" si="9"/>
        <v>0</v>
      </c>
      <c r="Q7" s="4">
        <f t="shared" si="10"/>
        <v>0</v>
      </c>
      <c r="R7" s="25"/>
      <c r="S7" s="25"/>
      <c r="T7" s="25"/>
      <c r="U7" s="25"/>
      <c r="V7" s="34" t="s">
        <v>123</v>
      </c>
      <c r="W7" s="34" t="s">
        <v>123</v>
      </c>
      <c r="X7" s="25"/>
      <c r="Y7" s="25"/>
      <c r="Z7" s="25"/>
      <c r="AA7" s="25"/>
      <c r="AB7" s="25"/>
      <c r="AC7" s="34" t="s">
        <v>123</v>
      </c>
      <c r="AD7" s="34" t="s">
        <v>123</v>
      </c>
      <c r="AE7" s="25"/>
      <c r="AF7" s="25"/>
      <c r="AG7" s="25"/>
      <c r="AH7" s="25"/>
      <c r="AI7" s="25"/>
      <c r="AJ7" s="34" t="s">
        <v>123</v>
      </c>
      <c r="AK7" s="34" t="s">
        <v>123</v>
      </c>
      <c r="AL7" s="25"/>
      <c r="AM7" s="25"/>
      <c r="AN7" s="25"/>
      <c r="AO7" s="25"/>
      <c r="AP7" s="26"/>
      <c r="AQ7" s="27">
        <f t="shared" si="0"/>
        <v>99</v>
      </c>
    </row>
    <row r="8" spans="1:43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1"/>
        <v>18</v>
      </c>
      <c r="I8" s="31">
        <f t="shared" si="2"/>
        <v>0</v>
      </c>
      <c r="J8" s="31">
        <f t="shared" si="3"/>
        <v>0</v>
      </c>
      <c r="K8" s="31">
        <f t="shared" si="4"/>
        <v>0</v>
      </c>
      <c r="L8" s="31">
        <f t="shared" si="5"/>
        <v>0</v>
      </c>
      <c r="M8" s="31">
        <f t="shared" si="6"/>
        <v>0</v>
      </c>
      <c r="N8" s="31">
        <f t="shared" si="7"/>
        <v>0</v>
      </c>
      <c r="O8" s="32">
        <f t="shared" si="8"/>
        <v>0</v>
      </c>
      <c r="P8" s="4">
        <f t="shared" si="9"/>
        <v>0</v>
      </c>
      <c r="Q8" s="4">
        <f t="shared" si="10"/>
        <v>0</v>
      </c>
      <c r="R8" s="25"/>
      <c r="S8" s="25"/>
      <c r="T8" s="25"/>
      <c r="U8" s="25"/>
      <c r="V8" s="34" t="s">
        <v>123</v>
      </c>
      <c r="W8" s="34" t="s">
        <v>123</v>
      </c>
      <c r="X8" s="25"/>
      <c r="Y8" s="25"/>
      <c r="Z8" s="25"/>
      <c r="AA8" s="25"/>
      <c r="AB8" s="25"/>
      <c r="AC8" s="34" t="s">
        <v>123</v>
      </c>
      <c r="AD8" s="34" t="s">
        <v>123</v>
      </c>
      <c r="AE8" s="25"/>
      <c r="AF8" s="25"/>
      <c r="AG8" s="25"/>
      <c r="AH8" s="25"/>
      <c r="AI8" s="25"/>
      <c r="AJ8" s="34" t="s">
        <v>123</v>
      </c>
      <c r="AK8" s="34" t="s">
        <v>123</v>
      </c>
      <c r="AL8" s="25"/>
      <c r="AM8" s="25"/>
      <c r="AN8" s="25"/>
      <c r="AO8" s="25"/>
      <c r="AP8" s="26"/>
      <c r="AQ8" s="27">
        <f t="shared" si="0"/>
        <v>99</v>
      </c>
    </row>
    <row r="9" spans="1:43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1"/>
        <v>18</v>
      </c>
      <c r="I9" s="31">
        <f t="shared" si="2"/>
        <v>0</v>
      </c>
      <c r="J9" s="31">
        <f t="shared" si="3"/>
        <v>0</v>
      </c>
      <c r="K9" s="31">
        <f t="shared" si="4"/>
        <v>0</v>
      </c>
      <c r="L9" s="31">
        <f t="shared" si="5"/>
        <v>0</v>
      </c>
      <c r="M9" s="31">
        <f t="shared" si="6"/>
        <v>0</v>
      </c>
      <c r="N9" s="31">
        <f t="shared" si="7"/>
        <v>0</v>
      </c>
      <c r="O9" s="32">
        <f t="shared" si="8"/>
        <v>0</v>
      </c>
      <c r="P9" s="4">
        <f t="shared" si="9"/>
        <v>0</v>
      </c>
      <c r="Q9" s="4">
        <f t="shared" si="10"/>
        <v>0</v>
      </c>
      <c r="R9" s="25"/>
      <c r="S9" s="25"/>
      <c r="T9" s="25"/>
      <c r="U9" s="25"/>
      <c r="V9" s="34" t="s">
        <v>123</v>
      </c>
      <c r="W9" s="34" t="s">
        <v>123</v>
      </c>
      <c r="X9" s="25"/>
      <c r="Y9" s="25"/>
      <c r="Z9" s="25"/>
      <c r="AA9" s="25"/>
      <c r="AB9" s="25"/>
      <c r="AC9" s="34" t="s">
        <v>123</v>
      </c>
      <c r="AD9" s="34" t="s">
        <v>123</v>
      </c>
      <c r="AE9" s="25"/>
      <c r="AF9" s="25"/>
      <c r="AG9" s="25"/>
      <c r="AH9" s="25"/>
      <c r="AI9" s="25"/>
      <c r="AJ9" s="34" t="s">
        <v>123</v>
      </c>
      <c r="AK9" s="34" t="s">
        <v>123</v>
      </c>
      <c r="AL9" s="25"/>
      <c r="AM9" s="25"/>
      <c r="AN9" s="25"/>
      <c r="AO9" s="25"/>
      <c r="AP9" s="26"/>
      <c r="AQ9" s="27">
        <f t="shared" si="0"/>
        <v>99</v>
      </c>
    </row>
    <row r="10" spans="1:43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1"/>
        <v>18</v>
      </c>
      <c r="I10" s="31">
        <f t="shared" si="2"/>
        <v>0</v>
      </c>
      <c r="J10" s="31">
        <f t="shared" si="3"/>
        <v>0</v>
      </c>
      <c r="K10" s="31">
        <f t="shared" si="4"/>
        <v>0</v>
      </c>
      <c r="L10" s="31">
        <f t="shared" si="5"/>
        <v>0</v>
      </c>
      <c r="M10" s="31">
        <f t="shared" si="6"/>
        <v>0</v>
      </c>
      <c r="N10" s="31">
        <f t="shared" si="7"/>
        <v>0</v>
      </c>
      <c r="O10" s="32">
        <f t="shared" si="8"/>
        <v>0</v>
      </c>
      <c r="P10" s="4">
        <f t="shared" si="9"/>
        <v>0</v>
      </c>
      <c r="Q10" s="4">
        <f t="shared" si="10"/>
        <v>0</v>
      </c>
      <c r="R10" s="25"/>
      <c r="S10" s="25"/>
      <c r="T10" s="25"/>
      <c r="U10" s="25"/>
      <c r="V10" s="34" t="s">
        <v>123</v>
      </c>
      <c r="W10" s="34" t="s">
        <v>123</v>
      </c>
      <c r="X10" s="25"/>
      <c r="Y10" s="25"/>
      <c r="Z10" s="25"/>
      <c r="AA10" s="25"/>
      <c r="AB10" s="25"/>
      <c r="AC10" s="34" t="s">
        <v>123</v>
      </c>
      <c r="AD10" s="34" t="s">
        <v>123</v>
      </c>
      <c r="AE10" s="25"/>
      <c r="AF10" s="25"/>
      <c r="AG10" s="25"/>
      <c r="AH10" s="25"/>
      <c r="AI10" s="25"/>
      <c r="AJ10" s="34" t="s">
        <v>123</v>
      </c>
      <c r="AK10" s="34" t="s">
        <v>123</v>
      </c>
      <c r="AL10" s="25"/>
      <c r="AM10" s="25"/>
      <c r="AN10" s="25"/>
      <c r="AO10" s="25"/>
      <c r="AP10" s="26"/>
      <c r="AQ10" s="27">
        <f t="shared" si="0"/>
        <v>99</v>
      </c>
    </row>
    <row r="11" spans="1:43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43"/>
      <c r="H11" s="30">
        <f t="shared" si="1"/>
        <v>18</v>
      </c>
      <c r="I11" s="31">
        <f t="shared" si="2"/>
        <v>0</v>
      </c>
      <c r="J11" s="31">
        <f t="shared" si="3"/>
        <v>0</v>
      </c>
      <c r="K11" s="31">
        <f t="shared" si="4"/>
        <v>0</v>
      </c>
      <c r="L11" s="31">
        <f t="shared" si="5"/>
        <v>0</v>
      </c>
      <c r="M11" s="31">
        <f t="shared" si="6"/>
        <v>0</v>
      </c>
      <c r="N11" s="31">
        <f t="shared" si="7"/>
        <v>0</v>
      </c>
      <c r="O11" s="32">
        <f t="shared" si="8"/>
        <v>0</v>
      </c>
      <c r="P11" s="4">
        <f t="shared" si="9"/>
        <v>0</v>
      </c>
      <c r="Q11" s="4">
        <f t="shared" si="10"/>
        <v>0</v>
      </c>
      <c r="R11" s="25"/>
      <c r="S11" s="25"/>
      <c r="T11" s="25"/>
      <c r="U11" s="25"/>
      <c r="V11" s="34" t="s">
        <v>123</v>
      </c>
      <c r="W11" s="34" t="s">
        <v>123</v>
      </c>
      <c r="X11" s="25"/>
      <c r="Y11" s="25"/>
      <c r="Z11" s="25"/>
      <c r="AA11" s="25"/>
      <c r="AB11" s="25"/>
      <c r="AC11" s="34" t="s">
        <v>123</v>
      </c>
      <c r="AD11" s="34" t="s">
        <v>123</v>
      </c>
      <c r="AE11" s="25"/>
      <c r="AF11" s="25"/>
      <c r="AG11" s="25"/>
      <c r="AH11" s="25"/>
      <c r="AI11" s="25"/>
      <c r="AJ11" s="34" t="s">
        <v>123</v>
      </c>
      <c r="AK11" s="34" t="s">
        <v>123</v>
      </c>
      <c r="AL11" s="25"/>
      <c r="AM11" s="25"/>
      <c r="AN11" s="25"/>
      <c r="AO11" s="25"/>
      <c r="AP11" s="26"/>
      <c r="AQ11" s="27">
        <f t="shared" si="0"/>
        <v>99</v>
      </c>
    </row>
    <row r="12" spans="1:43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1"/>
        <v>18</v>
      </c>
      <c r="I12" s="31">
        <f t="shared" si="2"/>
        <v>0</v>
      </c>
      <c r="J12" s="31">
        <f t="shared" si="3"/>
        <v>0</v>
      </c>
      <c r="K12" s="31">
        <f t="shared" si="4"/>
        <v>0</v>
      </c>
      <c r="L12" s="31">
        <f t="shared" si="5"/>
        <v>0</v>
      </c>
      <c r="M12" s="31">
        <f t="shared" si="6"/>
        <v>0</v>
      </c>
      <c r="N12" s="31">
        <f t="shared" si="7"/>
        <v>0</v>
      </c>
      <c r="O12" s="32">
        <f t="shared" si="8"/>
        <v>0</v>
      </c>
      <c r="P12" s="4">
        <f t="shared" si="9"/>
        <v>0</v>
      </c>
      <c r="Q12" s="4">
        <f t="shared" si="10"/>
        <v>0</v>
      </c>
      <c r="R12" s="25"/>
      <c r="S12" s="25"/>
      <c r="T12" s="25"/>
      <c r="U12" s="25"/>
      <c r="V12" s="34" t="s">
        <v>123</v>
      </c>
      <c r="W12" s="34" t="s">
        <v>123</v>
      </c>
      <c r="X12" s="25"/>
      <c r="Y12" s="25"/>
      <c r="Z12" s="25"/>
      <c r="AA12" s="25"/>
      <c r="AB12" s="25"/>
      <c r="AC12" s="34" t="s">
        <v>123</v>
      </c>
      <c r="AD12" s="34" t="s">
        <v>123</v>
      </c>
      <c r="AE12" s="25"/>
      <c r="AF12" s="25"/>
      <c r="AG12" s="25"/>
      <c r="AH12" s="25"/>
      <c r="AI12" s="25"/>
      <c r="AJ12" s="34" t="s">
        <v>123</v>
      </c>
      <c r="AK12" s="34" t="s">
        <v>123</v>
      </c>
      <c r="AL12" s="25"/>
      <c r="AM12" s="25"/>
      <c r="AN12" s="25"/>
      <c r="AO12" s="25"/>
      <c r="AP12" s="26"/>
      <c r="AQ12" s="27">
        <f t="shared" si="0"/>
        <v>99</v>
      </c>
    </row>
    <row r="13" spans="1:43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1"/>
        <v>18</v>
      </c>
      <c r="I13" s="31">
        <f t="shared" si="2"/>
        <v>0</v>
      </c>
      <c r="J13" s="31">
        <f t="shared" si="3"/>
        <v>0</v>
      </c>
      <c r="K13" s="31">
        <f t="shared" si="4"/>
        <v>0</v>
      </c>
      <c r="L13" s="31">
        <f t="shared" si="5"/>
        <v>0</v>
      </c>
      <c r="M13" s="31">
        <f t="shared" si="6"/>
        <v>0</v>
      </c>
      <c r="N13" s="31">
        <f t="shared" si="7"/>
        <v>0</v>
      </c>
      <c r="O13" s="32">
        <f t="shared" si="8"/>
        <v>0</v>
      </c>
      <c r="P13" s="4">
        <f t="shared" si="9"/>
        <v>0</v>
      </c>
      <c r="Q13" s="4">
        <f t="shared" si="10"/>
        <v>0</v>
      </c>
      <c r="R13" s="25"/>
      <c r="S13" s="25"/>
      <c r="T13" s="25"/>
      <c r="U13" s="25"/>
      <c r="V13" s="34" t="s">
        <v>123</v>
      </c>
      <c r="W13" s="34" t="s">
        <v>123</v>
      </c>
      <c r="X13" s="25"/>
      <c r="Y13" s="25"/>
      <c r="Z13" s="25"/>
      <c r="AA13" s="25"/>
      <c r="AB13" s="25"/>
      <c r="AC13" s="34" t="s">
        <v>123</v>
      </c>
      <c r="AD13" s="34" t="s">
        <v>123</v>
      </c>
      <c r="AE13" s="25"/>
      <c r="AF13" s="25"/>
      <c r="AG13" s="25"/>
      <c r="AH13" s="25"/>
      <c r="AI13" s="25"/>
      <c r="AJ13" s="34" t="s">
        <v>123</v>
      </c>
      <c r="AK13" s="34" t="s">
        <v>123</v>
      </c>
      <c r="AL13" s="25"/>
      <c r="AM13" s="25"/>
      <c r="AN13" s="25"/>
      <c r="AO13" s="25"/>
      <c r="AP13" s="26"/>
      <c r="AQ13" s="27">
        <f t="shared" si="0"/>
        <v>99</v>
      </c>
    </row>
    <row r="14" spans="1:43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1"/>
        <v>18</v>
      </c>
      <c r="I14" s="31">
        <f t="shared" si="2"/>
        <v>0</v>
      </c>
      <c r="J14" s="31">
        <f t="shared" si="3"/>
        <v>0</v>
      </c>
      <c r="K14" s="31">
        <f t="shared" si="4"/>
        <v>0</v>
      </c>
      <c r="L14" s="31">
        <f t="shared" si="5"/>
        <v>0</v>
      </c>
      <c r="M14" s="31">
        <f t="shared" si="6"/>
        <v>0</v>
      </c>
      <c r="N14" s="31">
        <f t="shared" si="7"/>
        <v>0</v>
      </c>
      <c r="O14" s="32">
        <f t="shared" si="8"/>
        <v>0</v>
      </c>
      <c r="P14" s="4">
        <f t="shared" si="9"/>
        <v>0</v>
      </c>
      <c r="Q14" s="4">
        <f t="shared" si="10"/>
        <v>0</v>
      </c>
      <c r="R14" s="25"/>
      <c r="S14" s="25"/>
      <c r="T14" s="25"/>
      <c r="U14" s="25"/>
      <c r="V14" s="34" t="s">
        <v>123</v>
      </c>
      <c r="W14" s="34" t="s">
        <v>123</v>
      </c>
      <c r="X14" s="25"/>
      <c r="Y14" s="25"/>
      <c r="Z14" s="25"/>
      <c r="AA14" s="25"/>
      <c r="AB14" s="25"/>
      <c r="AC14" s="34" t="s">
        <v>123</v>
      </c>
      <c r="AD14" s="34" t="s">
        <v>123</v>
      </c>
      <c r="AE14" s="25"/>
      <c r="AF14" s="25"/>
      <c r="AG14" s="25"/>
      <c r="AH14" s="25"/>
      <c r="AI14" s="25"/>
      <c r="AJ14" s="34" t="s">
        <v>123</v>
      </c>
      <c r="AK14" s="34" t="s">
        <v>123</v>
      </c>
      <c r="AL14" s="25"/>
      <c r="AM14" s="25"/>
      <c r="AN14" s="25"/>
      <c r="AO14" s="25"/>
      <c r="AP14" s="26"/>
      <c r="AQ14" s="27">
        <f t="shared" si="0"/>
        <v>99</v>
      </c>
    </row>
    <row r="15" spans="1:43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1"/>
        <v>18</v>
      </c>
      <c r="I15" s="31">
        <f t="shared" si="2"/>
        <v>0</v>
      </c>
      <c r="J15" s="31">
        <f t="shared" si="3"/>
        <v>0</v>
      </c>
      <c r="K15" s="31">
        <f t="shared" si="4"/>
        <v>0</v>
      </c>
      <c r="L15" s="31">
        <f t="shared" si="5"/>
        <v>0</v>
      </c>
      <c r="M15" s="31">
        <f t="shared" si="6"/>
        <v>0</v>
      </c>
      <c r="N15" s="31">
        <f t="shared" si="7"/>
        <v>0</v>
      </c>
      <c r="O15" s="32">
        <f t="shared" si="8"/>
        <v>0</v>
      </c>
      <c r="P15" s="4">
        <f t="shared" si="9"/>
        <v>0</v>
      </c>
      <c r="Q15" s="4">
        <f t="shared" si="10"/>
        <v>0</v>
      </c>
      <c r="R15" s="25"/>
      <c r="S15" s="25"/>
      <c r="T15" s="25"/>
      <c r="U15" s="25"/>
      <c r="V15" s="34" t="s">
        <v>123</v>
      </c>
      <c r="W15" s="34" t="s">
        <v>123</v>
      </c>
      <c r="X15" s="25"/>
      <c r="Y15" s="25"/>
      <c r="Z15" s="25"/>
      <c r="AA15" s="25"/>
      <c r="AB15" s="25"/>
      <c r="AC15" s="34" t="s">
        <v>123</v>
      </c>
      <c r="AD15" s="34" t="s">
        <v>123</v>
      </c>
      <c r="AE15" s="25"/>
      <c r="AF15" s="25"/>
      <c r="AG15" s="25"/>
      <c r="AH15" s="25"/>
      <c r="AI15" s="25"/>
      <c r="AJ15" s="34" t="s">
        <v>123</v>
      </c>
      <c r="AK15" s="34" t="s">
        <v>123</v>
      </c>
      <c r="AL15" s="25"/>
      <c r="AM15" s="25"/>
      <c r="AN15" s="25"/>
      <c r="AO15" s="25"/>
      <c r="AP15" s="26"/>
      <c r="AQ15" s="27">
        <f t="shared" si="0"/>
        <v>99</v>
      </c>
    </row>
    <row r="16" spans="1:43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1"/>
        <v>18</v>
      </c>
      <c r="I16" s="31">
        <f t="shared" si="2"/>
        <v>0</v>
      </c>
      <c r="J16" s="31">
        <f t="shared" si="3"/>
        <v>0</v>
      </c>
      <c r="K16" s="31">
        <f t="shared" si="4"/>
        <v>0</v>
      </c>
      <c r="L16" s="31">
        <f t="shared" si="5"/>
        <v>0</v>
      </c>
      <c r="M16" s="31">
        <f t="shared" si="6"/>
        <v>0</v>
      </c>
      <c r="N16" s="31">
        <f t="shared" si="7"/>
        <v>0</v>
      </c>
      <c r="O16" s="32">
        <f t="shared" si="8"/>
        <v>0</v>
      </c>
      <c r="P16" s="4">
        <f t="shared" si="9"/>
        <v>0</v>
      </c>
      <c r="Q16" s="4">
        <f t="shared" si="10"/>
        <v>0</v>
      </c>
      <c r="R16" s="25"/>
      <c r="S16" s="25"/>
      <c r="T16" s="25"/>
      <c r="U16" s="25"/>
      <c r="V16" s="34" t="s">
        <v>123</v>
      </c>
      <c r="W16" s="34" t="s">
        <v>123</v>
      </c>
      <c r="X16" s="25"/>
      <c r="Y16" s="25"/>
      <c r="Z16" s="25"/>
      <c r="AA16" s="25"/>
      <c r="AB16" s="25"/>
      <c r="AC16" s="34" t="s">
        <v>123</v>
      </c>
      <c r="AD16" s="34" t="s">
        <v>123</v>
      </c>
      <c r="AE16" s="25"/>
      <c r="AF16" s="25"/>
      <c r="AG16" s="25"/>
      <c r="AH16" s="25"/>
      <c r="AI16" s="25"/>
      <c r="AJ16" s="34" t="s">
        <v>123</v>
      </c>
      <c r="AK16" s="34" t="s">
        <v>123</v>
      </c>
      <c r="AL16" s="25"/>
      <c r="AM16" s="25"/>
      <c r="AN16" s="25"/>
      <c r="AO16" s="25"/>
      <c r="AP16" s="26"/>
      <c r="AQ16" s="27">
        <f t="shared" si="0"/>
        <v>99</v>
      </c>
    </row>
    <row r="17" spans="1:43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1"/>
        <v>18</v>
      </c>
      <c r="I17" s="31">
        <f t="shared" si="2"/>
        <v>0</v>
      </c>
      <c r="J17" s="31">
        <f t="shared" si="3"/>
        <v>0</v>
      </c>
      <c r="K17" s="31">
        <f t="shared" si="4"/>
        <v>0</v>
      </c>
      <c r="L17" s="31">
        <f t="shared" si="5"/>
        <v>0</v>
      </c>
      <c r="M17" s="31">
        <f t="shared" si="6"/>
        <v>0</v>
      </c>
      <c r="N17" s="31">
        <f t="shared" si="7"/>
        <v>0</v>
      </c>
      <c r="O17" s="32">
        <f t="shared" si="8"/>
        <v>0</v>
      </c>
      <c r="P17" s="4">
        <f t="shared" si="9"/>
        <v>0</v>
      </c>
      <c r="Q17" s="4">
        <f t="shared" si="10"/>
        <v>0</v>
      </c>
      <c r="R17" s="25"/>
      <c r="S17" s="25"/>
      <c r="T17" s="25"/>
      <c r="U17" s="25"/>
      <c r="V17" s="34" t="s">
        <v>123</v>
      </c>
      <c r="W17" s="34" t="s">
        <v>123</v>
      </c>
      <c r="X17" s="25"/>
      <c r="Y17" s="25"/>
      <c r="Z17" s="25"/>
      <c r="AA17" s="25"/>
      <c r="AB17" s="25"/>
      <c r="AC17" s="34" t="s">
        <v>123</v>
      </c>
      <c r="AD17" s="34" t="s">
        <v>123</v>
      </c>
      <c r="AE17" s="25"/>
      <c r="AF17" s="25"/>
      <c r="AG17" s="25"/>
      <c r="AH17" s="25"/>
      <c r="AI17" s="25"/>
      <c r="AJ17" s="34" t="s">
        <v>123</v>
      </c>
      <c r="AK17" s="34" t="s">
        <v>123</v>
      </c>
      <c r="AL17" s="25"/>
      <c r="AM17" s="25"/>
      <c r="AN17" s="25"/>
      <c r="AO17" s="25"/>
      <c r="AP17" s="26"/>
      <c r="AQ17" s="27">
        <f t="shared" si="0"/>
        <v>99</v>
      </c>
    </row>
    <row r="18" spans="1:43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1"/>
        <v>18</v>
      </c>
      <c r="I18" s="31">
        <f t="shared" si="2"/>
        <v>0</v>
      </c>
      <c r="J18" s="31">
        <f t="shared" si="3"/>
        <v>0</v>
      </c>
      <c r="K18" s="31">
        <f t="shared" si="4"/>
        <v>0</v>
      </c>
      <c r="L18" s="31">
        <f t="shared" si="5"/>
        <v>0</v>
      </c>
      <c r="M18" s="31">
        <f t="shared" si="6"/>
        <v>0</v>
      </c>
      <c r="N18" s="31">
        <f t="shared" si="7"/>
        <v>0</v>
      </c>
      <c r="O18" s="32">
        <f t="shared" si="8"/>
        <v>0</v>
      </c>
      <c r="P18" s="4">
        <f t="shared" si="9"/>
        <v>0</v>
      </c>
      <c r="Q18" s="4">
        <f t="shared" si="10"/>
        <v>0</v>
      </c>
      <c r="R18" s="25"/>
      <c r="S18" s="25"/>
      <c r="T18" s="25"/>
      <c r="U18" s="25"/>
      <c r="V18" s="34" t="s">
        <v>123</v>
      </c>
      <c r="W18" s="34" t="s">
        <v>123</v>
      </c>
      <c r="X18" s="25"/>
      <c r="Y18" s="25"/>
      <c r="Z18" s="25"/>
      <c r="AA18" s="25"/>
      <c r="AB18" s="25"/>
      <c r="AC18" s="34" t="s">
        <v>123</v>
      </c>
      <c r="AD18" s="34" t="s">
        <v>123</v>
      </c>
      <c r="AE18" s="25"/>
      <c r="AF18" s="25"/>
      <c r="AG18" s="25"/>
      <c r="AH18" s="25"/>
      <c r="AI18" s="25"/>
      <c r="AJ18" s="34" t="s">
        <v>123</v>
      </c>
      <c r="AK18" s="34" t="s">
        <v>123</v>
      </c>
      <c r="AL18" s="25"/>
      <c r="AM18" s="25"/>
      <c r="AN18" s="25"/>
      <c r="AO18" s="25"/>
      <c r="AP18" s="26"/>
      <c r="AQ18" s="27">
        <f t="shared" si="0"/>
        <v>99</v>
      </c>
    </row>
    <row r="19" spans="1:43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1"/>
        <v>18</v>
      </c>
      <c r="I19" s="31">
        <f t="shared" si="2"/>
        <v>0</v>
      </c>
      <c r="J19" s="31">
        <f t="shared" si="3"/>
        <v>0</v>
      </c>
      <c r="K19" s="31">
        <f t="shared" si="4"/>
        <v>0</v>
      </c>
      <c r="L19" s="31">
        <f t="shared" si="5"/>
        <v>0</v>
      </c>
      <c r="M19" s="31">
        <f t="shared" si="6"/>
        <v>0</v>
      </c>
      <c r="N19" s="31">
        <f t="shared" si="7"/>
        <v>0</v>
      </c>
      <c r="O19" s="32">
        <f t="shared" si="8"/>
        <v>0</v>
      </c>
      <c r="P19" s="4">
        <f t="shared" si="9"/>
        <v>0</v>
      </c>
      <c r="Q19" s="4">
        <f t="shared" si="10"/>
        <v>0</v>
      </c>
      <c r="R19" s="25"/>
      <c r="S19" s="25"/>
      <c r="T19" s="25"/>
      <c r="U19" s="25"/>
      <c r="V19" s="34" t="s">
        <v>123</v>
      </c>
      <c r="W19" s="34" t="s">
        <v>123</v>
      </c>
      <c r="X19" s="25"/>
      <c r="Y19" s="25"/>
      <c r="Z19" s="25"/>
      <c r="AA19" s="25"/>
      <c r="AB19" s="25"/>
      <c r="AC19" s="34" t="s">
        <v>123</v>
      </c>
      <c r="AD19" s="34" t="s">
        <v>123</v>
      </c>
      <c r="AE19" s="25"/>
      <c r="AF19" s="25"/>
      <c r="AG19" s="25"/>
      <c r="AH19" s="25"/>
      <c r="AI19" s="25"/>
      <c r="AJ19" s="34" t="s">
        <v>123</v>
      </c>
      <c r="AK19" s="34" t="s">
        <v>123</v>
      </c>
      <c r="AL19" s="25"/>
      <c r="AM19" s="25"/>
      <c r="AN19" s="25"/>
      <c r="AO19" s="25"/>
      <c r="AP19" s="26"/>
      <c r="AQ19" s="27">
        <f t="shared" si="0"/>
        <v>99</v>
      </c>
    </row>
    <row r="20" spans="1:43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1"/>
        <v>18</v>
      </c>
      <c r="I20" s="31">
        <f t="shared" si="2"/>
        <v>0</v>
      </c>
      <c r="J20" s="31">
        <f t="shared" si="3"/>
        <v>0</v>
      </c>
      <c r="K20" s="31">
        <f t="shared" si="4"/>
        <v>0</v>
      </c>
      <c r="L20" s="31">
        <f t="shared" si="5"/>
        <v>0</v>
      </c>
      <c r="M20" s="31">
        <f t="shared" si="6"/>
        <v>0</v>
      </c>
      <c r="N20" s="31">
        <f t="shared" si="7"/>
        <v>0</v>
      </c>
      <c r="O20" s="32">
        <f t="shared" si="8"/>
        <v>0</v>
      </c>
      <c r="P20" s="4">
        <f t="shared" si="9"/>
        <v>0</v>
      </c>
      <c r="Q20" s="4">
        <f t="shared" si="10"/>
        <v>0</v>
      </c>
      <c r="R20" s="25"/>
      <c r="S20" s="25"/>
      <c r="T20" s="25"/>
      <c r="U20" s="25"/>
      <c r="V20" s="34" t="s">
        <v>123</v>
      </c>
      <c r="W20" s="34" t="s">
        <v>123</v>
      </c>
      <c r="X20" s="25"/>
      <c r="Y20" s="25"/>
      <c r="Z20" s="25"/>
      <c r="AA20" s="25"/>
      <c r="AB20" s="25"/>
      <c r="AC20" s="34" t="s">
        <v>123</v>
      </c>
      <c r="AD20" s="34" t="s">
        <v>123</v>
      </c>
      <c r="AE20" s="25"/>
      <c r="AF20" s="25"/>
      <c r="AG20" s="25"/>
      <c r="AH20" s="25"/>
      <c r="AI20" s="25"/>
      <c r="AJ20" s="34" t="s">
        <v>123</v>
      </c>
      <c r="AK20" s="34" t="s">
        <v>123</v>
      </c>
      <c r="AL20" s="25"/>
      <c r="AM20" s="25"/>
      <c r="AN20" s="25"/>
      <c r="AO20" s="25"/>
      <c r="AP20" s="26"/>
      <c r="AQ20" s="27">
        <f t="shared" si="0"/>
        <v>99</v>
      </c>
    </row>
    <row r="21" spans="1:43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1"/>
        <v>18</v>
      </c>
      <c r="I21" s="31">
        <f t="shared" si="2"/>
        <v>0</v>
      </c>
      <c r="J21" s="31">
        <f t="shared" si="3"/>
        <v>0</v>
      </c>
      <c r="K21" s="31">
        <f t="shared" si="4"/>
        <v>0</v>
      </c>
      <c r="L21" s="31">
        <f t="shared" si="5"/>
        <v>0</v>
      </c>
      <c r="M21" s="31">
        <f t="shared" si="6"/>
        <v>0</v>
      </c>
      <c r="N21" s="31">
        <f t="shared" si="7"/>
        <v>0</v>
      </c>
      <c r="O21" s="32">
        <f t="shared" si="8"/>
        <v>0</v>
      </c>
      <c r="P21" s="4">
        <f t="shared" si="9"/>
        <v>0</v>
      </c>
      <c r="Q21" s="4">
        <f t="shared" si="10"/>
        <v>0</v>
      </c>
      <c r="R21" s="25"/>
      <c r="S21" s="25"/>
      <c r="T21" s="25"/>
      <c r="U21" s="25"/>
      <c r="V21" s="34" t="s">
        <v>123</v>
      </c>
      <c r="W21" s="34" t="s">
        <v>123</v>
      </c>
      <c r="X21" s="25"/>
      <c r="Y21" s="25"/>
      <c r="Z21" s="25"/>
      <c r="AA21" s="25"/>
      <c r="AB21" s="25"/>
      <c r="AC21" s="34" t="s">
        <v>123</v>
      </c>
      <c r="AD21" s="34" t="s">
        <v>123</v>
      </c>
      <c r="AE21" s="25"/>
      <c r="AF21" s="25"/>
      <c r="AG21" s="25"/>
      <c r="AH21" s="25"/>
      <c r="AI21" s="25"/>
      <c r="AJ21" s="34" t="s">
        <v>123</v>
      </c>
      <c r="AK21" s="34" t="s">
        <v>123</v>
      </c>
      <c r="AL21" s="25"/>
      <c r="AM21" s="25"/>
      <c r="AN21" s="25"/>
      <c r="AO21" s="25"/>
      <c r="AP21" s="26"/>
      <c r="AQ21" s="27">
        <f t="shared" si="0"/>
        <v>99</v>
      </c>
    </row>
    <row r="22" spans="1:43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1"/>
        <v>18</v>
      </c>
      <c r="I22" s="31">
        <f t="shared" si="2"/>
        <v>0</v>
      </c>
      <c r="J22" s="31">
        <f t="shared" si="3"/>
        <v>0</v>
      </c>
      <c r="K22" s="31">
        <f t="shared" si="4"/>
        <v>0</v>
      </c>
      <c r="L22" s="31">
        <f t="shared" si="5"/>
        <v>0</v>
      </c>
      <c r="M22" s="31">
        <f t="shared" si="6"/>
        <v>0</v>
      </c>
      <c r="N22" s="31">
        <f t="shared" si="7"/>
        <v>0</v>
      </c>
      <c r="O22" s="32">
        <f t="shared" si="8"/>
        <v>0</v>
      </c>
      <c r="P22" s="4">
        <f t="shared" si="9"/>
        <v>0</v>
      </c>
      <c r="Q22" s="4">
        <f t="shared" si="10"/>
        <v>0</v>
      </c>
      <c r="R22" s="25"/>
      <c r="S22" s="25"/>
      <c r="T22" s="25"/>
      <c r="U22" s="25"/>
      <c r="V22" s="34" t="s">
        <v>123</v>
      </c>
      <c r="W22" s="34" t="s">
        <v>123</v>
      </c>
      <c r="X22" s="25"/>
      <c r="Y22" s="25"/>
      <c r="Z22" s="25"/>
      <c r="AA22" s="25"/>
      <c r="AB22" s="25"/>
      <c r="AC22" s="34" t="s">
        <v>123</v>
      </c>
      <c r="AD22" s="34" t="s">
        <v>123</v>
      </c>
      <c r="AE22" s="25"/>
      <c r="AF22" s="25"/>
      <c r="AG22" s="25"/>
      <c r="AH22" s="25"/>
      <c r="AI22" s="25"/>
      <c r="AJ22" s="34" t="s">
        <v>123</v>
      </c>
      <c r="AK22" s="34" t="s">
        <v>123</v>
      </c>
      <c r="AL22" s="25"/>
      <c r="AM22" s="25"/>
      <c r="AN22" s="25"/>
      <c r="AO22" s="25"/>
      <c r="AP22" s="26"/>
      <c r="AQ22" s="27">
        <f t="shared" si="0"/>
        <v>99</v>
      </c>
    </row>
    <row r="23" spans="1:43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1"/>
        <v>18</v>
      </c>
      <c r="I23" s="31">
        <f t="shared" si="2"/>
        <v>0</v>
      </c>
      <c r="J23" s="31">
        <f t="shared" si="3"/>
        <v>0</v>
      </c>
      <c r="K23" s="31">
        <f t="shared" si="4"/>
        <v>0</v>
      </c>
      <c r="L23" s="31">
        <f t="shared" si="5"/>
        <v>0</v>
      </c>
      <c r="M23" s="31">
        <f t="shared" si="6"/>
        <v>0</v>
      </c>
      <c r="N23" s="31">
        <f t="shared" si="7"/>
        <v>0</v>
      </c>
      <c r="O23" s="32">
        <f t="shared" si="8"/>
        <v>0</v>
      </c>
      <c r="P23" s="4">
        <f t="shared" si="9"/>
        <v>0</v>
      </c>
      <c r="Q23" s="4">
        <f t="shared" si="10"/>
        <v>0</v>
      </c>
      <c r="R23" s="25"/>
      <c r="S23" s="25"/>
      <c r="T23" s="25"/>
      <c r="U23" s="25"/>
      <c r="V23" s="34" t="s">
        <v>123</v>
      </c>
      <c r="W23" s="34" t="s">
        <v>123</v>
      </c>
      <c r="X23" s="25"/>
      <c r="Y23" s="25"/>
      <c r="Z23" s="25"/>
      <c r="AA23" s="25"/>
      <c r="AB23" s="25"/>
      <c r="AC23" s="34" t="s">
        <v>123</v>
      </c>
      <c r="AD23" s="34" t="s">
        <v>123</v>
      </c>
      <c r="AE23" s="25"/>
      <c r="AF23" s="25"/>
      <c r="AG23" s="25"/>
      <c r="AH23" s="25"/>
      <c r="AI23" s="25"/>
      <c r="AJ23" s="34" t="s">
        <v>123</v>
      </c>
      <c r="AK23" s="34" t="s">
        <v>123</v>
      </c>
      <c r="AL23" s="25"/>
      <c r="AM23" s="25"/>
      <c r="AN23" s="25"/>
      <c r="AO23" s="25"/>
      <c r="AP23" s="26"/>
      <c r="AQ23" s="27">
        <f t="shared" si="0"/>
        <v>99</v>
      </c>
    </row>
    <row r="24" spans="1:43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1"/>
        <v>18</v>
      </c>
      <c r="I24" s="31">
        <f t="shared" si="2"/>
        <v>0</v>
      </c>
      <c r="J24" s="31">
        <f t="shared" si="3"/>
        <v>0</v>
      </c>
      <c r="K24" s="31">
        <f t="shared" si="4"/>
        <v>0</v>
      </c>
      <c r="L24" s="31">
        <f t="shared" si="5"/>
        <v>0</v>
      </c>
      <c r="M24" s="31">
        <f t="shared" si="6"/>
        <v>0</v>
      </c>
      <c r="N24" s="31">
        <f t="shared" si="7"/>
        <v>0</v>
      </c>
      <c r="O24" s="32">
        <f t="shared" si="8"/>
        <v>0</v>
      </c>
      <c r="P24" s="4">
        <f t="shared" si="9"/>
        <v>0</v>
      </c>
      <c r="Q24" s="4">
        <f t="shared" si="10"/>
        <v>0</v>
      </c>
      <c r="R24" s="25"/>
      <c r="S24" s="25"/>
      <c r="T24" s="25"/>
      <c r="U24" s="25"/>
      <c r="V24" s="34" t="s">
        <v>123</v>
      </c>
      <c r="W24" s="34" t="s">
        <v>123</v>
      </c>
      <c r="X24" s="25"/>
      <c r="Y24" s="25"/>
      <c r="Z24" s="25"/>
      <c r="AA24" s="25"/>
      <c r="AB24" s="25"/>
      <c r="AC24" s="34" t="s">
        <v>123</v>
      </c>
      <c r="AD24" s="34" t="s">
        <v>123</v>
      </c>
      <c r="AE24" s="25"/>
      <c r="AF24" s="25"/>
      <c r="AG24" s="25"/>
      <c r="AH24" s="25"/>
      <c r="AI24" s="25"/>
      <c r="AJ24" s="34" t="s">
        <v>123</v>
      </c>
      <c r="AK24" s="34" t="s">
        <v>123</v>
      </c>
      <c r="AL24" s="25"/>
      <c r="AM24" s="25"/>
      <c r="AN24" s="25"/>
      <c r="AO24" s="25"/>
      <c r="AP24" s="26"/>
      <c r="AQ24" s="27">
        <f t="shared" si="0"/>
        <v>99</v>
      </c>
    </row>
    <row r="25" spans="1:43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1"/>
        <v>18</v>
      </c>
      <c r="I25" s="31">
        <f t="shared" si="2"/>
        <v>0</v>
      </c>
      <c r="J25" s="31">
        <f t="shared" si="3"/>
        <v>0</v>
      </c>
      <c r="K25" s="31">
        <f t="shared" si="4"/>
        <v>0</v>
      </c>
      <c r="L25" s="31">
        <f t="shared" si="5"/>
        <v>0</v>
      </c>
      <c r="M25" s="31">
        <f t="shared" si="6"/>
        <v>0</v>
      </c>
      <c r="N25" s="31">
        <f t="shared" si="7"/>
        <v>0</v>
      </c>
      <c r="O25" s="32">
        <f t="shared" si="8"/>
        <v>0</v>
      </c>
      <c r="P25" s="4">
        <f t="shared" si="9"/>
        <v>0</v>
      </c>
      <c r="Q25" s="4">
        <f t="shared" si="10"/>
        <v>0</v>
      </c>
      <c r="R25" s="25"/>
      <c r="S25" s="25"/>
      <c r="T25" s="25"/>
      <c r="U25" s="25"/>
      <c r="V25" s="34" t="s">
        <v>123</v>
      </c>
      <c r="W25" s="34" t="s">
        <v>123</v>
      </c>
      <c r="X25" s="25"/>
      <c r="Y25" s="25"/>
      <c r="Z25" s="25"/>
      <c r="AA25" s="25"/>
      <c r="AB25" s="25"/>
      <c r="AC25" s="34" t="s">
        <v>123</v>
      </c>
      <c r="AD25" s="34" t="s">
        <v>123</v>
      </c>
      <c r="AE25" s="25"/>
      <c r="AF25" s="25"/>
      <c r="AG25" s="25"/>
      <c r="AH25" s="25"/>
      <c r="AI25" s="25"/>
      <c r="AJ25" s="34" t="s">
        <v>123</v>
      </c>
      <c r="AK25" s="34" t="s">
        <v>123</v>
      </c>
      <c r="AL25" s="25"/>
      <c r="AM25" s="25"/>
      <c r="AN25" s="25"/>
      <c r="AO25" s="25"/>
      <c r="AP25" s="26"/>
      <c r="AQ25" s="27">
        <f t="shared" si="0"/>
        <v>99</v>
      </c>
    </row>
    <row r="26" spans="1:43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1"/>
        <v>18</v>
      </c>
      <c r="I26" s="31">
        <f t="shared" si="2"/>
        <v>0</v>
      </c>
      <c r="J26" s="31">
        <f t="shared" si="3"/>
        <v>0</v>
      </c>
      <c r="K26" s="31">
        <f t="shared" si="4"/>
        <v>0</v>
      </c>
      <c r="L26" s="31">
        <f t="shared" si="5"/>
        <v>0</v>
      </c>
      <c r="M26" s="31">
        <f t="shared" si="6"/>
        <v>0</v>
      </c>
      <c r="N26" s="31">
        <f t="shared" si="7"/>
        <v>0</v>
      </c>
      <c r="O26" s="32">
        <f t="shared" si="8"/>
        <v>0</v>
      </c>
      <c r="P26" s="4">
        <f t="shared" si="9"/>
        <v>0</v>
      </c>
      <c r="Q26" s="4">
        <f t="shared" si="10"/>
        <v>0</v>
      </c>
      <c r="R26" s="25"/>
      <c r="S26" s="25"/>
      <c r="T26" s="25"/>
      <c r="U26" s="25"/>
      <c r="V26" s="34" t="s">
        <v>123</v>
      </c>
      <c r="W26" s="34" t="s">
        <v>123</v>
      </c>
      <c r="X26" s="25"/>
      <c r="Y26" s="25"/>
      <c r="Z26" s="25"/>
      <c r="AA26" s="25"/>
      <c r="AB26" s="25"/>
      <c r="AC26" s="34" t="s">
        <v>123</v>
      </c>
      <c r="AD26" s="34" t="s">
        <v>123</v>
      </c>
      <c r="AE26" s="25"/>
      <c r="AF26" s="25"/>
      <c r="AG26" s="25"/>
      <c r="AH26" s="25"/>
      <c r="AI26" s="25"/>
      <c r="AJ26" s="34" t="s">
        <v>123</v>
      </c>
      <c r="AK26" s="34" t="s">
        <v>123</v>
      </c>
      <c r="AL26" s="25"/>
      <c r="AM26" s="25"/>
      <c r="AN26" s="25"/>
      <c r="AO26" s="25"/>
      <c r="AP26" s="26"/>
      <c r="AQ26" s="27">
        <f t="shared" si="0"/>
        <v>99</v>
      </c>
    </row>
    <row r="27" spans="1:43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1"/>
        <v>18</v>
      </c>
      <c r="I27" s="31">
        <f t="shared" si="2"/>
        <v>0</v>
      </c>
      <c r="J27" s="31">
        <f t="shared" si="3"/>
        <v>0</v>
      </c>
      <c r="K27" s="31">
        <f t="shared" si="4"/>
        <v>0</v>
      </c>
      <c r="L27" s="31">
        <f t="shared" si="5"/>
        <v>0</v>
      </c>
      <c r="M27" s="31">
        <f t="shared" si="6"/>
        <v>0</v>
      </c>
      <c r="N27" s="31">
        <f t="shared" si="7"/>
        <v>0</v>
      </c>
      <c r="O27" s="32">
        <f t="shared" si="8"/>
        <v>0</v>
      </c>
      <c r="P27" s="4">
        <f t="shared" si="9"/>
        <v>0</v>
      </c>
      <c r="Q27" s="4">
        <f t="shared" si="10"/>
        <v>0</v>
      </c>
      <c r="R27" s="25"/>
      <c r="S27" s="25"/>
      <c r="T27" s="25"/>
      <c r="U27" s="25"/>
      <c r="V27" s="34" t="s">
        <v>123</v>
      </c>
      <c r="W27" s="34" t="s">
        <v>123</v>
      </c>
      <c r="X27" s="25"/>
      <c r="Y27" s="25"/>
      <c r="Z27" s="25"/>
      <c r="AA27" s="25"/>
      <c r="AB27" s="25"/>
      <c r="AC27" s="34" t="s">
        <v>123</v>
      </c>
      <c r="AD27" s="34" t="s">
        <v>123</v>
      </c>
      <c r="AE27" s="25"/>
      <c r="AF27" s="25"/>
      <c r="AG27" s="25"/>
      <c r="AH27" s="25"/>
      <c r="AI27" s="25"/>
      <c r="AJ27" s="34" t="s">
        <v>123</v>
      </c>
      <c r="AK27" s="34" t="s">
        <v>123</v>
      </c>
      <c r="AL27" s="25"/>
      <c r="AM27" s="25"/>
      <c r="AN27" s="25"/>
      <c r="AO27" s="25"/>
      <c r="AP27" s="26"/>
      <c r="AQ27" s="27">
        <f t="shared" si="0"/>
        <v>99</v>
      </c>
    </row>
    <row r="28" spans="1:43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1"/>
        <v>18</v>
      </c>
      <c r="I28" s="31">
        <f t="shared" si="2"/>
        <v>0</v>
      </c>
      <c r="J28" s="31">
        <f t="shared" si="3"/>
        <v>0</v>
      </c>
      <c r="K28" s="31">
        <f t="shared" si="4"/>
        <v>0</v>
      </c>
      <c r="L28" s="31">
        <f t="shared" si="5"/>
        <v>0</v>
      </c>
      <c r="M28" s="31">
        <f t="shared" si="6"/>
        <v>0</v>
      </c>
      <c r="N28" s="31">
        <f t="shared" si="7"/>
        <v>0</v>
      </c>
      <c r="O28" s="32">
        <f t="shared" si="8"/>
        <v>0</v>
      </c>
      <c r="P28" s="4">
        <f t="shared" si="9"/>
        <v>0</v>
      </c>
      <c r="Q28" s="4">
        <f t="shared" si="10"/>
        <v>0</v>
      </c>
      <c r="R28" s="25"/>
      <c r="S28" s="25"/>
      <c r="T28" s="25"/>
      <c r="U28" s="25"/>
      <c r="V28" s="34" t="s">
        <v>123</v>
      </c>
      <c r="W28" s="34" t="s">
        <v>123</v>
      </c>
      <c r="X28" s="25"/>
      <c r="Y28" s="25"/>
      <c r="Z28" s="25"/>
      <c r="AA28" s="25"/>
      <c r="AB28" s="25"/>
      <c r="AC28" s="34" t="s">
        <v>123</v>
      </c>
      <c r="AD28" s="34" t="s">
        <v>123</v>
      </c>
      <c r="AE28" s="25"/>
      <c r="AF28" s="25"/>
      <c r="AG28" s="25"/>
      <c r="AH28" s="25"/>
      <c r="AI28" s="25"/>
      <c r="AJ28" s="34" t="s">
        <v>123</v>
      </c>
      <c r="AK28" s="34" t="s">
        <v>123</v>
      </c>
      <c r="AL28" s="25"/>
      <c r="AM28" s="25"/>
      <c r="AN28" s="25"/>
      <c r="AO28" s="25"/>
      <c r="AP28" s="26"/>
      <c r="AQ28" s="27">
        <f t="shared" si="0"/>
        <v>99</v>
      </c>
    </row>
    <row r="29" spans="1:43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1"/>
        <v>18</v>
      </c>
      <c r="I29" s="31">
        <f t="shared" si="2"/>
        <v>0</v>
      </c>
      <c r="J29" s="31">
        <f t="shared" si="3"/>
        <v>0</v>
      </c>
      <c r="K29" s="31">
        <f t="shared" si="4"/>
        <v>0</v>
      </c>
      <c r="L29" s="31">
        <f t="shared" si="5"/>
        <v>0</v>
      </c>
      <c r="M29" s="31">
        <f t="shared" si="6"/>
        <v>0</v>
      </c>
      <c r="N29" s="31">
        <f t="shared" si="7"/>
        <v>0</v>
      </c>
      <c r="O29" s="32">
        <f t="shared" si="8"/>
        <v>0</v>
      </c>
      <c r="P29" s="4">
        <f t="shared" si="9"/>
        <v>0</v>
      </c>
      <c r="Q29" s="4">
        <f t="shared" si="10"/>
        <v>0</v>
      </c>
      <c r="R29" s="25"/>
      <c r="S29" s="25"/>
      <c r="T29" s="25"/>
      <c r="U29" s="25"/>
      <c r="V29" s="34" t="s">
        <v>123</v>
      </c>
      <c r="W29" s="34" t="s">
        <v>123</v>
      </c>
      <c r="X29" s="25"/>
      <c r="Y29" s="25"/>
      <c r="Z29" s="25"/>
      <c r="AA29" s="25"/>
      <c r="AB29" s="25"/>
      <c r="AC29" s="34" t="s">
        <v>123</v>
      </c>
      <c r="AD29" s="34" t="s">
        <v>123</v>
      </c>
      <c r="AE29" s="25"/>
      <c r="AF29" s="25"/>
      <c r="AG29" s="25"/>
      <c r="AH29" s="25"/>
      <c r="AI29" s="25"/>
      <c r="AJ29" s="34" t="s">
        <v>123</v>
      </c>
      <c r="AK29" s="34" t="s">
        <v>123</v>
      </c>
      <c r="AL29" s="25"/>
      <c r="AM29" s="25"/>
      <c r="AN29" s="25"/>
      <c r="AO29" s="25"/>
      <c r="AP29" s="26"/>
      <c r="AQ29" s="27">
        <f t="shared" si="0"/>
        <v>99</v>
      </c>
    </row>
    <row r="30" spans="1:43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90"/>
      <c r="S30" s="90"/>
      <c r="T30" s="90"/>
      <c r="U30" s="90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35"/>
      <c r="AQ30" s="1"/>
    </row>
    <row r="31" spans="1:43" ht="12.75" customHeight="1" x14ac:dyDescent="0.2">
      <c r="A31" s="1"/>
      <c r="B31" s="2"/>
      <c r="C31" s="2"/>
      <c r="D31" s="2"/>
      <c r="E31" s="2"/>
      <c r="F31" s="2"/>
      <c r="G31" s="2"/>
      <c r="H31" s="151" t="s">
        <v>149</v>
      </c>
      <c r="I31" s="151"/>
      <c r="J31" s="151"/>
      <c r="K31" s="151"/>
      <c r="L31" s="151"/>
      <c r="M31" s="151"/>
      <c r="N31" s="151"/>
      <c r="O31" s="152"/>
      <c r="P31" s="36"/>
      <c r="Q31" s="36"/>
      <c r="R31" s="124"/>
      <c r="S31" s="124"/>
      <c r="T31" s="124"/>
      <c r="U31" s="25"/>
      <c r="V31" s="38"/>
      <c r="W31" s="38"/>
      <c r="X31" s="124"/>
      <c r="Y31" s="124"/>
      <c r="Z31" s="25"/>
      <c r="AA31" s="124"/>
      <c r="AB31" s="25"/>
      <c r="AC31" s="38"/>
      <c r="AD31" s="38"/>
      <c r="AE31" s="124"/>
      <c r="AF31" s="124"/>
      <c r="AG31" s="124"/>
      <c r="AH31" s="124"/>
      <c r="AI31" s="124"/>
      <c r="AJ31" s="38"/>
      <c r="AK31" s="38"/>
      <c r="AL31" s="124"/>
      <c r="AM31" s="124"/>
      <c r="AN31" s="124"/>
      <c r="AO31" s="25"/>
      <c r="AP31" s="37"/>
    </row>
    <row r="32" spans="1:43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25"/>
      <c r="S32" s="25"/>
      <c r="T32" s="25"/>
      <c r="U32" s="25"/>
      <c r="V32" s="38"/>
      <c r="W32" s="38"/>
      <c r="X32" s="25"/>
      <c r="Y32" s="25"/>
      <c r="Z32" s="25"/>
      <c r="AA32" s="25"/>
      <c r="AB32" s="25"/>
      <c r="AC32" s="38"/>
      <c r="AD32" s="38"/>
      <c r="AE32" s="25"/>
      <c r="AF32" s="25"/>
      <c r="AG32" s="25"/>
      <c r="AH32" s="25"/>
      <c r="AI32" s="25"/>
      <c r="AJ32" s="38"/>
      <c r="AK32" s="38"/>
      <c r="AL32" s="25"/>
      <c r="AM32" s="25"/>
      <c r="AN32" s="25"/>
      <c r="AO32" s="25"/>
      <c r="AP32" s="39"/>
    </row>
    <row r="33" spans="1:41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">
      <c r="A34" s="3" t="s">
        <v>148</v>
      </c>
      <c r="B34" s="3"/>
      <c r="C34" s="3" t="s">
        <v>153</v>
      </c>
      <c r="H34" t="s">
        <v>152</v>
      </c>
    </row>
    <row r="35" spans="1:41" ht="38.25" x14ac:dyDescent="0.2">
      <c r="A35" s="1" t="s">
        <v>154</v>
      </c>
      <c r="B35" s="1" t="s">
        <v>155</v>
      </c>
      <c r="C35" s="3"/>
    </row>
    <row r="36" spans="1:41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41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41" ht="38.25" x14ac:dyDescent="0.2">
      <c r="A38" s="3" t="s">
        <v>160</v>
      </c>
      <c r="B38" s="3" t="s">
        <v>141</v>
      </c>
      <c r="C38" s="3" t="s">
        <v>157</v>
      </c>
    </row>
    <row r="39" spans="1:41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41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41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41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41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41" x14ac:dyDescent="0.2">
      <c r="C44" s="1"/>
    </row>
    <row r="45" spans="1:41" x14ac:dyDescent="0.2">
      <c r="F45" s="54"/>
      <c r="G45" s="54"/>
      <c r="H45" s="54"/>
      <c r="I45" s="54"/>
      <c r="J45" s="54"/>
      <c r="K45" s="54"/>
      <c r="L45" s="54"/>
    </row>
    <row r="46" spans="1:41" x14ac:dyDescent="0.2"/>
    <row r="47" spans="1:41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41" ht="25.5" x14ac:dyDescent="0.2">
      <c r="A48" s="42" t="s">
        <v>172</v>
      </c>
      <c r="B48" s="42">
        <f>COUNTBLANK(R1:AO1)</f>
        <v>18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99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f>[1]Septiembre!B50</f>
        <v>951.5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conditionalFormatting sqref="O4:O29">
    <cfRule type="cellIs" dxfId="51" priority="1" operator="greaterThan">
      <formula>3.9</formula>
    </cfRule>
    <cfRule type="cellIs" dxfId="50" priority="2" operator="between">
      <formula>2</formula>
      <formula>3.9</formula>
    </cfRule>
    <cfRule type="cellIs" dxfId="49" priority="6" stopIfTrue="1" operator="between">
      <formula>1</formula>
      <formula>1.9</formula>
    </cfRule>
  </conditionalFormatting>
  <conditionalFormatting sqref="P4:Q29">
    <cfRule type="cellIs" dxfId="48" priority="3" stopIfTrue="1" operator="between">
      <formula>0</formula>
      <formula>2.9</formula>
    </cfRule>
    <cfRule type="cellIs" dxfId="47" priority="4" stopIfTrue="1" operator="between">
      <formula>3</formula>
      <formula>3.9</formula>
    </cfRule>
    <cfRule type="cellIs" dxfId="46" priority="5" stopIfTrue="1" operator="greaterThan">
      <formula>3.9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F878-CEF5-4435-B157-8851C7276928}">
  <dimension ref="A1:AQ114"/>
  <sheetViews>
    <sheetView workbookViewId="0">
      <pane xSplit="4" ySplit="3" topLeftCell="E4" activePane="bottomRight" state="frozen"/>
      <selection pane="topRight"/>
      <selection pane="bottomLeft" activeCell="AP25" sqref="AP25:AQ26"/>
      <selection pane="bottomRight" activeCell="F4" sqref="F4:G29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41" width="10.28515625" customWidth="1"/>
    <col min="42" max="42" width="9.140625"/>
    <col min="43" max="43" width="14.42578125" bestFit="1" customWidth="1"/>
  </cols>
  <sheetData>
    <row r="1" spans="1:43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/>
      <c r="U1" s="20"/>
      <c r="V1" s="20" t="s">
        <v>123</v>
      </c>
      <c r="W1" s="20" t="s">
        <v>123</v>
      </c>
      <c r="X1" s="20"/>
      <c r="Y1" s="20"/>
      <c r="Z1" s="20"/>
      <c r="AA1" s="20"/>
      <c r="AB1" s="20"/>
      <c r="AC1" s="20" t="s">
        <v>123</v>
      </c>
      <c r="AD1" s="20" t="s">
        <v>123</v>
      </c>
      <c r="AE1" s="20"/>
      <c r="AF1" s="20"/>
      <c r="AG1" s="20"/>
      <c r="AH1" s="20"/>
      <c r="AI1" s="20"/>
      <c r="AJ1" s="20" t="s">
        <v>123</v>
      </c>
      <c r="AK1" s="20" t="s">
        <v>123</v>
      </c>
      <c r="AL1" s="20"/>
      <c r="AM1" s="20"/>
      <c r="AN1" s="20"/>
      <c r="AO1" s="20"/>
      <c r="AP1" s="23"/>
      <c r="AQ1" s="24" t="s">
        <v>124</v>
      </c>
    </row>
    <row r="2" spans="1:43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127</v>
      </c>
      <c r="S2" s="3" t="s">
        <v>128</v>
      </c>
      <c r="T2" s="3" t="s">
        <v>129</v>
      </c>
      <c r="U2" s="25" t="s">
        <v>130</v>
      </c>
      <c r="V2" s="3" t="s">
        <v>131</v>
      </c>
      <c r="W2" s="3" t="s">
        <v>132</v>
      </c>
      <c r="X2" s="3" t="s">
        <v>126</v>
      </c>
      <c r="Y2" s="3" t="s">
        <v>127</v>
      </c>
      <c r="Z2" s="3" t="s">
        <v>128</v>
      </c>
      <c r="AA2" s="3" t="s">
        <v>129</v>
      </c>
      <c r="AB2" s="25" t="s">
        <v>130</v>
      </c>
      <c r="AC2" s="3" t="s">
        <v>131</v>
      </c>
      <c r="AD2" s="3" t="s">
        <v>132</v>
      </c>
      <c r="AE2" s="3" t="s">
        <v>126</v>
      </c>
      <c r="AF2" s="3" t="s">
        <v>127</v>
      </c>
      <c r="AG2" s="3" t="s">
        <v>128</v>
      </c>
      <c r="AH2" s="3" t="s">
        <v>129</v>
      </c>
      <c r="AI2" s="25" t="s">
        <v>130</v>
      </c>
      <c r="AJ2" s="3" t="s">
        <v>131</v>
      </c>
      <c r="AK2" s="3" t="s">
        <v>132</v>
      </c>
      <c r="AL2" s="3" t="s">
        <v>126</v>
      </c>
      <c r="AM2" s="3" t="s">
        <v>127</v>
      </c>
      <c r="AN2" s="3" t="s">
        <v>128</v>
      </c>
      <c r="AO2" s="3" t="s">
        <v>129</v>
      </c>
      <c r="AP2" s="26"/>
      <c r="AQ2" s="27" t="s">
        <v>133</v>
      </c>
    </row>
    <row r="3" spans="1:43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46084</v>
      </c>
      <c r="S3" s="29">
        <v>46085</v>
      </c>
      <c r="T3" s="29">
        <v>46086</v>
      </c>
      <c r="U3" s="29">
        <v>46087</v>
      </c>
      <c r="V3" s="29">
        <v>46088</v>
      </c>
      <c r="W3" s="29">
        <v>46089</v>
      </c>
      <c r="X3" s="29">
        <v>46090</v>
      </c>
      <c r="Y3" s="29">
        <v>46091</v>
      </c>
      <c r="Z3" s="29">
        <v>46092</v>
      </c>
      <c r="AA3" s="29">
        <v>46093</v>
      </c>
      <c r="AB3" s="29">
        <v>46094</v>
      </c>
      <c r="AC3" s="29">
        <v>46095</v>
      </c>
      <c r="AD3" s="29">
        <v>46096</v>
      </c>
      <c r="AE3" s="29">
        <v>46097</v>
      </c>
      <c r="AF3" s="29">
        <v>46098</v>
      </c>
      <c r="AG3" s="29">
        <v>46099</v>
      </c>
      <c r="AH3" s="29">
        <v>46100</v>
      </c>
      <c r="AI3" s="29">
        <v>46101</v>
      </c>
      <c r="AJ3" s="29">
        <v>46102</v>
      </c>
      <c r="AK3" s="29">
        <v>46103</v>
      </c>
      <c r="AL3" s="29">
        <v>46104</v>
      </c>
      <c r="AM3" s="29">
        <v>46105</v>
      </c>
      <c r="AN3" s="29">
        <v>46106</v>
      </c>
      <c r="AO3" s="29">
        <v>46107</v>
      </c>
      <c r="AP3" s="26"/>
      <c r="AQ3" s="27" t="s">
        <v>148</v>
      </c>
    </row>
    <row r="4" spans="1:43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 t="shared" ref="H4:H29" si="0">COUNTBLANK(R4:AO4)</f>
        <v>18</v>
      </c>
      <c r="I4" s="31">
        <f t="shared" ref="I4:I29" si="1">COUNTIF(R4:AO4,"FJ")</f>
        <v>0</v>
      </c>
      <c r="J4" s="31">
        <f t="shared" ref="J4:J29" si="2">COUNTIF(R4:AO4,"RJ")</f>
        <v>0</v>
      </c>
      <c r="K4" s="31">
        <f t="shared" ref="K4:K29" si="3">COUNTIF(R4:AO4,"SAFJ")</f>
        <v>0</v>
      </c>
      <c r="L4" s="31">
        <f t="shared" ref="L4:L29" si="4">COUNTIF(R4:AO4,"F")</f>
        <v>0</v>
      </c>
      <c r="M4" s="31">
        <f t="shared" ref="M4:M29" si="5">COUNTIF(R4:AO4,"R")</f>
        <v>0</v>
      </c>
      <c r="N4" s="31">
        <f t="shared" ref="N4:N29" si="6">COUNTIF(R4:AO4,"SAF")</f>
        <v>0</v>
      </c>
      <c r="O4" s="32">
        <f t="shared" ref="O4:O29" si="7">(L4+(M4/2))+(N4/2)</f>
        <v>0</v>
      </c>
      <c r="P4" s="4">
        <f t="shared" ref="P4:P29" si="8">I4+L4</f>
        <v>0</v>
      </c>
      <c r="Q4" s="4">
        <f t="shared" ref="Q4:Q29" si="9">SUM(I4:N4)</f>
        <v>0</v>
      </c>
      <c r="R4" s="25"/>
      <c r="S4" s="128"/>
      <c r="T4" s="128"/>
      <c r="U4" s="25"/>
      <c r="V4" s="34" t="s">
        <v>123</v>
      </c>
      <c r="W4" s="34" t="s">
        <v>123</v>
      </c>
      <c r="X4" s="25"/>
      <c r="Y4" s="25"/>
      <c r="Z4" s="25"/>
      <c r="AA4" s="25"/>
      <c r="AB4" s="25"/>
      <c r="AC4" s="34" t="s">
        <v>123</v>
      </c>
      <c r="AD4" s="34" t="s">
        <v>123</v>
      </c>
      <c r="AE4" s="25"/>
      <c r="AF4" s="25"/>
      <c r="AG4" s="25"/>
      <c r="AH4" s="25"/>
      <c r="AI4" s="25"/>
      <c r="AJ4" s="34" t="s">
        <v>123</v>
      </c>
      <c r="AK4" s="34" t="s">
        <v>123</v>
      </c>
      <c r="AL4" s="25"/>
      <c r="AM4" s="25"/>
      <c r="AN4" s="25"/>
      <c r="AO4" s="25"/>
      <c r="AP4" s="26"/>
      <c r="AQ4" s="27">
        <f t="shared" ref="AQ4:AQ29" si="10">H4*B$49</f>
        <v>99</v>
      </c>
    </row>
    <row r="5" spans="1:43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si="0"/>
        <v>18</v>
      </c>
      <c r="I5" s="31">
        <f t="shared" si="1"/>
        <v>0</v>
      </c>
      <c r="J5" s="31">
        <f t="shared" si="2"/>
        <v>0</v>
      </c>
      <c r="K5" s="31">
        <f t="shared" si="3"/>
        <v>0</v>
      </c>
      <c r="L5" s="31">
        <f t="shared" si="4"/>
        <v>0</v>
      </c>
      <c r="M5" s="31">
        <f t="shared" si="5"/>
        <v>0</v>
      </c>
      <c r="N5" s="31">
        <f t="shared" si="6"/>
        <v>0</v>
      </c>
      <c r="O5" s="32">
        <f t="shared" si="7"/>
        <v>0</v>
      </c>
      <c r="P5" s="4">
        <f t="shared" si="8"/>
        <v>0</v>
      </c>
      <c r="Q5" s="4">
        <f t="shared" si="9"/>
        <v>0</v>
      </c>
      <c r="R5" s="25"/>
      <c r="S5" s="128"/>
      <c r="T5" s="25"/>
      <c r="U5" s="25"/>
      <c r="V5" s="34" t="s">
        <v>123</v>
      </c>
      <c r="W5" s="34" t="s">
        <v>123</v>
      </c>
      <c r="X5" s="25"/>
      <c r="Y5" s="25"/>
      <c r="Z5" s="25"/>
      <c r="AA5" s="25"/>
      <c r="AB5" s="25"/>
      <c r="AC5" s="34" t="s">
        <v>123</v>
      </c>
      <c r="AD5" s="34" t="s">
        <v>123</v>
      </c>
      <c r="AE5" s="25"/>
      <c r="AF5" s="25"/>
      <c r="AG5" s="25"/>
      <c r="AH5" s="25"/>
      <c r="AI5" s="25"/>
      <c r="AJ5" s="34" t="s">
        <v>123</v>
      </c>
      <c r="AK5" s="34" t="s">
        <v>123</v>
      </c>
      <c r="AL5" s="25"/>
      <c r="AM5" s="25"/>
      <c r="AN5" s="25"/>
      <c r="AO5" s="25"/>
      <c r="AP5" s="26"/>
      <c r="AQ5" s="27">
        <f t="shared" si="10"/>
        <v>99</v>
      </c>
    </row>
    <row r="6" spans="1:43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0"/>
        <v>18</v>
      </c>
      <c r="I6" s="31">
        <f t="shared" si="1"/>
        <v>0</v>
      </c>
      <c r="J6" s="31">
        <f t="shared" si="2"/>
        <v>0</v>
      </c>
      <c r="K6" s="31">
        <f t="shared" si="3"/>
        <v>0</v>
      </c>
      <c r="L6" s="31">
        <f t="shared" si="4"/>
        <v>0</v>
      </c>
      <c r="M6" s="31">
        <f t="shared" si="5"/>
        <v>0</v>
      </c>
      <c r="N6" s="31">
        <f t="shared" si="6"/>
        <v>0</v>
      </c>
      <c r="O6" s="32">
        <f t="shared" si="7"/>
        <v>0</v>
      </c>
      <c r="P6" s="4">
        <f t="shared" si="8"/>
        <v>0</v>
      </c>
      <c r="Q6" s="4">
        <f t="shared" si="9"/>
        <v>0</v>
      </c>
      <c r="R6" s="25"/>
      <c r="S6" s="128"/>
      <c r="T6" s="25"/>
      <c r="U6" s="25"/>
      <c r="V6" s="34" t="s">
        <v>123</v>
      </c>
      <c r="W6" s="34" t="s">
        <v>123</v>
      </c>
      <c r="X6" s="25"/>
      <c r="Y6" s="25"/>
      <c r="Z6" s="25"/>
      <c r="AA6" s="25"/>
      <c r="AB6" s="25"/>
      <c r="AC6" s="34" t="s">
        <v>123</v>
      </c>
      <c r="AD6" s="34" t="s">
        <v>123</v>
      </c>
      <c r="AE6" s="25"/>
      <c r="AF6" s="25"/>
      <c r="AG6" s="25"/>
      <c r="AH6" s="25"/>
      <c r="AI6" s="25"/>
      <c r="AJ6" s="34" t="s">
        <v>123</v>
      </c>
      <c r="AK6" s="34" t="s">
        <v>123</v>
      </c>
      <c r="AL6" s="25"/>
      <c r="AM6" s="25"/>
      <c r="AN6" s="25"/>
      <c r="AO6" s="25"/>
      <c r="AP6" s="26"/>
      <c r="AQ6" s="27">
        <f t="shared" si="10"/>
        <v>99</v>
      </c>
    </row>
    <row r="7" spans="1:43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0"/>
        <v>18</v>
      </c>
      <c r="I7" s="31">
        <f t="shared" si="1"/>
        <v>0</v>
      </c>
      <c r="J7" s="31">
        <f t="shared" si="2"/>
        <v>0</v>
      </c>
      <c r="K7" s="31">
        <f t="shared" si="3"/>
        <v>0</v>
      </c>
      <c r="L7" s="31">
        <f t="shared" si="4"/>
        <v>0</v>
      </c>
      <c r="M7" s="31">
        <f t="shared" si="5"/>
        <v>0</v>
      </c>
      <c r="N7" s="31">
        <f t="shared" si="6"/>
        <v>0</v>
      </c>
      <c r="O7" s="32">
        <f t="shared" si="7"/>
        <v>0</v>
      </c>
      <c r="P7" s="4">
        <f t="shared" si="8"/>
        <v>0</v>
      </c>
      <c r="Q7" s="4">
        <f t="shared" si="9"/>
        <v>0</v>
      </c>
      <c r="R7" s="25"/>
      <c r="S7" s="128"/>
      <c r="T7" s="25"/>
      <c r="U7" s="25"/>
      <c r="V7" s="34" t="s">
        <v>123</v>
      </c>
      <c r="W7" s="34" t="s">
        <v>123</v>
      </c>
      <c r="X7" s="25"/>
      <c r="Y7" s="25"/>
      <c r="Z7" s="25"/>
      <c r="AA7" s="25"/>
      <c r="AB7" s="25"/>
      <c r="AC7" s="34" t="s">
        <v>123</v>
      </c>
      <c r="AD7" s="34" t="s">
        <v>123</v>
      </c>
      <c r="AE7" s="25"/>
      <c r="AF7" s="25"/>
      <c r="AG7" s="25"/>
      <c r="AH7" s="25"/>
      <c r="AI7" s="25"/>
      <c r="AJ7" s="34" t="s">
        <v>123</v>
      </c>
      <c r="AK7" s="34" t="s">
        <v>123</v>
      </c>
      <c r="AL7" s="25"/>
      <c r="AM7" s="25"/>
      <c r="AN7" s="25"/>
      <c r="AO7" s="25"/>
      <c r="AP7" s="26"/>
      <c r="AQ7" s="27">
        <f t="shared" si="10"/>
        <v>99</v>
      </c>
    </row>
    <row r="8" spans="1:43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0"/>
        <v>18</v>
      </c>
      <c r="I8" s="31">
        <f t="shared" si="1"/>
        <v>0</v>
      </c>
      <c r="J8" s="31">
        <f t="shared" si="2"/>
        <v>0</v>
      </c>
      <c r="K8" s="31">
        <f t="shared" si="3"/>
        <v>0</v>
      </c>
      <c r="L8" s="31">
        <f t="shared" si="4"/>
        <v>0</v>
      </c>
      <c r="M8" s="31">
        <f t="shared" si="5"/>
        <v>0</v>
      </c>
      <c r="N8" s="31">
        <f t="shared" si="6"/>
        <v>0</v>
      </c>
      <c r="O8" s="32">
        <f t="shared" si="7"/>
        <v>0</v>
      </c>
      <c r="P8" s="4">
        <f t="shared" si="8"/>
        <v>0</v>
      </c>
      <c r="Q8" s="4">
        <f t="shared" si="9"/>
        <v>0</v>
      </c>
      <c r="R8" s="3"/>
      <c r="S8" s="128"/>
      <c r="T8" s="25"/>
      <c r="U8" s="25"/>
      <c r="V8" s="34" t="s">
        <v>123</v>
      </c>
      <c r="W8" s="34" t="s">
        <v>123</v>
      </c>
      <c r="X8" s="25"/>
      <c r="Y8" s="25"/>
      <c r="Z8" s="25"/>
      <c r="AA8" s="25"/>
      <c r="AB8" s="25"/>
      <c r="AC8" s="34" t="s">
        <v>123</v>
      </c>
      <c r="AD8" s="34" t="s">
        <v>123</v>
      </c>
      <c r="AE8" s="25"/>
      <c r="AF8" s="25"/>
      <c r="AG8" s="25"/>
      <c r="AH8" s="25"/>
      <c r="AI8" s="25"/>
      <c r="AJ8" s="34" t="s">
        <v>123</v>
      </c>
      <c r="AK8" s="34" t="s">
        <v>123</v>
      </c>
      <c r="AL8" s="25"/>
      <c r="AM8" s="25"/>
      <c r="AN8" s="25"/>
      <c r="AO8" s="25"/>
      <c r="AP8" s="26"/>
      <c r="AQ8" s="27">
        <f t="shared" si="10"/>
        <v>99</v>
      </c>
    </row>
    <row r="9" spans="1:43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0"/>
        <v>18</v>
      </c>
      <c r="I9" s="31">
        <f t="shared" si="1"/>
        <v>0</v>
      </c>
      <c r="J9" s="31">
        <f t="shared" si="2"/>
        <v>0</v>
      </c>
      <c r="K9" s="31">
        <f t="shared" si="3"/>
        <v>0</v>
      </c>
      <c r="L9" s="31">
        <f t="shared" si="4"/>
        <v>0</v>
      </c>
      <c r="M9" s="31">
        <f t="shared" si="5"/>
        <v>0</v>
      </c>
      <c r="N9" s="31">
        <f t="shared" si="6"/>
        <v>0</v>
      </c>
      <c r="O9" s="32">
        <f t="shared" si="7"/>
        <v>0</v>
      </c>
      <c r="P9" s="4">
        <f t="shared" si="8"/>
        <v>0</v>
      </c>
      <c r="Q9" s="4">
        <f t="shared" si="9"/>
        <v>0</v>
      </c>
      <c r="R9" s="3"/>
      <c r="S9" s="128"/>
      <c r="T9" s="25"/>
      <c r="U9" s="25"/>
      <c r="V9" s="34" t="s">
        <v>123</v>
      </c>
      <c r="W9" s="34" t="s">
        <v>123</v>
      </c>
      <c r="X9" s="25"/>
      <c r="Y9" s="25"/>
      <c r="Z9" s="25"/>
      <c r="AA9" s="25"/>
      <c r="AB9" s="25"/>
      <c r="AC9" s="34" t="s">
        <v>123</v>
      </c>
      <c r="AD9" s="34" t="s">
        <v>123</v>
      </c>
      <c r="AE9" s="25"/>
      <c r="AF9" s="25"/>
      <c r="AG9" s="25"/>
      <c r="AH9" s="25"/>
      <c r="AI9" s="25"/>
      <c r="AJ9" s="34" t="s">
        <v>123</v>
      </c>
      <c r="AK9" s="34" t="s">
        <v>123</v>
      </c>
      <c r="AL9" s="25"/>
      <c r="AM9" s="25"/>
      <c r="AN9" s="25"/>
      <c r="AO9" s="25"/>
      <c r="AP9" s="26"/>
      <c r="AQ9" s="27">
        <f t="shared" si="10"/>
        <v>99</v>
      </c>
    </row>
    <row r="10" spans="1:43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0"/>
        <v>18</v>
      </c>
      <c r="I10" s="31">
        <f t="shared" si="1"/>
        <v>0</v>
      </c>
      <c r="J10" s="31">
        <f t="shared" si="2"/>
        <v>0</v>
      </c>
      <c r="K10" s="31">
        <f t="shared" si="3"/>
        <v>0</v>
      </c>
      <c r="L10" s="31">
        <f t="shared" si="4"/>
        <v>0</v>
      </c>
      <c r="M10" s="31">
        <f t="shared" si="5"/>
        <v>0</v>
      </c>
      <c r="N10" s="31">
        <f t="shared" si="6"/>
        <v>0</v>
      </c>
      <c r="O10" s="32">
        <f t="shared" si="7"/>
        <v>0</v>
      </c>
      <c r="P10" s="4">
        <f t="shared" si="8"/>
        <v>0</v>
      </c>
      <c r="Q10" s="4">
        <f t="shared" si="9"/>
        <v>0</v>
      </c>
      <c r="R10" s="3"/>
      <c r="S10" s="128"/>
      <c r="T10" s="25"/>
      <c r="U10" s="25"/>
      <c r="V10" s="34" t="s">
        <v>123</v>
      </c>
      <c r="W10" s="34" t="s">
        <v>123</v>
      </c>
      <c r="X10" s="25"/>
      <c r="Y10" s="25"/>
      <c r="Z10" s="25"/>
      <c r="AA10" s="25"/>
      <c r="AB10" s="25"/>
      <c r="AC10" s="34" t="s">
        <v>123</v>
      </c>
      <c r="AD10" s="34" t="s">
        <v>123</v>
      </c>
      <c r="AE10" s="25"/>
      <c r="AF10" s="25"/>
      <c r="AG10" s="25"/>
      <c r="AH10" s="25"/>
      <c r="AI10" s="25"/>
      <c r="AJ10" s="34" t="s">
        <v>123</v>
      </c>
      <c r="AK10" s="34" t="s">
        <v>123</v>
      </c>
      <c r="AL10" s="25"/>
      <c r="AM10" s="25"/>
      <c r="AN10" s="25"/>
      <c r="AO10" s="25"/>
      <c r="AP10" s="26"/>
      <c r="AQ10" s="27">
        <f t="shared" si="10"/>
        <v>99</v>
      </c>
    </row>
    <row r="11" spans="1:43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03"/>
      <c r="H11" s="30">
        <f t="shared" si="0"/>
        <v>18</v>
      </c>
      <c r="I11" s="31">
        <f t="shared" si="1"/>
        <v>0</v>
      </c>
      <c r="J11" s="31">
        <f t="shared" si="2"/>
        <v>0</v>
      </c>
      <c r="K11" s="31">
        <f t="shared" si="3"/>
        <v>0</v>
      </c>
      <c r="L11" s="31">
        <f t="shared" si="4"/>
        <v>0</v>
      </c>
      <c r="M11" s="31">
        <f t="shared" si="5"/>
        <v>0</v>
      </c>
      <c r="N11" s="31">
        <f t="shared" si="6"/>
        <v>0</v>
      </c>
      <c r="O11" s="32">
        <f t="shared" si="7"/>
        <v>0</v>
      </c>
      <c r="P11" s="4">
        <f t="shared" si="8"/>
        <v>0</v>
      </c>
      <c r="Q11" s="4">
        <f t="shared" si="9"/>
        <v>0</v>
      </c>
      <c r="R11" s="3"/>
      <c r="S11" s="128"/>
      <c r="T11" s="25"/>
      <c r="U11" s="25"/>
      <c r="V11" s="34" t="s">
        <v>123</v>
      </c>
      <c r="W11" s="34" t="s">
        <v>123</v>
      </c>
      <c r="X11" s="25"/>
      <c r="Y11" s="25"/>
      <c r="Z11" s="25"/>
      <c r="AA11" s="25"/>
      <c r="AB11" s="25"/>
      <c r="AC11" s="34" t="s">
        <v>123</v>
      </c>
      <c r="AD11" s="34" t="s">
        <v>123</v>
      </c>
      <c r="AE11" s="25"/>
      <c r="AF11" s="25"/>
      <c r="AG11" s="25"/>
      <c r="AH11" s="25"/>
      <c r="AI11" s="25"/>
      <c r="AJ11" s="34" t="s">
        <v>123</v>
      </c>
      <c r="AK11" s="34" t="s">
        <v>123</v>
      </c>
      <c r="AL11" s="25"/>
      <c r="AM11" s="25"/>
      <c r="AN11" s="25"/>
      <c r="AO11" s="25"/>
      <c r="AP11" s="26"/>
      <c r="AQ11" s="27">
        <f t="shared" si="10"/>
        <v>99</v>
      </c>
    </row>
    <row r="12" spans="1:43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0"/>
        <v>18</v>
      </c>
      <c r="I12" s="31">
        <f t="shared" si="1"/>
        <v>0</v>
      </c>
      <c r="J12" s="31">
        <f t="shared" si="2"/>
        <v>0</v>
      </c>
      <c r="K12" s="31">
        <f t="shared" si="3"/>
        <v>0</v>
      </c>
      <c r="L12" s="31">
        <f t="shared" si="4"/>
        <v>0</v>
      </c>
      <c r="M12" s="31">
        <f t="shared" si="5"/>
        <v>0</v>
      </c>
      <c r="N12" s="31">
        <f t="shared" si="6"/>
        <v>0</v>
      </c>
      <c r="O12" s="32">
        <f t="shared" si="7"/>
        <v>0</v>
      </c>
      <c r="P12" s="4">
        <f t="shared" si="8"/>
        <v>0</v>
      </c>
      <c r="Q12" s="4">
        <f t="shared" si="9"/>
        <v>0</v>
      </c>
      <c r="R12" s="3"/>
      <c r="S12" s="128"/>
      <c r="T12" s="25"/>
      <c r="U12" s="25"/>
      <c r="V12" s="34" t="s">
        <v>123</v>
      </c>
      <c r="W12" s="34" t="s">
        <v>123</v>
      </c>
      <c r="X12" s="25"/>
      <c r="Y12" s="25"/>
      <c r="Z12" s="25"/>
      <c r="AA12" s="25"/>
      <c r="AB12" s="25"/>
      <c r="AC12" s="34" t="s">
        <v>123</v>
      </c>
      <c r="AD12" s="34" t="s">
        <v>123</v>
      </c>
      <c r="AE12" s="25"/>
      <c r="AF12" s="25"/>
      <c r="AG12" s="25"/>
      <c r="AH12" s="25"/>
      <c r="AI12" s="25"/>
      <c r="AJ12" s="34" t="s">
        <v>123</v>
      </c>
      <c r="AK12" s="34" t="s">
        <v>123</v>
      </c>
      <c r="AL12" s="25"/>
      <c r="AM12" s="25"/>
      <c r="AN12" s="25"/>
      <c r="AO12" s="25"/>
      <c r="AP12" s="26"/>
      <c r="AQ12" s="27">
        <f t="shared" si="10"/>
        <v>99</v>
      </c>
    </row>
    <row r="13" spans="1:43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0"/>
        <v>18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31">
        <f t="shared" si="4"/>
        <v>0</v>
      </c>
      <c r="M13" s="31">
        <f t="shared" si="5"/>
        <v>0</v>
      </c>
      <c r="N13" s="31">
        <f t="shared" si="6"/>
        <v>0</v>
      </c>
      <c r="O13" s="32">
        <f t="shared" si="7"/>
        <v>0</v>
      </c>
      <c r="P13" s="4">
        <f t="shared" si="8"/>
        <v>0</v>
      </c>
      <c r="Q13" s="4">
        <f t="shared" si="9"/>
        <v>0</v>
      </c>
      <c r="R13" s="3"/>
      <c r="S13" s="128"/>
      <c r="T13" s="25"/>
      <c r="U13" s="25"/>
      <c r="V13" s="34" t="s">
        <v>123</v>
      </c>
      <c r="W13" s="34" t="s">
        <v>123</v>
      </c>
      <c r="X13" s="25"/>
      <c r="Y13" s="25"/>
      <c r="Z13" s="25"/>
      <c r="AA13" s="25"/>
      <c r="AB13" s="25"/>
      <c r="AC13" s="34" t="s">
        <v>123</v>
      </c>
      <c r="AD13" s="34" t="s">
        <v>123</v>
      </c>
      <c r="AE13" s="25"/>
      <c r="AF13" s="25"/>
      <c r="AG13" s="25"/>
      <c r="AH13" s="25"/>
      <c r="AI13" s="25"/>
      <c r="AJ13" s="34" t="s">
        <v>123</v>
      </c>
      <c r="AK13" s="34" t="s">
        <v>123</v>
      </c>
      <c r="AL13" s="25"/>
      <c r="AM13" s="25"/>
      <c r="AN13" s="25"/>
      <c r="AO13" s="25"/>
      <c r="AP13" s="26"/>
      <c r="AQ13" s="27">
        <f t="shared" si="10"/>
        <v>99</v>
      </c>
    </row>
    <row r="14" spans="1:43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0"/>
        <v>18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31">
        <f t="shared" si="4"/>
        <v>0</v>
      </c>
      <c r="M14" s="31">
        <f t="shared" si="5"/>
        <v>0</v>
      </c>
      <c r="N14" s="31">
        <f t="shared" si="6"/>
        <v>0</v>
      </c>
      <c r="O14" s="32">
        <f t="shared" si="7"/>
        <v>0</v>
      </c>
      <c r="P14" s="4">
        <f t="shared" si="8"/>
        <v>0</v>
      </c>
      <c r="Q14" s="4">
        <f t="shared" si="9"/>
        <v>0</v>
      </c>
      <c r="R14" s="25"/>
      <c r="S14" s="128"/>
      <c r="T14" s="25"/>
      <c r="U14" s="25"/>
      <c r="V14" s="34" t="s">
        <v>123</v>
      </c>
      <c r="W14" s="34" t="s">
        <v>123</v>
      </c>
      <c r="X14" s="25"/>
      <c r="Y14" s="25"/>
      <c r="Z14" s="25"/>
      <c r="AA14" s="25"/>
      <c r="AB14" s="25"/>
      <c r="AC14" s="34" t="s">
        <v>123</v>
      </c>
      <c r="AD14" s="34" t="s">
        <v>123</v>
      </c>
      <c r="AE14" s="25"/>
      <c r="AF14" s="25"/>
      <c r="AG14" s="25"/>
      <c r="AH14" s="25"/>
      <c r="AI14" s="25"/>
      <c r="AJ14" s="34" t="s">
        <v>123</v>
      </c>
      <c r="AK14" s="34" t="s">
        <v>123</v>
      </c>
      <c r="AL14" s="25"/>
      <c r="AM14" s="25"/>
      <c r="AN14" s="25"/>
      <c r="AO14" s="25"/>
      <c r="AP14" s="26"/>
      <c r="AQ14" s="27">
        <f t="shared" si="10"/>
        <v>99</v>
      </c>
    </row>
    <row r="15" spans="1:43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0"/>
        <v>18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31">
        <f t="shared" si="4"/>
        <v>0</v>
      </c>
      <c r="M15" s="31">
        <f t="shared" si="5"/>
        <v>0</v>
      </c>
      <c r="N15" s="31">
        <f t="shared" si="6"/>
        <v>0</v>
      </c>
      <c r="O15" s="32">
        <f t="shared" si="7"/>
        <v>0</v>
      </c>
      <c r="P15" s="4">
        <f t="shared" si="8"/>
        <v>0</v>
      </c>
      <c r="Q15" s="4">
        <f t="shared" si="9"/>
        <v>0</v>
      </c>
      <c r="R15" s="3"/>
      <c r="S15" s="128"/>
      <c r="T15" s="3"/>
      <c r="U15" s="25"/>
      <c r="V15" s="34" t="s">
        <v>123</v>
      </c>
      <c r="W15" s="34" t="s">
        <v>123</v>
      </c>
      <c r="X15" s="25"/>
      <c r="Y15" s="25"/>
      <c r="Z15" s="25"/>
      <c r="AA15" s="25"/>
      <c r="AB15" s="25"/>
      <c r="AC15" s="34" t="s">
        <v>123</v>
      </c>
      <c r="AD15" s="34" t="s">
        <v>123</v>
      </c>
      <c r="AE15" s="25"/>
      <c r="AF15" s="25"/>
      <c r="AG15" s="25"/>
      <c r="AH15" s="25"/>
      <c r="AI15" s="25"/>
      <c r="AJ15" s="34" t="s">
        <v>123</v>
      </c>
      <c r="AK15" s="34" t="s">
        <v>123</v>
      </c>
      <c r="AL15" s="25"/>
      <c r="AM15" s="25"/>
      <c r="AN15" s="25"/>
      <c r="AO15" s="25"/>
      <c r="AP15" s="26"/>
      <c r="AQ15" s="27">
        <f t="shared" si="10"/>
        <v>99</v>
      </c>
    </row>
    <row r="16" spans="1:43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0"/>
        <v>18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31">
        <f t="shared" si="4"/>
        <v>0</v>
      </c>
      <c r="M16" s="31">
        <f t="shared" si="5"/>
        <v>0</v>
      </c>
      <c r="N16" s="31">
        <f t="shared" si="6"/>
        <v>0</v>
      </c>
      <c r="O16" s="32">
        <f t="shared" si="7"/>
        <v>0</v>
      </c>
      <c r="P16" s="4">
        <f t="shared" si="8"/>
        <v>0</v>
      </c>
      <c r="Q16" s="4">
        <f t="shared" si="9"/>
        <v>0</v>
      </c>
      <c r="R16" s="3"/>
      <c r="S16" s="128"/>
      <c r="T16" s="3"/>
      <c r="U16" s="25"/>
      <c r="V16" s="34" t="s">
        <v>123</v>
      </c>
      <c r="W16" s="34" t="s">
        <v>123</v>
      </c>
      <c r="X16" s="25"/>
      <c r="Y16" s="25"/>
      <c r="Z16" s="25"/>
      <c r="AA16" s="25"/>
      <c r="AB16" s="25"/>
      <c r="AC16" s="34" t="s">
        <v>123</v>
      </c>
      <c r="AD16" s="34" t="s">
        <v>123</v>
      </c>
      <c r="AE16" s="25"/>
      <c r="AF16" s="25"/>
      <c r="AG16" s="25"/>
      <c r="AH16" s="25"/>
      <c r="AI16" s="25"/>
      <c r="AJ16" s="34" t="s">
        <v>123</v>
      </c>
      <c r="AK16" s="34" t="s">
        <v>123</v>
      </c>
      <c r="AL16" s="25"/>
      <c r="AM16" s="25"/>
      <c r="AN16" s="25"/>
      <c r="AO16" s="25"/>
      <c r="AP16" s="26"/>
      <c r="AQ16" s="27">
        <f t="shared" si="10"/>
        <v>99</v>
      </c>
    </row>
    <row r="17" spans="1:43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0"/>
        <v>18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31">
        <f t="shared" si="4"/>
        <v>0</v>
      </c>
      <c r="M17" s="31">
        <f t="shared" si="5"/>
        <v>0</v>
      </c>
      <c r="N17" s="31">
        <f t="shared" si="6"/>
        <v>0</v>
      </c>
      <c r="O17" s="32">
        <f t="shared" si="7"/>
        <v>0</v>
      </c>
      <c r="P17" s="4">
        <f t="shared" si="8"/>
        <v>0</v>
      </c>
      <c r="Q17" s="4">
        <f t="shared" si="9"/>
        <v>0</v>
      </c>
      <c r="R17" s="3"/>
      <c r="S17" s="128"/>
      <c r="T17" s="3"/>
      <c r="U17" s="25"/>
      <c r="V17" s="34" t="s">
        <v>123</v>
      </c>
      <c r="W17" s="34" t="s">
        <v>123</v>
      </c>
      <c r="X17" s="25"/>
      <c r="Y17" s="25"/>
      <c r="Z17" s="25"/>
      <c r="AA17" s="25"/>
      <c r="AB17" s="25"/>
      <c r="AC17" s="34" t="s">
        <v>123</v>
      </c>
      <c r="AD17" s="34" t="s">
        <v>123</v>
      </c>
      <c r="AE17" s="25"/>
      <c r="AF17" s="25"/>
      <c r="AG17" s="25"/>
      <c r="AH17" s="25"/>
      <c r="AI17" s="25"/>
      <c r="AJ17" s="34" t="s">
        <v>123</v>
      </c>
      <c r="AK17" s="34" t="s">
        <v>123</v>
      </c>
      <c r="AL17" s="25"/>
      <c r="AM17" s="25"/>
      <c r="AN17" s="25"/>
      <c r="AO17" s="25"/>
      <c r="AP17" s="26"/>
      <c r="AQ17" s="27">
        <f t="shared" si="10"/>
        <v>99</v>
      </c>
    </row>
    <row r="18" spans="1:43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0"/>
        <v>18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31">
        <f t="shared" si="4"/>
        <v>0</v>
      </c>
      <c r="M18" s="31">
        <f t="shared" si="5"/>
        <v>0</v>
      </c>
      <c r="N18" s="31">
        <f t="shared" si="6"/>
        <v>0</v>
      </c>
      <c r="O18" s="32">
        <f t="shared" si="7"/>
        <v>0</v>
      </c>
      <c r="P18" s="4">
        <f t="shared" si="8"/>
        <v>0</v>
      </c>
      <c r="Q18" s="4">
        <f t="shared" si="9"/>
        <v>0</v>
      </c>
      <c r="R18" s="25"/>
      <c r="S18" s="128"/>
      <c r="T18" s="25"/>
      <c r="U18" s="25"/>
      <c r="V18" s="34" t="s">
        <v>123</v>
      </c>
      <c r="W18" s="34" t="s">
        <v>123</v>
      </c>
      <c r="X18" s="25"/>
      <c r="Y18" s="25"/>
      <c r="Z18" s="25"/>
      <c r="AA18" s="25"/>
      <c r="AB18" s="25"/>
      <c r="AC18" s="34" t="s">
        <v>123</v>
      </c>
      <c r="AD18" s="34" t="s">
        <v>123</v>
      </c>
      <c r="AE18" s="25"/>
      <c r="AF18" s="25"/>
      <c r="AG18" s="25"/>
      <c r="AH18" s="25"/>
      <c r="AI18" s="25"/>
      <c r="AJ18" s="34" t="s">
        <v>123</v>
      </c>
      <c r="AK18" s="34" t="s">
        <v>123</v>
      </c>
      <c r="AL18" s="25"/>
      <c r="AM18" s="25"/>
      <c r="AN18" s="25"/>
      <c r="AO18" s="25"/>
      <c r="AP18" s="26"/>
      <c r="AQ18" s="27">
        <f t="shared" si="10"/>
        <v>99</v>
      </c>
    </row>
    <row r="19" spans="1:43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0"/>
        <v>18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31">
        <f t="shared" si="4"/>
        <v>0</v>
      </c>
      <c r="M19" s="31">
        <f t="shared" si="5"/>
        <v>0</v>
      </c>
      <c r="N19" s="31">
        <f t="shared" si="6"/>
        <v>0</v>
      </c>
      <c r="O19" s="32">
        <f t="shared" si="7"/>
        <v>0</v>
      </c>
      <c r="P19" s="4">
        <f t="shared" si="8"/>
        <v>0</v>
      </c>
      <c r="Q19" s="4">
        <f t="shared" si="9"/>
        <v>0</v>
      </c>
      <c r="R19" s="3"/>
      <c r="S19" s="128"/>
      <c r="T19" s="3"/>
      <c r="U19" s="25"/>
      <c r="V19" s="34" t="s">
        <v>123</v>
      </c>
      <c r="W19" s="34" t="s">
        <v>123</v>
      </c>
      <c r="X19" s="25"/>
      <c r="Y19" s="25"/>
      <c r="Z19" s="25"/>
      <c r="AA19" s="25"/>
      <c r="AB19" s="25"/>
      <c r="AC19" s="34" t="s">
        <v>123</v>
      </c>
      <c r="AD19" s="34" t="s">
        <v>123</v>
      </c>
      <c r="AE19" s="25"/>
      <c r="AF19" s="25"/>
      <c r="AG19" s="25"/>
      <c r="AH19" s="25"/>
      <c r="AI19" s="25"/>
      <c r="AJ19" s="34" t="s">
        <v>123</v>
      </c>
      <c r="AK19" s="34" t="s">
        <v>123</v>
      </c>
      <c r="AL19" s="25"/>
      <c r="AM19" s="25"/>
      <c r="AN19" s="25"/>
      <c r="AO19" s="25"/>
      <c r="AP19" s="26"/>
      <c r="AQ19" s="27">
        <f t="shared" si="10"/>
        <v>99</v>
      </c>
    </row>
    <row r="20" spans="1:43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0"/>
        <v>18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31">
        <f t="shared" si="4"/>
        <v>0</v>
      </c>
      <c r="M20" s="31">
        <f t="shared" si="5"/>
        <v>0</v>
      </c>
      <c r="N20" s="31">
        <f t="shared" si="6"/>
        <v>0</v>
      </c>
      <c r="O20" s="32">
        <f t="shared" si="7"/>
        <v>0</v>
      </c>
      <c r="P20" s="4">
        <f t="shared" si="8"/>
        <v>0</v>
      </c>
      <c r="Q20" s="4">
        <f t="shared" si="9"/>
        <v>0</v>
      </c>
      <c r="R20" s="3"/>
      <c r="S20" s="128"/>
      <c r="T20" s="3"/>
      <c r="U20" s="25"/>
      <c r="V20" s="34" t="s">
        <v>123</v>
      </c>
      <c r="W20" s="34" t="s">
        <v>123</v>
      </c>
      <c r="X20" s="25"/>
      <c r="Y20" s="25"/>
      <c r="Z20" s="25"/>
      <c r="AA20" s="25"/>
      <c r="AB20" s="25"/>
      <c r="AC20" s="34" t="s">
        <v>123</v>
      </c>
      <c r="AD20" s="34" t="s">
        <v>123</v>
      </c>
      <c r="AE20" s="25"/>
      <c r="AF20" s="25"/>
      <c r="AG20" s="25"/>
      <c r="AH20" s="25"/>
      <c r="AI20" s="25"/>
      <c r="AJ20" s="34" t="s">
        <v>123</v>
      </c>
      <c r="AK20" s="34" t="s">
        <v>123</v>
      </c>
      <c r="AL20" s="25"/>
      <c r="AM20" s="25"/>
      <c r="AN20" s="25"/>
      <c r="AO20" s="25"/>
      <c r="AP20" s="26"/>
      <c r="AQ20" s="27">
        <f t="shared" si="10"/>
        <v>99</v>
      </c>
    </row>
    <row r="21" spans="1:43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0"/>
        <v>18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31">
        <f t="shared" si="4"/>
        <v>0</v>
      </c>
      <c r="M21" s="31">
        <f t="shared" si="5"/>
        <v>0</v>
      </c>
      <c r="N21" s="31">
        <f t="shared" si="6"/>
        <v>0</v>
      </c>
      <c r="O21" s="32">
        <f t="shared" si="7"/>
        <v>0</v>
      </c>
      <c r="P21" s="4">
        <f t="shared" si="8"/>
        <v>0</v>
      </c>
      <c r="Q21" s="4">
        <f t="shared" si="9"/>
        <v>0</v>
      </c>
      <c r="R21" s="3"/>
      <c r="S21" s="128"/>
      <c r="T21" s="3"/>
      <c r="U21" s="25"/>
      <c r="V21" s="34" t="s">
        <v>123</v>
      </c>
      <c r="W21" s="34" t="s">
        <v>123</v>
      </c>
      <c r="X21" s="25"/>
      <c r="Y21" s="25"/>
      <c r="Z21" s="25"/>
      <c r="AA21" s="25"/>
      <c r="AB21" s="25"/>
      <c r="AC21" s="34" t="s">
        <v>123</v>
      </c>
      <c r="AD21" s="34" t="s">
        <v>123</v>
      </c>
      <c r="AE21" s="25"/>
      <c r="AF21" s="25"/>
      <c r="AG21" s="25"/>
      <c r="AH21" s="25"/>
      <c r="AI21" s="25"/>
      <c r="AJ21" s="34" t="s">
        <v>123</v>
      </c>
      <c r="AK21" s="34" t="s">
        <v>123</v>
      </c>
      <c r="AL21" s="25"/>
      <c r="AM21" s="25"/>
      <c r="AN21" s="25"/>
      <c r="AO21" s="25"/>
      <c r="AP21" s="26"/>
      <c r="AQ21" s="27">
        <f t="shared" si="10"/>
        <v>99</v>
      </c>
    </row>
    <row r="22" spans="1:43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0"/>
        <v>18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31">
        <f t="shared" si="4"/>
        <v>0</v>
      </c>
      <c r="M22" s="31">
        <f t="shared" si="5"/>
        <v>0</v>
      </c>
      <c r="N22" s="31">
        <f t="shared" si="6"/>
        <v>0</v>
      </c>
      <c r="O22" s="32">
        <f t="shared" si="7"/>
        <v>0</v>
      </c>
      <c r="P22" s="4">
        <f t="shared" si="8"/>
        <v>0</v>
      </c>
      <c r="Q22" s="4">
        <f t="shared" si="9"/>
        <v>0</v>
      </c>
      <c r="R22" s="3"/>
      <c r="S22" s="128"/>
      <c r="T22" s="3"/>
      <c r="U22" s="25"/>
      <c r="V22" s="34" t="s">
        <v>123</v>
      </c>
      <c r="W22" s="34" t="s">
        <v>123</v>
      </c>
      <c r="X22" s="25"/>
      <c r="Y22" s="25"/>
      <c r="Z22" s="25"/>
      <c r="AA22" s="25"/>
      <c r="AB22" s="25"/>
      <c r="AC22" s="34" t="s">
        <v>123</v>
      </c>
      <c r="AD22" s="34" t="s">
        <v>123</v>
      </c>
      <c r="AE22" s="25"/>
      <c r="AF22" s="25"/>
      <c r="AG22" s="25"/>
      <c r="AH22" s="25"/>
      <c r="AI22" s="25"/>
      <c r="AJ22" s="34" t="s">
        <v>123</v>
      </c>
      <c r="AK22" s="34" t="s">
        <v>123</v>
      </c>
      <c r="AL22" s="25"/>
      <c r="AM22" s="25"/>
      <c r="AN22" s="25"/>
      <c r="AO22" s="25"/>
      <c r="AP22" s="26"/>
      <c r="AQ22" s="27">
        <f t="shared" si="10"/>
        <v>99</v>
      </c>
    </row>
    <row r="23" spans="1:43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0"/>
        <v>18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31">
        <f t="shared" si="4"/>
        <v>0</v>
      </c>
      <c r="M23" s="31">
        <f t="shared" si="5"/>
        <v>0</v>
      </c>
      <c r="N23" s="31">
        <f t="shared" si="6"/>
        <v>0</v>
      </c>
      <c r="O23" s="32">
        <f t="shared" si="7"/>
        <v>0</v>
      </c>
      <c r="P23" s="4">
        <f t="shared" si="8"/>
        <v>0</v>
      </c>
      <c r="Q23" s="4">
        <f t="shared" si="9"/>
        <v>0</v>
      </c>
      <c r="R23" s="3"/>
      <c r="S23" s="128"/>
      <c r="T23" s="3"/>
      <c r="U23" s="25"/>
      <c r="V23" s="34" t="s">
        <v>123</v>
      </c>
      <c r="W23" s="34" t="s">
        <v>123</v>
      </c>
      <c r="X23" s="25"/>
      <c r="Y23" s="25"/>
      <c r="Z23" s="25"/>
      <c r="AA23" s="25"/>
      <c r="AB23" s="25"/>
      <c r="AC23" s="34" t="s">
        <v>123</v>
      </c>
      <c r="AD23" s="34" t="s">
        <v>123</v>
      </c>
      <c r="AE23" s="25"/>
      <c r="AF23" s="25"/>
      <c r="AG23" s="25"/>
      <c r="AH23" s="25"/>
      <c r="AI23" s="25"/>
      <c r="AJ23" s="34" t="s">
        <v>123</v>
      </c>
      <c r="AK23" s="34" t="s">
        <v>123</v>
      </c>
      <c r="AL23" s="25"/>
      <c r="AM23" s="25"/>
      <c r="AN23" s="25"/>
      <c r="AO23" s="25"/>
      <c r="AP23" s="26"/>
      <c r="AQ23" s="27">
        <f t="shared" si="10"/>
        <v>99</v>
      </c>
    </row>
    <row r="24" spans="1:43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0"/>
        <v>18</v>
      </c>
      <c r="I24" s="31">
        <f t="shared" si="1"/>
        <v>0</v>
      </c>
      <c r="J24" s="31">
        <f t="shared" si="2"/>
        <v>0</v>
      </c>
      <c r="K24" s="31">
        <f t="shared" si="3"/>
        <v>0</v>
      </c>
      <c r="L24" s="31">
        <f t="shared" si="4"/>
        <v>0</v>
      </c>
      <c r="M24" s="31">
        <f t="shared" si="5"/>
        <v>0</v>
      </c>
      <c r="N24" s="31">
        <f t="shared" si="6"/>
        <v>0</v>
      </c>
      <c r="O24" s="32">
        <f t="shared" si="7"/>
        <v>0</v>
      </c>
      <c r="P24" s="4">
        <f t="shared" si="8"/>
        <v>0</v>
      </c>
      <c r="Q24" s="4">
        <f t="shared" si="9"/>
        <v>0</v>
      </c>
      <c r="R24" s="3"/>
      <c r="S24" s="128"/>
      <c r="T24" s="3"/>
      <c r="U24" s="25"/>
      <c r="V24" s="34" t="s">
        <v>123</v>
      </c>
      <c r="W24" s="34" t="s">
        <v>123</v>
      </c>
      <c r="X24" s="25"/>
      <c r="Y24" s="25"/>
      <c r="Z24" s="25"/>
      <c r="AA24" s="25"/>
      <c r="AB24" s="25"/>
      <c r="AC24" s="34" t="s">
        <v>123</v>
      </c>
      <c r="AD24" s="34" t="s">
        <v>123</v>
      </c>
      <c r="AE24" s="25"/>
      <c r="AF24" s="25"/>
      <c r="AG24" s="25"/>
      <c r="AH24" s="25"/>
      <c r="AI24" s="25"/>
      <c r="AJ24" s="34" t="s">
        <v>123</v>
      </c>
      <c r="AK24" s="34" t="s">
        <v>123</v>
      </c>
      <c r="AL24" s="25"/>
      <c r="AM24" s="25"/>
      <c r="AN24" s="25"/>
      <c r="AO24" s="25"/>
      <c r="AP24" s="26"/>
      <c r="AQ24" s="27">
        <f t="shared" si="10"/>
        <v>99</v>
      </c>
    </row>
    <row r="25" spans="1:43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0"/>
        <v>18</v>
      </c>
      <c r="I25" s="31">
        <f t="shared" si="1"/>
        <v>0</v>
      </c>
      <c r="J25" s="31">
        <f t="shared" si="2"/>
        <v>0</v>
      </c>
      <c r="K25" s="31">
        <f t="shared" si="3"/>
        <v>0</v>
      </c>
      <c r="L25" s="31">
        <f t="shared" si="4"/>
        <v>0</v>
      </c>
      <c r="M25" s="31">
        <f t="shared" si="5"/>
        <v>0</v>
      </c>
      <c r="N25" s="31">
        <f t="shared" si="6"/>
        <v>0</v>
      </c>
      <c r="O25" s="32">
        <f t="shared" si="7"/>
        <v>0</v>
      </c>
      <c r="P25" s="4">
        <f t="shared" si="8"/>
        <v>0</v>
      </c>
      <c r="Q25" s="4">
        <f t="shared" si="9"/>
        <v>0</v>
      </c>
      <c r="R25" s="3"/>
      <c r="S25" s="128"/>
      <c r="T25" s="3"/>
      <c r="U25" s="25"/>
      <c r="V25" s="34" t="s">
        <v>123</v>
      </c>
      <c r="W25" s="34" t="s">
        <v>123</v>
      </c>
      <c r="X25" s="25"/>
      <c r="Y25" s="25"/>
      <c r="Z25" s="25"/>
      <c r="AA25" s="25"/>
      <c r="AB25" s="25"/>
      <c r="AC25" s="34" t="s">
        <v>123</v>
      </c>
      <c r="AD25" s="34" t="s">
        <v>123</v>
      </c>
      <c r="AE25" s="25"/>
      <c r="AF25" s="25"/>
      <c r="AG25" s="25"/>
      <c r="AH25" s="25"/>
      <c r="AI25" s="25"/>
      <c r="AJ25" s="34" t="s">
        <v>123</v>
      </c>
      <c r="AK25" s="34" t="s">
        <v>123</v>
      </c>
      <c r="AL25" s="25"/>
      <c r="AM25" s="25"/>
      <c r="AN25" s="25"/>
      <c r="AO25" s="25"/>
      <c r="AP25" s="26"/>
      <c r="AQ25" s="27">
        <f t="shared" si="10"/>
        <v>99</v>
      </c>
    </row>
    <row r="26" spans="1:43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0"/>
        <v>18</v>
      </c>
      <c r="I26" s="31">
        <f t="shared" si="1"/>
        <v>0</v>
      </c>
      <c r="J26" s="31">
        <f t="shared" si="2"/>
        <v>0</v>
      </c>
      <c r="K26" s="31">
        <f t="shared" si="3"/>
        <v>0</v>
      </c>
      <c r="L26" s="31">
        <f t="shared" si="4"/>
        <v>0</v>
      </c>
      <c r="M26" s="31">
        <f t="shared" si="5"/>
        <v>0</v>
      </c>
      <c r="N26" s="31">
        <f t="shared" si="6"/>
        <v>0</v>
      </c>
      <c r="O26" s="32">
        <f t="shared" si="7"/>
        <v>0</v>
      </c>
      <c r="P26" s="4">
        <f t="shared" si="8"/>
        <v>0</v>
      </c>
      <c r="Q26" s="4">
        <f t="shared" si="9"/>
        <v>0</v>
      </c>
      <c r="R26" s="133"/>
      <c r="S26" s="134"/>
      <c r="T26" s="134"/>
      <c r="U26" s="25"/>
      <c r="V26" s="34" t="s">
        <v>123</v>
      </c>
      <c r="W26" s="34" t="s">
        <v>123</v>
      </c>
      <c r="X26" s="25"/>
      <c r="Y26" s="25"/>
      <c r="Z26" s="25"/>
      <c r="AA26" s="25"/>
      <c r="AB26" s="25"/>
      <c r="AC26" s="34" t="s">
        <v>123</v>
      </c>
      <c r="AD26" s="34" t="s">
        <v>123</v>
      </c>
      <c r="AE26" s="25"/>
      <c r="AF26" s="25"/>
      <c r="AG26" s="25"/>
      <c r="AH26" s="25"/>
      <c r="AI26" s="25"/>
      <c r="AJ26" s="34" t="s">
        <v>123</v>
      </c>
      <c r="AK26" s="34" t="s">
        <v>123</v>
      </c>
      <c r="AL26" s="25"/>
      <c r="AM26" s="25"/>
      <c r="AN26" s="25"/>
      <c r="AO26" s="25"/>
      <c r="AP26" s="26"/>
      <c r="AQ26" s="27">
        <f t="shared" si="10"/>
        <v>99</v>
      </c>
    </row>
    <row r="27" spans="1:43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0"/>
        <v>18</v>
      </c>
      <c r="I27" s="31">
        <f t="shared" si="1"/>
        <v>0</v>
      </c>
      <c r="J27" s="31">
        <f t="shared" si="2"/>
        <v>0</v>
      </c>
      <c r="K27" s="31">
        <f t="shared" si="3"/>
        <v>0</v>
      </c>
      <c r="L27" s="31">
        <f t="shared" si="4"/>
        <v>0</v>
      </c>
      <c r="M27" s="31">
        <f t="shared" si="5"/>
        <v>0</v>
      </c>
      <c r="N27" s="31">
        <f t="shared" si="6"/>
        <v>0</v>
      </c>
      <c r="O27" s="32">
        <f t="shared" si="7"/>
        <v>0</v>
      </c>
      <c r="P27" s="4">
        <f t="shared" si="8"/>
        <v>0</v>
      </c>
      <c r="Q27" s="4">
        <f t="shared" si="9"/>
        <v>0</v>
      </c>
      <c r="R27" s="25"/>
      <c r="S27" s="25"/>
      <c r="T27" s="21"/>
      <c r="U27" s="25"/>
      <c r="V27" s="34" t="s">
        <v>123</v>
      </c>
      <c r="W27" s="34" t="s">
        <v>123</v>
      </c>
      <c r="X27" s="25"/>
      <c r="Y27" s="25"/>
      <c r="Z27" s="25"/>
      <c r="AA27" s="25"/>
      <c r="AB27" s="25"/>
      <c r="AC27" s="34" t="s">
        <v>123</v>
      </c>
      <c r="AD27" s="34" t="s">
        <v>123</v>
      </c>
      <c r="AE27" s="25"/>
      <c r="AF27" s="25"/>
      <c r="AG27" s="25"/>
      <c r="AH27" s="25"/>
      <c r="AI27" s="25"/>
      <c r="AJ27" s="34" t="s">
        <v>123</v>
      </c>
      <c r="AK27" s="34" t="s">
        <v>123</v>
      </c>
      <c r="AL27" s="25"/>
      <c r="AM27" s="25"/>
      <c r="AN27" s="25"/>
      <c r="AO27" s="25"/>
      <c r="AP27" s="26"/>
      <c r="AQ27" s="27">
        <f t="shared" si="10"/>
        <v>99</v>
      </c>
    </row>
    <row r="28" spans="1:43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0"/>
        <v>18</v>
      </c>
      <c r="I28" s="31">
        <f t="shared" si="1"/>
        <v>0</v>
      </c>
      <c r="J28" s="31">
        <f t="shared" si="2"/>
        <v>0</v>
      </c>
      <c r="K28" s="31">
        <f t="shared" si="3"/>
        <v>0</v>
      </c>
      <c r="L28" s="31">
        <f t="shared" si="4"/>
        <v>0</v>
      </c>
      <c r="M28" s="31">
        <f t="shared" si="5"/>
        <v>0</v>
      </c>
      <c r="N28" s="31">
        <f t="shared" si="6"/>
        <v>0</v>
      </c>
      <c r="O28" s="32">
        <f t="shared" si="7"/>
        <v>0</v>
      </c>
      <c r="P28" s="4">
        <f t="shared" si="8"/>
        <v>0</v>
      </c>
      <c r="Q28" s="4">
        <f t="shared" si="9"/>
        <v>0</v>
      </c>
      <c r="R28" s="135"/>
      <c r="S28" s="136"/>
      <c r="T28" s="3"/>
      <c r="U28" s="25"/>
      <c r="V28" s="34" t="s">
        <v>123</v>
      </c>
      <c r="W28" s="34" t="s">
        <v>123</v>
      </c>
      <c r="X28" s="25"/>
      <c r="Y28" s="25"/>
      <c r="Z28" s="25"/>
      <c r="AA28" s="25"/>
      <c r="AB28" s="25"/>
      <c r="AC28" s="34" t="s">
        <v>123</v>
      </c>
      <c r="AD28" s="34" t="s">
        <v>123</v>
      </c>
      <c r="AE28" s="25"/>
      <c r="AF28" s="25"/>
      <c r="AG28" s="25"/>
      <c r="AH28" s="25"/>
      <c r="AI28" s="25"/>
      <c r="AJ28" s="34" t="s">
        <v>123</v>
      </c>
      <c r="AK28" s="34" t="s">
        <v>123</v>
      </c>
      <c r="AL28" s="25"/>
      <c r="AM28" s="25"/>
      <c r="AN28" s="25"/>
      <c r="AO28" s="25"/>
      <c r="AP28" s="26"/>
      <c r="AQ28" s="27">
        <f t="shared" si="10"/>
        <v>99</v>
      </c>
    </row>
    <row r="29" spans="1:43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0"/>
        <v>18</v>
      </c>
      <c r="I29" s="31">
        <f t="shared" si="1"/>
        <v>0</v>
      </c>
      <c r="J29" s="31">
        <f t="shared" si="2"/>
        <v>0</v>
      </c>
      <c r="K29" s="31">
        <f t="shared" si="3"/>
        <v>0</v>
      </c>
      <c r="L29" s="31">
        <f t="shared" si="4"/>
        <v>0</v>
      </c>
      <c r="M29" s="31">
        <f t="shared" si="5"/>
        <v>0</v>
      </c>
      <c r="N29" s="31">
        <f t="shared" si="6"/>
        <v>0</v>
      </c>
      <c r="O29" s="32">
        <f t="shared" si="7"/>
        <v>0</v>
      </c>
      <c r="P29" s="4">
        <f t="shared" si="8"/>
        <v>0</v>
      </c>
      <c r="Q29" s="4">
        <f t="shared" si="9"/>
        <v>0</v>
      </c>
      <c r="R29" s="25"/>
      <c r="S29" s="128"/>
      <c r="T29" s="25"/>
      <c r="U29" s="25"/>
      <c r="V29" s="34" t="s">
        <v>123</v>
      </c>
      <c r="W29" s="34" t="s">
        <v>123</v>
      </c>
      <c r="X29" s="25"/>
      <c r="Y29" s="25"/>
      <c r="Z29" s="25"/>
      <c r="AA29" s="25"/>
      <c r="AB29" s="25"/>
      <c r="AC29" s="34" t="s">
        <v>123</v>
      </c>
      <c r="AD29" s="34" t="s">
        <v>123</v>
      </c>
      <c r="AE29" s="25"/>
      <c r="AF29" s="25"/>
      <c r="AG29" s="25"/>
      <c r="AH29" s="25"/>
      <c r="AI29" s="25"/>
      <c r="AJ29" s="34" t="s">
        <v>123</v>
      </c>
      <c r="AK29" s="34" t="s">
        <v>123</v>
      </c>
      <c r="AL29" s="25"/>
      <c r="AM29" s="25"/>
      <c r="AN29" s="25"/>
      <c r="AO29" s="25"/>
      <c r="AP29" s="26"/>
      <c r="AQ29" s="27">
        <f t="shared" si="10"/>
        <v>99</v>
      </c>
    </row>
    <row r="30" spans="1:43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130"/>
      <c r="S30" s="90"/>
      <c r="T30" s="90"/>
      <c r="U30" s="90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35"/>
      <c r="AQ30" s="1"/>
    </row>
    <row r="31" spans="1:43" ht="12.75" customHeight="1" x14ac:dyDescent="0.2">
      <c r="A31" s="1"/>
      <c r="B31" s="2"/>
      <c r="C31" s="2"/>
      <c r="D31" s="2"/>
      <c r="E31" s="2"/>
      <c r="F31" s="2"/>
      <c r="G31" s="2"/>
      <c r="H31" s="151" t="s">
        <v>178</v>
      </c>
      <c r="I31" s="151"/>
      <c r="J31" s="151"/>
      <c r="K31" s="151"/>
      <c r="L31" s="151"/>
      <c r="M31" s="151"/>
      <c r="N31" s="151"/>
      <c r="O31" s="152"/>
      <c r="P31" s="36"/>
      <c r="Q31" s="36"/>
      <c r="R31" s="138"/>
      <c r="S31" s="124"/>
      <c r="T31" s="124"/>
      <c r="U31" s="124"/>
      <c r="V31" s="14"/>
      <c r="W31" s="14"/>
      <c r="X31" s="124"/>
      <c r="Y31" s="124"/>
      <c r="Z31" s="124"/>
      <c r="AA31" s="124"/>
      <c r="AB31" s="124"/>
      <c r="AC31" s="14"/>
      <c r="AD31" s="14"/>
      <c r="AE31" s="124"/>
      <c r="AF31" s="124"/>
      <c r="AG31" s="124"/>
      <c r="AH31" s="124"/>
      <c r="AI31" s="124"/>
      <c r="AJ31" s="14"/>
      <c r="AK31" s="14"/>
      <c r="AL31" s="124"/>
      <c r="AM31" s="124"/>
      <c r="AN31" s="124"/>
      <c r="AO31" s="124"/>
      <c r="AP31" s="37"/>
    </row>
    <row r="32" spans="1:43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52"/>
      <c r="S32" s="52"/>
      <c r="T32" s="52"/>
      <c r="U32" s="52"/>
      <c r="V32" s="14"/>
      <c r="W32" s="14"/>
      <c r="X32" s="52"/>
      <c r="Y32" s="52"/>
      <c r="Z32" s="52"/>
      <c r="AA32" s="52"/>
      <c r="AB32" s="52"/>
      <c r="AC32" s="14"/>
      <c r="AD32" s="14"/>
      <c r="AE32" s="52"/>
      <c r="AF32" s="52"/>
      <c r="AG32" s="52"/>
      <c r="AH32" s="52"/>
      <c r="AI32" s="52"/>
      <c r="AJ32" s="14"/>
      <c r="AK32" s="14"/>
      <c r="AL32" s="52"/>
      <c r="AM32" s="52"/>
      <c r="AN32" s="52"/>
      <c r="AO32" s="52"/>
      <c r="AP32" s="39"/>
    </row>
    <row r="33" spans="1:41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">
      <c r="A34" s="3" t="s">
        <v>148</v>
      </c>
      <c r="B34" s="3"/>
      <c r="C34" s="3" t="s">
        <v>153</v>
      </c>
      <c r="H34" t="s">
        <v>152</v>
      </c>
    </row>
    <row r="35" spans="1:41" ht="38.25" x14ac:dyDescent="0.2">
      <c r="A35" s="1" t="s">
        <v>154</v>
      </c>
      <c r="B35" s="1" t="s">
        <v>155</v>
      </c>
      <c r="C35" s="3"/>
    </row>
    <row r="36" spans="1:41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41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41" ht="38.25" x14ac:dyDescent="0.2">
      <c r="A38" s="3" t="s">
        <v>160</v>
      </c>
      <c r="B38" s="3" t="s">
        <v>141</v>
      </c>
      <c r="C38" s="3" t="s">
        <v>157</v>
      </c>
    </row>
    <row r="39" spans="1:41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41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41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41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41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41" x14ac:dyDescent="0.2">
      <c r="C44" s="1"/>
    </row>
    <row r="45" spans="1:41" x14ac:dyDescent="0.2">
      <c r="F45" s="54"/>
      <c r="G45" s="54"/>
      <c r="H45" s="54"/>
      <c r="I45" s="54"/>
      <c r="J45" s="54"/>
      <c r="K45" s="54"/>
      <c r="L45" s="54"/>
    </row>
    <row r="46" spans="1:41" x14ac:dyDescent="0.2"/>
    <row r="47" spans="1:41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41" ht="25.5" x14ac:dyDescent="0.2">
      <c r="A48" s="42" t="s">
        <v>172</v>
      </c>
      <c r="B48" s="42">
        <f>COUNTBLANK(R1:AO1)</f>
        <v>18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99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v>814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phoneticPr fontId="12" type="noConversion"/>
  <conditionalFormatting sqref="O4:O29">
    <cfRule type="cellIs" dxfId="45" priority="1" operator="greaterThan">
      <formula>3.9</formula>
    </cfRule>
    <cfRule type="cellIs" dxfId="44" priority="2" operator="between">
      <formula>2</formula>
      <formula>3.9</formula>
    </cfRule>
    <cfRule type="cellIs" dxfId="43" priority="6" stopIfTrue="1" operator="between">
      <formula>1</formula>
      <formula>1.9</formula>
    </cfRule>
  </conditionalFormatting>
  <conditionalFormatting sqref="P4:Q29">
    <cfRule type="cellIs" dxfId="42" priority="3" stopIfTrue="1" operator="between">
      <formula>0</formula>
      <formula>2.9</formula>
    </cfRule>
    <cfRule type="cellIs" dxfId="41" priority="4" stopIfTrue="1" operator="between">
      <formula>3</formula>
      <formula>3.9</formula>
    </cfRule>
    <cfRule type="cellIs" dxfId="40" priority="5" stopIfTrue="1" operator="greaterThan">
      <formula>3.9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4129-4E9C-4A6A-8994-031C0786563B}">
  <dimension ref="A1:AR114"/>
  <sheetViews>
    <sheetView workbookViewId="0">
      <pane xSplit="4" ySplit="3" topLeftCell="E4" activePane="bottomRight" state="frozen"/>
      <selection pane="topRight"/>
      <selection pane="bottomLeft" activeCell="AP25" sqref="AP25:AQ26"/>
      <selection pane="bottomRight" activeCell="F4" sqref="F4:G29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18" width="10.28515625" bestFit="1" customWidth="1"/>
    <col min="19" max="42" width="10.28515625" customWidth="1"/>
    <col min="43" max="43" width="9.140625"/>
    <col min="44" max="44" width="14.42578125" bestFit="1" customWidth="1"/>
  </cols>
  <sheetData>
    <row r="1" spans="1:44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/>
      <c r="U1" s="20"/>
      <c r="V1" s="20"/>
      <c r="W1" s="20" t="s">
        <v>123</v>
      </c>
      <c r="X1" s="20" t="s">
        <v>123</v>
      </c>
      <c r="Y1" s="20"/>
      <c r="Z1" s="20"/>
      <c r="AA1" s="20"/>
      <c r="AB1" s="20"/>
      <c r="AC1" s="20"/>
      <c r="AD1" s="20" t="s">
        <v>123</v>
      </c>
      <c r="AE1" s="20" t="s">
        <v>123</v>
      </c>
      <c r="AF1" s="20"/>
      <c r="AG1" s="20"/>
      <c r="AH1" s="20"/>
      <c r="AI1" s="20"/>
      <c r="AJ1" s="20"/>
      <c r="AK1" s="20" t="s">
        <v>123</v>
      </c>
      <c r="AL1" s="20" t="s">
        <v>123</v>
      </c>
      <c r="AM1" s="20"/>
      <c r="AN1" s="20"/>
      <c r="AO1" s="20"/>
      <c r="AP1" s="20"/>
      <c r="AQ1" s="23"/>
      <c r="AR1" s="24" t="s">
        <v>124</v>
      </c>
    </row>
    <row r="2" spans="1:44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126</v>
      </c>
      <c r="S2" s="3" t="s">
        <v>127</v>
      </c>
      <c r="T2" s="3" t="s">
        <v>128</v>
      </c>
      <c r="U2" s="3" t="s">
        <v>129</v>
      </c>
      <c r="V2" s="25" t="s">
        <v>130</v>
      </c>
      <c r="W2" s="3" t="s">
        <v>131</v>
      </c>
      <c r="X2" s="3" t="s">
        <v>132</v>
      </c>
      <c r="Y2" s="3" t="s">
        <v>126</v>
      </c>
      <c r="Z2" s="3" t="s">
        <v>127</v>
      </c>
      <c r="AA2" s="3" t="s">
        <v>128</v>
      </c>
      <c r="AB2" s="3" t="s">
        <v>129</v>
      </c>
      <c r="AC2" s="25" t="s">
        <v>130</v>
      </c>
      <c r="AD2" s="3" t="s">
        <v>131</v>
      </c>
      <c r="AE2" s="3" t="s">
        <v>132</v>
      </c>
      <c r="AF2" s="3" t="s">
        <v>126</v>
      </c>
      <c r="AG2" s="3" t="s">
        <v>127</v>
      </c>
      <c r="AH2" s="3" t="s">
        <v>128</v>
      </c>
      <c r="AI2" s="3" t="s">
        <v>129</v>
      </c>
      <c r="AJ2" s="25" t="s">
        <v>130</v>
      </c>
      <c r="AK2" s="3" t="s">
        <v>131</v>
      </c>
      <c r="AL2" s="3" t="s">
        <v>132</v>
      </c>
      <c r="AM2" s="3" t="s">
        <v>126</v>
      </c>
      <c r="AN2" s="3" t="s">
        <v>127</v>
      </c>
      <c r="AO2" s="3" t="s">
        <v>128</v>
      </c>
      <c r="AP2" s="3" t="s">
        <v>129</v>
      </c>
      <c r="AQ2" s="26"/>
      <c r="AR2" s="27" t="s">
        <v>133</v>
      </c>
    </row>
    <row r="3" spans="1:44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46055</v>
      </c>
      <c r="S3" s="29">
        <v>46056</v>
      </c>
      <c r="T3" s="29">
        <v>46057</v>
      </c>
      <c r="U3" s="29">
        <v>46058</v>
      </c>
      <c r="V3" s="29">
        <v>46059</v>
      </c>
      <c r="W3" s="29">
        <v>46060</v>
      </c>
      <c r="X3" s="29">
        <v>46061</v>
      </c>
      <c r="Y3" s="29">
        <v>46062</v>
      </c>
      <c r="Z3" s="29">
        <v>46063</v>
      </c>
      <c r="AA3" s="29">
        <v>46064</v>
      </c>
      <c r="AB3" s="29">
        <v>46065</v>
      </c>
      <c r="AC3" s="29">
        <v>46066</v>
      </c>
      <c r="AD3" s="29">
        <v>46067</v>
      </c>
      <c r="AE3" s="29">
        <v>46068</v>
      </c>
      <c r="AF3" s="29">
        <v>46069</v>
      </c>
      <c r="AG3" s="29">
        <v>46070</v>
      </c>
      <c r="AH3" s="29">
        <v>46071</v>
      </c>
      <c r="AI3" s="29">
        <v>46072</v>
      </c>
      <c r="AJ3" s="29">
        <v>46073</v>
      </c>
      <c r="AK3" s="29">
        <v>46074</v>
      </c>
      <c r="AL3" s="29">
        <v>46075</v>
      </c>
      <c r="AM3" s="29">
        <v>46076</v>
      </c>
      <c r="AN3" s="29">
        <v>46077</v>
      </c>
      <c r="AO3" s="29">
        <v>46078</v>
      </c>
      <c r="AP3" s="29">
        <v>46079</v>
      </c>
      <c r="AQ3" s="26"/>
      <c r="AR3" s="27" t="s">
        <v>148</v>
      </c>
    </row>
    <row r="4" spans="1:44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 t="shared" ref="H4:H29" si="0">COUNTBLANK(R4:AP4)</f>
        <v>19</v>
      </c>
      <c r="I4" s="31">
        <f t="shared" ref="I4:I29" si="1">COUNTIF(R4:AP4,"FJ")</f>
        <v>0</v>
      </c>
      <c r="J4" s="31">
        <f t="shared" ref="J4:J29" si="2">COUNTIF(R4:AP4,"RJ")</f>
        <v>0</v>
      </c>
      <c r="K4" s="31">
        <f t="shared" ref="K4:K29" si="3">COUNTIF(R4:AP4,"SAFJ")</f>
        <v>0</v>
      </c>
      <c r="L4" s="31">
        <f t="shared" ref="L4:L29" si="4">COUNTIF(R4:AP4,"F")</f>
        <v>0</v>
      </c>
      <c r="M4" s="31">
        <f t="shared" ref="M4:M29" si="5">COUNTIF(R4:AP4,"R")</f>
        <v>0</v>
      </c>
      <c r="N4" s="31">
        <f t="shared" ref="N4:N29" si="6">COUNTIF(R4:AP4,"SAF")</f>
        <v>0</v>
      </c>
      <c r="O4" s="32">
        <f t="shared" ref="O4:O29" si="7">(L4+(M4/2))+(N4/2)</f>
        <v>0</v>
      </c>
      <c r="P4" s="4">
        <f t="shared" ref="P4:P29" si="8">I4+L4</f>
        <v>0</v>
      </c>
      <c r="Q4" s="4">
        <f t="shared" ref="Q4:Q29" si="9">SUM(I4:N4)</f>
        <v>0</v>
      </c>
      <c r="R4" s="132"/>
      <c r="S4" s="25"/>
      <c r="T4" s="128"/>
      <c r="U4" s="128"/>
      <c r="V4" s="25"/>
      <c r="W4" s="34" t="s">
        <v>123</v>
      </c>
      <c r="X4" s="34" t="s">
        <v>123</v>
      </c>
      <c r="Y4" s="25"/>
      <c r="Z4" s="25"/>
      <c r="AA4" s="25"/>
      <c r="AB4" s="25"/>
      <c r="AC4" s="25"/>
      <c r="AD4" s="34" t="s">
        <v>123</v>
      </c>
      <c r="AE4" s="34" t="s">
        <v>123</v>
      </c>
      <c r="AF4" s="25"/>
      <c r="AG4" s="25"/>
      <c r="AH4" s="25"/>
      <c r="AI4" s="25"/>
      <c r="AJ4" s="25"/>
      <c r="AK4" s="34" t="s">
        <v>123</v>
      </c>
      <c r="AL4" s="34" t="s">
        <v>123</v>
      </c>
      <c r="AM4" s="25"/>
      <c r="AN4" s="25"/>
      <c r="AO4" s="25"/>
      <c r="AP4" s="25"/>
      <c r="AQ4" s="26"/>
      <c r="AR4" s="27">
        <f t="shared" ref="AR4:AR29" si="10">H4*B$49</f>
        <v>104.5</v>
      </c>
    </row>
    <row r="5" spans="1:44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si="0"/>
        <v>19</v>
      </c>
      <c r="I5" s="31">
        <f t="shared" si="1"/>
        <v>0</v>
      </c>
      <c r="J5" s="31">
        <f t="shared" si="2"/>
        <v>0</v>
      </c>
      <c r="K5" s="31">
        <f t="shared" si="3"/>
        <v>0</v>
      </c>
      <c r="L5" s="31">
        <f t="shared" si="4"/>
        <v>0</v>
      </c>
      <c r="M5" s="31">
        <f t="shared" si="5"/>
        <v>0</v>
      </c>
      <c r="N5" s="31">
        <f t="shared" si="6"/>
        <v>0</v>
      </c>
      <c r="O5" s="32">
        <f t="shared" si="7"/>
        <v>0</v>
      </c>
      <c r="P5" s="4">
        <f t="shared" si="8"/>
        <v>0</v>
      </c>
      <c r="Q5" s="4">
        <f t="shared" si="9"/>
        <v>0</v>
      </c>
      <c r="R5" s="128"/>
      <c r="S5" s="25"/>
      <c r="T5" s="128"/>
      <c r="U5" s="25"/>
      <c r="V5" s="128"/>
      <c r="W5" s="34" t="s">
        <v>123</v>
      </c>
      <c r="X5" s="34" t="s">
        <v>123</v>
      </c>
      <c r="Y5" s="25"/>
      <c r="Z5" s="25"/>
      <c r="AA5" s="25"/>
      <c r="AB5" s="25"/>
      <c r="AC5" s="25"/>
      <c r="AD5" s="34" t="s">
        <v>123</v>
      </c>
      <c r="AE5" s="34" t="s">
        <v>123</v>
      </c>
      <c r="AF5" s="25"/>
      <c r="AG5" s="25"/>
      <c r="AH5" s="25"/>
      <c r="AI5" s="25"/>
      <c r="AJ5" s="25"/>
      <c r="AK5" s="34" t="s">
        <v>123</v>
      </c>
      <c r="AL5" s="34" t="s">
        <v>123</v>
      </c>
      <c r="AM5" s="25"/>
      <c r="AN5" s="25"/>
      <c r="AO5" s="25"/>
      <c r="AP5" s="25"/>
      <c r="AQ5" s="26"/>
      <c r="AR5" s="27">
        <f t="shared" si="10"/>
        <v>104.5</v>
      </c>
    </row>
    <row r="6" spans="1:44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0"/>
        <v>19</v>
      </c>
      <c r="I6" s="31">
        <f t="shared" si="1"/>
        <v>0</v>
      </c>
      <c r="J6" s="31">
        <f t="shared" si="2"/>
        <v>0</v>
      </c>
      <c r="K6" s="31">
        <f t="shared" si="3"/>
        <v>0</v>
      </c>
      <c r="L6" s="31">
        <f t="shared" si="4"/>
        <v>0</v>
      </c>
      <c r="M6" s="31">
        <f t="shared" si="5"/>
        <v>0</v>
      </c>
      <c r="N6" s="31">
        <f t="shared" si="6"/>
        <v>0</v>
      </c>
      <c r="O6" s="32">
        <f t="shared" si="7"/>
        <v>0</v>
      </c>
      <c r="P6" s="4">
        <f t="shared" si="8"/>
        <v>0</v>
      </c>
      <c r="Q6" s="4">
        <f t="shared" si="9"/>
        <v>0</v>
      </c>
      <c r="R6" s="132"/>
      <c r="S6" s="25"/>
      <c r="T6" s="128"/>
      <c r="U6" s="25"/>
      <c r="V6" s="25"/>
      <c r="W6" s="34" t="s">
        <v>123</v>
      </c>
      <c r="X6" s="34" t="s">
        <v>123</v>
      </c>
      <c r="Y6" s="25"/>
      <c r="Z6" s="25"/>
      <c r="AA6" s="25"/>
      <c r="AB6" s="25"/>
      <c r="AC6" s="25"/>
      <c r="AD6" s="34" t="s">
        <v>123</v>
      </c>
      <c r="AE6" s="34" t="s">
        <v>123</v>
      </c>
      <c r="AF6" s="25"/>
      <c r="AG6" s="25"/>
      <c r="AH6" s="25"/>
      <c r="AI6" s="25"/>
      <c r="AJ6" s="25"/>
      <c r="AK6" s="34" t="s">
        <v>123</v>
      </c>
      <c r="AL6" s="34" t="s">
        <v>123</v>
      </c>
      <c r="AM6" s="25"/>
      <c r="AN6" s="25"/>
      <c r="AO6" s="25"/>
      <c r="AP6" s="25"/>
      <c r="AQ6" s="26"/>
      <c r="AR6" s="27">
        <f t="shared" si="10"/>
        <v>104.5</v>
      </c>
    </row>
    <row r="7" spans="1:44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0"/>
        <v>19</v>
      </c>
      <c r="I7" s="31">
        <f t="shared" si="1"/>
        <v>0</v>
      </c>
      <c r="J7" s="31">
        <f t="shared" si="2"/>
        <v>0</v>
      </c>
      <c r="K7" s="31">
        <f t="shared" si="3"/>
        <v>0</v>
      </c>
      <c r="L7" s="31">
        <f t="shared" si="4"/>
        <v>0</v>
      </c>
      <c r="M7" s="31">
        <f t="shared" si="5"/>
        <v>0</v>
      </c>
      <c r="N7" s="31">
        <f t="shared" si="6"/>
        <v>0</v>
      </c>
      <c r="O7" s="32">
        <f t="shared" si="7"/>
        <v>0</v>
      </c>
      <c r="P7" s="4">
        <f t="shared" si="8"/>
        <v>0</v>
      </c>
      <c r="Q7" s="4">
        <f t="shared" si="9"/>
        <v>0</v>
      </c>
      <c r="R7" s="132"/>
      <c r="S7" s="25"/>
      <c r="T7" s="128"/>
      <c r="U7" s="25"/>
      <c r="V7" s="25"/>
      <c r="W7" s="34" t="s">
        <v>123</v>
      </c>
      <c r="X7" s="34" t="s">
        <v>123</v>
      </c>
      <c r="Y7" s="25"/>
      <c r="Z7" s="25"/>
      <c r="AA7" s="25"/>
      <c r="AB7" s="25"/>
      <c r="AC7" s="25"/>
      <c r="AD7" s="34" t="s">
        <v>123</v>
      </c>
      <c r="AE7" s="34" t="s">
        <v>123</v>
      </c>
      <c r="AF7" s="25"/>
      <c r="AG7" s="25"/>
      <c r="AH7" s="25"/>
      <c r="AI7" s="25"/>
      <c r="AJ7" s="25"/>
      <c r="AK7" s="34" t="s">
        <v>123</v>
      </c>
      <c r="AL7" s="34" t="s">
        <v>123</v>
      </c>
      <c r="AM7" s="25"/>
      <c r="AN7" s="25"/>
      <c r="AO7" s="25"/>
      <c r="AP7" s="25"/>
      <c r="AQ7" s="26"/>
      <c r="AR7" s="27">
        <f t="shared" si="10"/>
        <v>104.5</v>
      </c>
    </row>
    <row r="8" spans="1:44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0"/>
        <v>19</v>
      </c>
      <c r="I8" s="31">
        <f t="shared" si="1"/>
        <v>0</v>
      </c>
      <c r="J8" s="31">
        <f t="shared" si="2"/>
        <v>0</v>
      </c>
      <c r="K8" s="31">
        <f t="shared" si="3"/>
        <v>0</v>
      </c>
      <c r="L8" s="31">
        <f t="shared" si="4"/>
        <v>0</v>
      </c>
      <c r="M8" s="31">
        <f t="shared" si="5"/>
        <v>0</v>
      </c>
      <c r="N8" s="31">
        <f t="shared" si="6"/>
        <v>0</v>
      </c>
      <c r="O8" s="32">
        <f t="shared" si="7"/>
        <v>0</v>
      </c>
      <c r="P8" s="4">
        <f t="shared" si="8"/>
        <v>0</v>
      </c>
      <c r="Q8" s="4">
        <f t="shared" si="9"/>
        <v>0</v>
      </c>
      <c r="R8" s="132"/>
      <c r="S8" s="3"/>
      <c r="T8" s="128"/>
      <c r="U8" s="25"/>
      <c r="V8" s="25"/>
      <c r="W8" s="34" t="s">
        <v>123</v>
      </c>
      <c r="X8" s="34" t="s">
        <v>123</v>
      </c>
      <c r="Y8" s="25"/>
      <c r="Z8" s="25"/>
      <c r="AA8" s="25"/>
      <c r="AB8" s="25"/>
      <c r="AC8" s="25"/>
      <c r="AD8" s="34" t="s">
        <v>123</v>
      </c>
      <c r="AE8" s="34" t="s">
        <v>123</v>
      </c>
      <c r="AF8" s="25"/>
      <c r="AG8" s="25"/>
      <c r="AH8" s="25"/>
      <c r="AI8" s="25"/>
      <c r="AJ8" s="25"/>
      <c r="AK8" s="34" t="s">
        <v>123</v>
      </c>
      <c r="AL8" s="34" t="s">
        <v>123</v>
      </c>
      <c r="AM8" s="25"/>
      <c r="AN8" s="25"/>
      <c r="AO8" s="25"/>
      <c r="AP8" s="25"/>
      <c r="AQ8" s="26"/>
      <c r="AR8" s="27">
        <f t="shared" si="10"/>
        <v>104.5</v>
      </c>
    </row>
    <row r="9" spans="1:44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0"/>
        <v>19</v>
      </c>
      <c r="I9" s="31">
        <f t="shared" si="1"/>
        <v>0</v>
      </c>
      <c r="J9" s="31">
        <f t="shared" si="2"/>
        <v>0</v>
      </c>
      <c r="K9" s="31">
        <f t="shared" si="3"/>
        <v>0</v>
      </c>
      <c r="L9" s="31">
        <f t="shared" si="4"/>
        <v>0</v>
      </c>
      <c r="M9" s="31">
        <f t="shared" si="5"/>
        <v>0</v>
      </c>
      <c r="N9" s="31">
        <f t="shared" si="6"/>
        <v>0</v>
      </c>
      <c r="O9" s="32">
        <f t="shared" si="7"/>
        <v>0</v>
      </c>
      <c r="P9" s="4">
        <f t="shared" si="8"/>
        <v>0</v>
      </c>
      <c r="Q9" s="4">
        <f t="shared" si="9"/>
        <v>0</v>
      </c>
      <c r="R9" s="132"/>
      <c r="S9" s="3"/>
      <c r="T9" s="128"/>
      <c r="U9" s="25"/>
      <c r="V9" s="25"/>
      <c r="W9" s="34" t="s">
        <v>123</v>
      </c>
      <c r="X9" s="34" t="s">
        <v>123</v>
      </c>
      <c r="Y9" s="25"/>
      <c r="Z9" s="25"/>
      <c r="AA9" s="25"/>
      <c r="AB9" s="25"/>
      <c r="AC9" s="25"/>
      <c r="AD9" s="34" t="s">
        <v>123</v>
      </c>
      <c r="AE9" s="34" t="s">
        <v>123</v>
      </c>
      <c r="AF9" s="25"/>
      <c r="AG9" s="25"/>
      <c r="AH9" s="25"/>
      <c r="AI9" s="25"/>
      <c r="AJ9" s="25"/>
      <c r="AK9" s="34" t="s">
        <v>123</v>
      </c>
      <c r="AL9" s="34" t="s">
        <v>123</v>
      </c>
      <c r="AM9" s="25"/>
      <c r="AN9" s="25"/>
      <c r="AO9" s="25"/>
      <c r="AP9" s="25"/>
      <c r="AQ9" s="26"/>
      <c r="AR9" s="27">
        <f t="shared" si="10"/>
        <v>104.5</v>
      </c>
    </row>
    <row r="10" spans="1:44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0"/>
        <v>19</v>
      </c>
      <c r="I10" s="31">
        <f t="shared" si="1"/>
        <v>0</v>
      </c>
      <c r="J10" s="31">
        <f t="shared" si="2"/>
        <v>0</v>
      </c>
      <c r="K10" s="31">
        <f t="shared" si="3"/>
        <v>0</v>
      </c>
      <c r="L10" s="31">
        <f t="shared" si="4"/>
        <v>0</v>
      </c>
      <c r="M10" s="31">
        <f t="shared" si="5"/>
        <v>0</v>
      </c>
      <c r="N10" s="31">
        <f t="shared" si="6"/>
        <v>0</v>
      </c>
      <c r="O10" s="32">
        <f t="shared" si="7"/>
        <v>0</v>
      </c>
      <c r="P10" s="4">
        <f t="shared" si="8"/>
        <v>0</v>
      </c>
      <c r="Q10" s="4">
        <f t="shared" si="9"/>
        <v>0</v>
      </c>
      <c r="R10" s="132"/>
      <c r="S10" s="3"/>
      <c r="T10" s="128"/>
      <c r="U10" s="25"/>
      <c r="V10" s="25"/>
      <c r="W10" s="34" t="s">
        <v>123</v>
      </c>
      <c r="X10" s="34" t="s">
        <v>123</v>
      </c>
      <c r="Y10" s="25"/>
      <c r="Z10" s="25"/>
      <c r="AA10" s="25"/>
      <c r="AB10" s="25"/>
      <c r="AC10" s="25"/>
      <c r="AD10" s="34" t="s">
        <v>123</v>
      </c>
      <c r="AE10" s="34" t="s">
        <v>123</v>
      </c>
      <c r="AF10" s="25"/>
      <c r="AG10" s="25"/>
      <c r="AH10" s="25"/>
      <c r="AI10" s="25"/>
      <c r="AJ10" s="25"/>
      <c r="AK10" s="34" t="s">
        <v>123</v>
      </c>
      <c r="AL10" s="34" t="s">
        <v>123</v>
      </c>
      <c r="AM10" s="25"/>
      <c r="AN10" s="25"/>
      <c r="AO10" s="25"/>
      <c r="AP10" s="25"/>
      <c r="AQ10" s="26"/>
      <c r="AR10" s="27">
        <f t="shared" si="10"/>
        <v>104.5</v>
      </c>
    </row>
    <row r="11" spans="1:44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03"/>
      <c r="H11" s="30">
        <f t="shared" si="0"/>
        <v>19</v>
      </c>
      <c r="I11" s="31">
        <f t="shared" si="1"/>
        <v>0</v>
      </c>
      <c r="J11" s="31">
        <f t="shared" si="2"/>
        <v>0</v>
      </c>
      <c r="K11" s="31">
        <f t="shared" si="3"/>
        <v>0</v>
      </c>
      <c r="L11" s="31">
        <f t="shared" si="4"/>
        <v>0</v>
      </c>
      <c r="M11" s="31">
        <f t="shared" si="5"/>
        <v>0</v>
      </c>
      <c r="N11" s="31">
        <f t="shared" si="6"/>
        <v>0</v>
      </c>
      <c r="O11" s="32">
        <f t="shared" si="7"/>
        <v>0</v>
      </c>
      <c r="P11" s="4">
        <f t="shared" si="8"/>
        <v>0</v>
      </c>
      <c r="Q11" s="4">
        <f t="shared" si="9"/>
        <v>0</v>
      </c>
      <c r="R11" s="132"/>
      <c r="S11" s="3"/>
      <c r="T11" s="128"/>
      <c r="U11" s="25"/>
      <c r="V11" s="25"/>
      <c r="W11" s="34" t="s">
        <v>123</v>
      </c>
      <c r="X11" s="34" t="s">
        <v>123</v>
      </c>
      <c r="Y11" s="25"/>
      <c r="Z11" s="25"/>
      <c r="AA11" s="25"/>
      <c r="AB11" s="25"/>
      <c r="AC11" s="25"/>
      <c r="AD11" s="34" t="s">
        <v>123</v>
      </c>
      <c r="AE11" s="34" t="s">
        <v>123</v>
      </c>
      <c r="AF11" s="25"/>
      <c r="AG11" s="25"/>
      <c r="AH11" s="25"/>
      <c r="AI11" s="25"/>
      <c r="AJ11" s="25"/>
      <c r="AK11" s="34" t="s">
        <v>123</v>
      </c>
      <c r="AL11" s="34" t="s">
        <v>123</v>
      </c>
      <c r="AM11" s="25"/>
      <c r="AN11" s="25"/>
      <c r="AO11" s="25"/>
      <c r="AP11" s="25"/>
      <c r="AQ11" s="26"/>
      <c r="AR11" s="27">
        <f t="shared" si="10"/>
        <v>104.5</v>
      </c>
    </row>
    <row r="12" spans="1:44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0"/>
        <v>19</v>
      </c>
      <c r="I12" s="31">
        <f t="shared" si="1"/>
        <v>0</v>
      </c>
      <c r="J12" s="31">
        <f t="shared" si="2"/>
        <v>0</v>
      </c>
      <c r="K12" s="31">
        <f t="shared" si="3"/>
        <v>0</v>
      </c>
      <c r="L12" s="31">
        <f t="shared" si="4"/>
        <v>0</v>
      </c>
      <c r="M12" s="31">
        <f t="shared" si="5"/>
        <v>0</v>
      </c>
      <c r="N12" s="31">
        <f t="shared" si="6"/>
        <v>0</v>
      </c>
      <c r="O12" s="32">
        <f t="shared" si="7"/>
        <v>0</v>
      </c>
      <c r="P12" s="4">
        <f t="shared" si="8"/>
        <v>0</v>
      </c>
      <c r="Q12" s="4">
        <f t="shared" si="9"/>
        <v>0</v>
      </c>
      <c r="R12" s="132"/>
      <c r="S12" s="3"/>
      <c r="T12" s="128"/>
      <c r="U12" s="25"/>
      <c r="V12" s="25"/>
      <c r="W12" s="34" t="s">
        <v>123</v>
      </c>
      <c r="X12" s="34" t="s">
        <v>123</v>
      </c>
      <c r="Y12" s="25"/>
      <c r="Z12" s="25"/>
      <c r="AA12" s="25"/>
      <c r="AB12" s="25"/>
      <c r="AC12" s="25"/>
      <c r="AD12" s="34" t="s">
        <v>123</v>
      </c>
      <c r="AE12" s="34" t="s">
        <v>123</v>
      </c>
      <c r="AF12" s="25"/>
      <c r="AG12" s="25"/>
      <c r="AH12" s="25"/>
      <c r="AI12" s="25"/>
      <c r="AJ12" s="25"/>
      <c r="AK12" s="34" t="s">
        <v>123</v>
      </c>
      <c r="AL12" s="34" t="s">
        <v>123</v>
      </c>
      <c r="AM12" s="25"/>
      <c r="AN12" s="25"/>
      <c r="AO12" s="25"/>
      <c r="AP12" s="25"/>
      <c r="AQ12" s="26"/>
      <c r="AR12" s="27">
        <f t="shared" si="10"/>
        <v>104.5</v>
      </c>
    </row>
    <row r="13" spans="1:44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0"/>
        <v>19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31">
        <f t="shared" si="4"/>
        <v>0</v>
      </c>
      <c r="M13" s="31">
        <f t="shared" si="5"/>
        <v>0</v>
      </c>
      <c r="N13" s="31">
        <f t="shared" si="6"/>
        <v>0</v>
      </c>
      <c r="O13" s="32">
        <f t="shared" si="7"/>
        <v>0</v>
      </c>
      <c r="P13" s="4">
        <f t="shared" si="8"/>
        <v>0</v>
      </c>
      <c r="Q13" s="4">
        <f t="shared" si="9"/>
        <v>0</v>
      </c>
      <c r="R13" s="132"/>
      <c r="S13" s="3"/>
      <c r="T13" s="128"/>
      <c r="U13" s="25"/>
      <c r="V13" s="25"/>
      <c r="W13" s="34" t="s">
        <v>123</v>
      </c>
      <c r="X13" s="34" t="s">
        <v>123</v>
      </c>
      <c r="Y13" s="25"/>
      <c r="Z13" s="25"/>
      <c r="AA13" s="25"/>
      <c r="AB13" s="25"/>
      <c r="AC13" s="25"/>
      <c r="AD13" s="34" t="s">
        <v>123</v>
      </c>
      <c r="AE13" s="34" t="s">
        <v>123</v>
      </c>
      <c r="AF13" s="25"/>
      <c r="AG13" s="25"/>
      <c r="AH13" s="25"/>
      <c r="AI13" s="25"/>
      <c r="AJ13" s="25"/>
      <c r="AK13" s="34" t="s">
        <v>123</v>
      </c>
      <c r="AL13" s="34" t="s">
        <v>123</v>
      </c>
      <c r="AM13" s="25"/>
      <c r="AN13" s="25"/>
      <c r="AO13" s="25"/>
      <c r="AP13" s="25"/>
      <c r="AQ13" s="26"/>
      <c r="AR13" s="27">
        <f t="shared" si="10"/>
        <v>104.5</v>
      </c>
    </row>
    <row r="14" spans="1:44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0"/>
        <v>19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31">
        <f t="shared" si="4"/>
        <v>0</v>
      </c>
      <c r="M14" s="31">
        <f t="shared" si="5"/>
        <v>0</v>
      </c>
      <c r="N14" s="31">
        <f t="shared" si="6"/>
        <v>0</v>
      </c>
      <c r="O14" s="32">
        <f t="shared" si="7"/>
        <v>0</v>
      </c>
      <c r="P14" s="4">
        <f t="shared" si="8"/>
        <v>0</v>
      </c>
      <c r="Q14" s="4">
        <f t="shared" si="9"/>
        <v>0</v>
      </c>
      <c r="R14" s="132"/>
      <c r="S14" s="25"/>
      <c r="T14" s="128"/>
      <c r="U14" s="128"/>
      <c r="V14" s="25"/>
      <c r="W14" s="34" t="s">
        <v>123</v>
      </c>
      <c r="X14" s="34" t="s">
        <v>123</v>
      </c>
      <c r="Y14" s="25"/>
      <c r="Z14" s="25"/>
      <c r="AA14" s="25"/>
      <c r="AB14" s="25"/>
      <c r="AC14" s="25"/>
      <c r="AD14" s="34" t="s">
        <v>123</v>
      </c>
      <c r="AE14" s="34" t="s">
        <v>123</v>
      </c>
      <c r="AF14" s="25"/>
      <c r="AG14" s="25"/>
      <c r="AH14" s="25"/>
      <c r="AI14" s="25"/>
      <c r="AJ14" s="25"/>
      <c r="AK14" s="34" t="s">
        <v>123</v>
      </c>
      <c r="AL14" s="34" t="s">
        <v>123</v>
      </c>
      <c r="AM14" s="25"/>
      <c r="AN14" s="25"/>
      <c r="AO14" s="25"/>
      <c r="AP14" s="25"/>
      <c r="AQ14" s="26"/>
      <c r="AR14" s="27">
        <f t="shared" si="10"/>
        <v>104.5</v>
      </c>
    </row>
    <row r="15" spans="1:44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0"/>
        <v>19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31">
        <f t="shared" si="4"/>
        <v>0</v>
      </c>
      <c r="M15" s="31">
        <f t="shared" si="5"/>
        <v>0</v>
      </c>
      <c r="N15" s="31">
        <f t="shared" si="6"/>
        <v>0</v>
      </c>
      <c r="O15" s="32">
        <f t="shared" si="7"/>
        <v>0</v>
      </c>
      <c r="P15" s="4">
        <f t="shared" si="8"/>
        <v>0</v>
      </c>
      <c r="Q15" s="4">
        <f t="shared" si="9"/>
        <v>0</v>
      </c>
      <c r="R15" s="132"/>
      <c r="S15" s="3"/>
      <c r="T15" s="128"/>
      <c r="U15" s="3"/>
      <c r="V15" s="25"/>
      <c r="W15" s="34" t="s">
        <v>123</v>
      </c>
      <c r="X15" s="34" t="s">
        <v>123</v>
      </c>
      <c r="Y15" s="25"/>
      <c r="Z15" s="25"/>
      <c r="AA15" s="25"/>
      <c r="AB15" s="25"/>
      <c r="AC15" s="25"/>
      <c r="AD15" s="34" t="s">
        <v>123</v>
      </c>
      <c r="AE15" s="34" t="s">
        <v>123</v>
      </c>
      <c r="AF15" s="25"/>
      <c r="AG15" s="25"/>
      <c r="AH15" s="25"/>
      <c r="AI15" s="25"/>
      <c r="AJ15" s="25"/>
      <c r="AK15" s="34" t="s">
        <v>123</v>
      </c>
      <c r="AL15" s="34" t="s">
        <v>123</v>
      </c>
      <c r="AM15" s="25"/>
      <c r="AN15" s="25"/>
      <c r="AO15" s="25"/>
      <c r="AP15" s="25"/>
      <c r="AQ15" s="26"/>
      <c r="AR15" s="27">
        <f t="shared" si="10"/>
        <v>104.5</v>
      </c>
    </row>
    <row r="16" spans="1:44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0"/>
        <v>19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31">
        <f t="shared" si="4"/>
        <v>0</v>
      </c>
      <c r="M16" s="31">
        <f t="shared" si="5"/>
        <v>0</v>
      </c>
      <c r="N16" s="31">
        <f t="shared" si="6"/>
        <v>0</v>
      </c>
      <c r="O16" s="32">
        <f t="shared" si="7"/>
        <v>0</v>
      </c>
      <c r="P16" s="4">
        <f t="shared" si="8"/>
        <v>0</v>
      </c>
      <c r="Q16" s="4">
        <f t="shared" si="9"/>
        <v>0</v>
      </c>
      <c r="R16" s="132"/>
      <c r="S16" s="3"/>
      <c r="T16" s="128"/>
      <c r="U16" s="3"/>
      <c r="V16" s="25"/>
      <c r="W16" s="34" t="s">
        <v>123</v>
      </c>
      <c r="X16" s="34" t="s">
        <v>123</v>
      </c>
      <c r="Y16" s="25"/>
      <c r="Z16" s="25"/>
      <c r="AA16" s="25"/>
      <c r="AB16" s="25"/>
      <c r="AC16" s="25"/>
      <c r="AD16" s="34" t="s">
        <v>123</v>
      </c>
      <c r="AE16" s="34" t="s">
        <v>123</v>
      </c>
      <c r="AF16" s="25"/>
      <c r="AG16" s="25"/>
      <c r="AH16" s="25"/>
      <c r="AI16" s="25"/>
      <c r="AJ16" s="25"/>
      <c r="AK16" s="34" t="s">
        <v>123</v>
      </c>
      <c r="AL16" s="34" t="s">
        <v>123</v>
      </c>
      <c r="AM16" s="25"/>
      <c r="AN16" s="25"/>
      <c r="AO16" s="25"/>
      <c r="AP16" s="25"/>
      <c r="AQ16" s="26"/>
      <c r="AR16" s="27">
        <f t="shared" si="10"/>
        <v>104.5</v>
      </c>
    </row>
    <row r="17" spans="1:44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0"/>
        <v>19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31">
        <f t="shared" si="4"/>
        <v>0</v>
      </c>
      <c r="M17" s="31">
        <f t="shared" si="5"/>
        <v>0</v>
      </c>
      <c r="N17" s="31">
        <f t="shared" si="6"/>
        <v>0</v>
      </c>
      <c r="O17" s="32">
        <f t="shared" si="7"/>
        <v>0</v>
      </c>
      <c r="P17" s="4">
        <f t="shared" si="8"/>
        <v>0</v>
      </c>
      <c r="Q17" s="4">
        <f t="shared" si="9"/>
        <v>0</v>
      </c>
      <c r="R17" s="132"/>
      <c r="S17" s="3"/>
      <c r="T17" s="128"/>
      <c r="U17" s="3"/>
      <c r="V17" s="25"/>
      <c r="W17" s="34" t="s">
        <v>123</v>
      </c>
      <c r="X17" s="34" t="s">
        <v>123</v>
      </c>
      <c r="Y17" s="25"/>
      <c r="Z17" s="25"/>
      <c r="AA17" s="25"/>
      <c r="AB17" s="25"/>
      <c r="AC17" s="25"/>
      <c r="AD17" s="34" t="s">
        <v>123</v>
      </c>
      <c r="AE17" s="34" t="s">
        <v>123</v>
      </c>
      <c r="AF17" s="25"/>
      <c r="AG17" s="25"/>
      <c r="AH17" s="25"/>
      <c r="AI17" s="25"/>
      <c r="AJ17" s="25"/>
      <c r="AK17" s="34" t="s">
        <v>123</v>
      </c>
      <c r="AL17" s="34" t="s">
        <v>123</v>
      </c>
      <c r="AM17" s="25"/>
      <c r="AN17" s="25"/>
      <c r="AO17" s="25"/>
      <c r="AP17" s="25"/>
      <c r="AQ17" s="26"/>
      <c r="AR17" s="27">
        <f t="shared" si="10"/>
        <v>104.5</v>
      </c>
    </row>
    <row r="18" spans="1:44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0"/>
        <v>19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31">
        <f t="shared" si="4"/>
        <v>0</v>
      </c>
      <c r="M18" s="31">
        <f t="shared" si="5"/>
        <v>0</v>
      </c>
      <c r="N18" s="31">
        <f t="shared" si="6"/>
        <v>0</v>
      </c>
      <c r="O18" s="32">
        <f t="shared" si="7"/>
        <v>0</v>
      </c>
      <c r="P18" s="4">
        <f t="shared" si="8"/>
        <v>0</v>
      </c>
      <c r="Q18" s="4">
        <f t="shared" si="9"/>
        <v>0</v>
      </c>
      <c r="R18" s="132"/>
      <c r="S18" s="25"/>
      <c r="T18" s="128"/>
      <c r="U18" s="128"/>
      <c r="V18" s="25"/>
      <c r="W18" s="34" t="s">
        <v>123</v>
      </c>
      <c r="X18" s="34" t="s">
        <v>123</v>
      </c>
      <c r="Y18" s="25"/>
      <c r="Z18" s="25"/>
      <c r="AA18" s="25"/>
      <c r="AB18" s="25"/>
      <c r="AC18" s="25"/>
      <c r="AD18" s="34" t="s">
        <v>123</v>
      </c>
      <c r="AE18" s="34" t="s">
        <v>123</v>
      </c>
      <c r="AF18" s="25"/>
      <c r="AG18" s="25"/>
      <c r="AH18" s="25"/>
      <c r="AI18" s="25"/>
      <c r="AJ18" s="25"/>
      <c r="AK18" s="34" t="s">
        <v>123</v>
      </c>
      <c r="AL18" s="34" t="s">
        <v>123</v>
      </c>
      <c r="AM18" s="25"/>
      <c r="AN18" s="25"/>
      <c r="AO18" s="25"/>
      <c r="AP18" s="25"/>
      <c r="AQ18" s="26"/>
      <c r="AR18" s="27">
        <f t="shared" si="10"/>
        <v>104.5</v>
      </c>
    </row>
    <row r="19" spans="1:44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0"/>
        <v>19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31">
        <f t="shared" si="4"/>
        <v>0</v>
      </c>
      <c r="M19" s="31">
        <f t="shared" si="5"/>
        <v>0</v>
      </c>
      <c r="N19" s="31">
        <f t="shared" si="6"/>
        <v>0</v>
      </c>
      <c r="O19" s="32">
        <f t="shared" si="7"/>
        <v>0</v>
      </c>
      <c r="P19" s="4">
        <f t="shared" si="8"/>
        <v>0</v>
      </c>
      <c r="Q19" s="4">
        <f t="shared" si="9"/>
        <v>0</v>
      </c>
      <c r="R19" s="132"/>
      <c r="S19" s="3"/>
      <c r="T19" s="128"/>
      <c r="U19" s="3"/>
      <c r="V19" s="25"/>
      <c r="W19" s="34" t="s">
        <v>123</v>
      </c>
      <c r="X19" s="34" t="s">
        <v>123</v>
      </c>
      <c r="Y19" s="25"/>
      <c r="Z19" s="25"/>
      <c r="AA19" s="25"/>
      <c r="AB19" s="25"/>
      <c r="AC19" s="25"/>
      <c r="AD19" s="34" t="s">
        <v>123</v>
      </c>
      <c r="AE19" s="34" t="s">
        <v>123</v>
      </c>
      <c r="AF19" s="25"/>
      <c r="AG19" s="25"/>
      <c r="AH19" s="25"/>
      <c r="AI19" s="25"/>
      <c r="AJ19" s="25"/>
      <c r="AK19" s="34" t="s">
        <v>123</v>
      </c>
      <c r="AL19" s="34" t="s">
        <v>123</v>
      </c>
      <c r="AM19" s="25"/>
      <c r="AN19" s="25"/>
      <c r="AO19" s="25"/>
      <c r="AP19" s="25"/>
      <c r="AQ19" s="26"/>
      <c r="AR19" s="27">
        <f t="shared" si="10"/>
        <v>104.5</v>
      </c>
    </row>
    <row r="20" spans="1:44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0"/>
        <v>19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31">
        <f t="shared" si="4"/>
        <v>0</v>
      </c>
      <c r="M20" s="31">
        <f t="shared" si="5"/>
        <v>0</v>
      </c>
      <c r="N20" s="31">
        <f t="shared" si="6"/>
        <v>0</v>
      </c>
      <c r="O20" s="32">
        <f t="shared" si="7"/>
        <v>0</v>
      </c>
      <c r="P20" s="4">
        <f t="shared" si="8"/>
        <v>0</v>
      </c>
      <c r="Q20" s="4">
        <f t="shared" si="9"/>
        <v>0</v>
      </c>
      <c r="R20" s="132"/>
      <c r="S20" s="3"/>
      <c r="T20" s="128"/>
      <c r="U20" s="3"/>
      <c r="V20" s="25"/>
      <c r="W20" s="34" t="s">
        <v>123</v>
      </c>
      <c r="X20" s="34" t="s">
        <v>123</v>
      </c>
      <c r="Y20" s="25"/>
      <c r="Z20" s="25"/>
      <c r="AA20" s="25"/>
      <c r="AB20" s="25"/>
      <c r="AC20" s="25"/>
      <c r="AD20" s="34" t="s">
        <v>123</v>
      </c>
      <c r="AE20" s="34" t="s">
        <v>123</v>
      </c>
      <c r="AF20" s="25"/>
      <c r="AG20" s="25"/>
      <c r="AH20" s="25"/>
      <c r="AI20" s="25"/>
      <c r="AJ20" s="25"/>
      <c r="AK20" s="34" t="s">
        <v>123</v>
      </c>
      <c r="AL20" s="34" t="s">
        <v>123</v>
      </c>
      <c r="AM20" s="25"/>
      <c r="AN20" s="25"/>
      <c r="AO20" s="25"/>
      <c r="AP20" s="25"/>
      <c r="AQ20" s="26"/>
      <c r="AR20" s="27">
        <f t="shared" si="10"/>
        <v>104.5</v>
      </c>
    </row>
    <row r="21" spans="1:44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0"/>
        <v>19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31">
        <f t="shared" si="4"/>
        <v>0</v>
      </c>
      <c r="M21" s="31">
        <f t="shared" si="5"/>
        <v>0</v>
      </c>
      <c r="N21" s="31">
        <f t="shared" si="6"/>
        <v>0</v>
      </c>
      <c r="O21" s="32">
        <f t="shared" si="7"/>
        <v>0</v>
      </c>
      <c r="P21" s="4">
        <f t="shared" si="8"/>
        <v>0</v>
      </c>
      <c r="Q21" s="4">
        <f t="shared" si="9"/>
        <v>0</v>
      </c>
      <c r="R21" s="132"/>
      <c r="S21" s="3"/>
      <c r="T21" s="128"/>
      <c r="U21" s="3"/>
      <c r="V21" s="25"/>
      <c r="W21" s="34" t="s">
        <v>123</v>
      </c>
      <c r="X21" s="34" t="s">
        <v>123</v>
      </c>
      <c r="Y21" s="25"/>
      <c r="Z21" s="25"/>
      <c r="AA21" s="25"/>
      <c r="AB21" s="25"/>
      <c r="AC21" s="25"/>
      <c r="AD21" s="34" t="s">
        <v>123</v>
      </c>
      <c r="AE21" s="34" t="s">
        <v>123</v>
      </c>
      <c r="AF21" s="25"/>
      <c r="AG21" s="25"/>
      <c r="AH21" s="25"/>
      <c r="AI21" s="25"/>
      <c r="AJ21" s="25"/>
      <c r="AK21" s="34" t="s">
        <v>123</v>
      </c>
      <c r="AL21" s="34" t="s">
        <v>123</v>
      </c>
      <c r="AM21" s="25"/>
      <c r="AN21" s="25"/>
      <c r="AO21" s="25"/>
      <c r="AP21" s="25"/>
      <c r="AQ21" s="26"/>
      <c r="AR21" s="27">
        <f t="shared" si="10"/>
        <v>104.5</v>
      </c>
    </row>
    <row r="22" spans="1:44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0"/>
        <v>19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31">
        <f t="shared" si="4"/>
        <v>0</v>
      </c>
      <c r="M22" s="31">
        <f t="shared" si="5"/>
        <v>0</v>
      </c>
      <c r="N22" s="31">
        <f t="shared" si="6"/>
        <v>0</v>
      </c>
      <c r="O22" s="32">
        <f t="shared" si="7"/>
        <v>0</v>
      </c>
      <c r="P22" s="4">
        <f t="shared" si="8"/>
        <v>0</v>
      </c>
      <c r="Q22" s="4">
        <f t="shared" si="9"/>
        <v>0</v>
      </c>
      <c r="R22" s="132"/>
      <c r="S22" s="3"/>
      <c r="T22" s="128"/>
      <c r="U22" s="3"/>
      <c r="V22" s="25"/>
      <c r="W22" s="34" t="s">
        <v>123</v>
      </c>
      <c r="X22" s="34" t="s">
        <v>123</v>
      </c>
      <c r="Y22" s="25"/>
      <c r="Z22" s="25"/>
      <c r="AA22" s="25"/>
      <c r="AB22" s="25"/>
      <c r="AC22" s="25"/>
      <c r="AD22" s="34" t="s">
        <v>123</v>
      </c>
      <c r="AE22" s="34" t="s">
        <v>123</v>
      </c>
      <c r="AF22" s="25"/>
      <c r="AG22" s="25"/>
      <c r="AH22" s="25"/>
      <c r="AI22" s="25"/>
      <c r="AJ22" s="25"/>
      <c r="AK22" s="34" t="s">
        <v>123</v>
      </c>
      <c r="AL22" s="34" t="s">
        <v>123</v>
      </c>
      <c r="AM22" s="25"/>
      <c r="AN22" s="25"/>
      <c r="AO22" s="25"/>
      <c r="AP22" s="25"/>
      <c r="AQ22" s="26"/>
      <c r="AR22" s="27">
        <f t="shared" si="10"/>
        <v>104.5</v>
      </c>
    </row>
    <row r="23" spans="1:44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0"/>
        <v>19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31">
        <f t="shared" si="4"/>
        <v>0</v>
      </c>
      <c r="M23" s="31">
        <f t="shared" si="5"/>
        <v>0</v>
      </c>
      <c r="N23" s="31">
        <f t="shared" si="6"/>
        <v>0</v>
      </c>
      <c r="O23" s="32">
        <f t="shared" si="7"/>
        <v>0</v>
      </c>
      <c r="P23" s="4">
        <f t="shared" si="8"/>
        <v>0</v>
      </c>
      <c r="Q23" s="4">
        <f t="shared" si="9"/>
        <v>0</v>
      </c>
      <c r="R23" s="132"/>
      <c r="S23" s="3"/>
      <c r="T23" s="128"/>
      <c r="U23" s="3"/>
      <c r="V23" s="25"/>
      <c r="W23" s="34" t="s">
        <v>123</v>
      </c>
      <c r="X23" s="34" t="s">
        <v>123</v>
      </c>
      <c r="Y23" s="25"/>
      <c r="Z23" s="25"/>
      <c r="AA23" s="25"/>
      <c r="AB23" s="25"/>
      <c r="AC23" s="25"/>
      <c r="AD23" s="34" t="s">
        <v>123</v>
      </c>
      <c r="AE23" s="34" t="s">
        <v>123</v>
      </c>
      <c r="AF23" s="25"/>
      <c r="AG23" s="25"/>
      <c r="AH23" s="25"/>
      <c r="AI23" s="25"/>
      <c r="AJ23" s="25"/>
      <c r="AK23" s="34" t="s">
        <v>123</v>
      </c>
      <c r="AL23" s="34" t="s">
        <v>123</v>
      </c>
      <c r="AM23" s="25"/>
      <c r="AN23" s="25"/>
      <c r="AO23" s="25"/>
      <c r="AP23" s="25"/>
      <c r="AQ23" s="26"/>
      <c r="AR23" s="27">
        <f t="shared" si="10"/>
        <v>104.5</v>
      </c>
    </row>
    <row r="24" spans="1:44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0"/>
        <v>19</v>
      </c>
      <c r="I24" s="31">
        <f t="shared" si="1"/>
        <v>0</v>
      </c>
      <c r="J24" s="31">
        <f t="shared" si="2"/>
        <v>0</v>
      </c>
      <c r="K24" s="31">
        <f t="shared" si="3"/>
        <v>0</v>
      </c>
      <c r="L24" s="31">
        <f t="shared" si="4"/>
        <v>0</v>
      </c>
      <c r="M24" s="31">
        <f t="shared" si="5"/>
        <v>0</v>
      </c>
      <c r="N24" s="31">
        <f t="shared" si="6"/>
        <v>0</v>
      </c>
      <c r="O24" s="32">
        <f t="shared" si="7"/>
        <v>0</v>
      </c>
      <c r="P24" s="4">
        <f t="shared" si="8"/>
        <v>0</v>
      </c>
      <c r="Q24" s="4">
        <f t="shared" si="9"/>
        <v>0</v>
      </c>
      <c r="R24" s="132"/>
      <c r="S24" s="3"/>
      <c r="T24" s="128"/>
      <c r="U24" s="3"/>
      <c r="V24" s="25"/>
      <c r="W24" s="34" t="s">
        <v>123</v>
      </c>
      <c r="X24" s="34" t="s">
        <v>123</v>
      </c>
      <c r="Y24" s="25"/>
      <c r="Z24" s="25"/>
      <c r="AA24" s="25"/>
      <c r="AB24" s="25"/>
      <c r="AC24" s="25"/>
      <c r="AD24" s="34" t="s">
        <v>123</v>
      </c>
      <c r="AE24" s="34" t="s">
        <v>123</v>
      </c>
      <c r="AF24" s="25"/>
      <c r="AG24" s="25"/>
      <c r="AH24" s="25"/>
      <c r="AI24" s="25"/>
      <c r="AJ24" s="25"/>
      <c r="AK24" s="34" t="s">
        <v>123</v>
      </c>
      <c r="AL24" s="34" t="s">
        <v>123</v>
      </c>
      <c r="AM24" s="25"/>
      <c r="AN24" s="25"/>
      <c r="AO24" s="25"/>
      <c r="AP24" s="25"/>
      <c r="AQ24" s="26"/>
      <c r="AR24" s="27">
        <f t="shared" si="10"/>
        <v>104.5</v>
      </c>
    </row>
    <row r="25" spans="1:44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0"/>
        <v>19</v>
      </c>
      <c r="I25" s="31">
        <f t="shared" si="1"/>
        <v>0</v>
      </c>
      <c r="J25" s="31">
        <f t="shared" si="2"/>
        <v>0</v>
      </c>
      <c r="K25" s="31">
        <f t="shared" si="3"/>
        <v>0</v>
      </c>
      <c r="L25" s="31">
        <f t="shared" si="4"/>
        <v>0</v>
      </c>
      <c r="M25" s="31">
        <f t="shared" si="5"/>
        <v>0</v>
      </c>
      <c r="N25" s="31">
        <f t="shared" si="6"/>
        <v>0</v>
      </c>
      <c r="O25" s="32">
        <f t="shared" si="7"/>
        <v>0</v>
      </c>
      <c r="P25" s="4">
        <f t="shared" si="8"/>
        <v>0</v>
      </c>
      <c r="Q25" s="4">
        <f t="shared" si="9"/>
        <v>0</v>
      </c>
      <c r="R25" s="132"/>
      <c r="S25" s="3"/>
      <c r="T25" s="128"/>
      <c r="U25" s="3"/>
      <c r="V25" s="25"/>
      <c r="W25" s="34" t="s">
        <v>123</v>
      </c>
      <c r="X25" s="34" t="s">
        <v>123</v>
      </c>
      <c r="Y25" s="25"/>
      <c r="Z25" s="25"/>
      <c r="AA25" s="25"/>
      <c r="AB25" s="25"/>
      <c r="AC25" s="25"/>
      <c r="AD25" s="34" t="s">
        <v>123</v>
      </c>
      <c r="AE25" s="34" t="s">
        <v>123</v>
      </c>
      <c r="AF25" s="25"/>
      <c r="AG25" s="25"/>
      <c r="AH25" s="25"/>
      <c r="AI25" s="25"/>
      <c r="AJ25" s="25"/>
      <c r="AK25" s="34" t="s">
        <v>123</v>
      </c>
      <c r="AL25" s="34" t="s">
        <v>123</v>
      </c>
      <c r="AM25" s="25"/>
      <c r="AN25" s="25"/>
      <c r="AO25" s="25"/>
      <c r="AP25" s="25"/>
      <c r="AQ25" s="26"/>
      <c r="AR25" s="27">
        <f t="shared" si="10"/>
        <v>104.5</v>
      </c>
    </row>
    <row r="26" spans="1:44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0"/>
        <v>19</v>
      </c>
      <c r="I26" s="31">
        <f t="shared" si="1"/>
        <v>0</v>
      </c>
      <c r="J26" s="31">
        <f t="shared" si="2"/>
        <v>0</v>
      </c>
      <c r="K26" s="31">
        <f t="shared" si="3"/>
        <v>0</v>
      </c>
      <c r="L26" s="31">
        <f t="shared" si="4"/>
        <v>0</v>
      </c>
      <c r="M26" s="31">
        <f t="shared" si="5"/>
        <v>0</v>
      </c>
      <c r="N26" s="31">
        <f t="shared" si="6"/>
        <v>0</v>
      </c>
      <c r="O26" s="32">
        <f t="shared" si="7"/>
        <v>0</v>
      </c>
      <c r="P26" s="4">
        <f t="shared" si="8"/>
        <v>0</v>
      </c>
      <c r="Q26" s="4">
        <f t="shared" si="9"/>
        <v>0</v>
      </c>
      <c r="R26" s="132"/>
      <c r="S26" s="133"/>
      <c r="T26" s="134"/>
      <c r="U26" s="25"/>
      <c r="V26" s="25"/>
      <c r="W26" s="34" t="s">
        <v>123</v>
      </c>
      <c r="X26" s="34" t="s">
        <v>123</v>
      </c>
      <c r="Y26" s="25"/>
      <c r="Z26" s="25"/>
      <c r="AA26" s="25"/>
      <c r="AB26" s="25"/>
      <c r="AC26" s="25"/>
      <c r="AD26" s="34" t="s">
        <v>123</v>
      </c>
      <c r="AE26" s="34" t="s">
        <v>123</v>
      </c>
      <c r="AF26" s="25"/>
      <c r="AG26" s="25"/>
      <c r="AH26" s="25"/>
      <c r="AI26" s="25"/>
      <c r="AJ26" s="25"/>
      <c r="AK26" s="34" t="s">
        <v>123</v>
      </c>
      <c r="AL26" s="34" t="s">
        <v>123</v>
      </c>
      <c r="AM26" s="25"/>
      <c r="AN26" s="25"/>
      <c r="AO26" s="25"/>
      <c r="AP26" s="25"/>
      <c r="AQ26" s="26"/>
      <c r="AR26" s="27">
        <f t="shared" si="10"/>
        <v>104.5</v>
      </c>
    </row>
    <row r="27" spans="1:44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0"/>
        <v>19</v>
      </c>
      <c r="I27" s="31">
        <f t="shared" si="1"/>
        <v>0</v>
      </c>
      <c r="J27" s="31">
        <f t="shared" si="2"/>
        <v>0</v>
      </c>
      <c r="K27" s="31">
        <f t="shared" si="3"/>
        <v>0</v>
      </c>
      <c r="L27" s="31">
        <f t="shared" si="4"/>
        <v>0</v>
      </c>
      <c r="M27" s="31">
        <f t="shared" si="5"/>
        <v>0</v>
      </c>
      <c r="N27" s="31">
        <f t="shared" si="6"/>
        <v>0</v>
      </c>
      <c r="O27" s="32">
        <f t="shared" si="7"/>
        <v>0</v>
      </c>
      <c r="P27" s="4">
        <f t="shared" si="8"/>
        <v>0</v>
      </c>
      <c r="Q27" s="4">
        <f t="shared" si="9"/>
        <v>0</v>
      </c>
      <c r="R27" s="132"/>
      <c r="S27" s="25"/>
      <c r="T27" s="25"/>
      <c r="U27" s="21"/>
      <c r="V27" s="25"/>
      <c r="W27" s="34" t="s">
        <v>123</v>
      </c>
      <c r="X27" s="34" t="s">
        <v>123</v>
      </c>
      <c r="Y27" s="25"/>
      <c r="Z27" s="25"/>
      <c r="AA27" s="25"/>
      <c r="AB27" s="25"/>
      <c r="AC27" s="25"/>
      <c r="AD27" s="34" t="s">
        <v>123</v>
      </c>
      <c r="AE27" s="34" t="s">
        <v>123</v>
      </c>
      <c r="AF27" s="25"/>
      <c r="AG27" s="25"/>
      <c r="AH27" s="25"/>
      <c r="AI27" s="25"/>
      <c r="AJ27" s="25"/>
      <c r="AK27" s="34" t="s">
        <v>123</v>
      </c>
      <c r="AL27" s="34" t="s">
        <v>123</v>
      </c>
      <c r="AM27" s="25"/>
      <c r="AN27" s="25"/>
      <c r="AO27" s="25"/>
      <c r="AP27" s="25"/>
      <c r="AQ27" s="26"/>
      <c r="AR27" s="27">
        <f t="shared" si="10"/>
        <v>104.5</v>
      </c>
    </row>
    <row r="28" spans="1:44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0"/>
        <v>19</v>
      </c>
      <c r="I28" s="31">
        <f t="shared" si="1"/>
        <v>0</v>
      </c>
      <c r="J28" s="31">
        <f t="shared" si="2"/>
        <v>0</v>
      </c>
      <c r="K28" s="31">
        <f t="shared" si="3"/>
        <v>0</v>
      </c>
      <c r="L28" s="31">
        <f t="shared" si="4"/>
        <v>0</v>
      </c>
      <c r="M28" s="31">
        <f t="shared" si="5"/>
        <v>0</v>
      </c>
      <c r="N28" s="31">
        <f t="shared" si="6"/>
        <v>0</v>
      </c>
      <c r="O28" s="32">
        <f t="shared" si="7"/>
        <v>0</v>
      </c>
      <c r="P28" s="4">
        <f t="shared" si="8"/>
        <v>0</v>
      </c>
      <c r="Q28" s="4">
        <f t="shared" si="9"/>
        <v>0</v>
      </c>
      <c r="R28" s="132"/>
      <c r="S28" s="135"/>
      <c r="T28" s="136"/>
      <c r="U28" s="3"/>
      <c r="V28" s="25"/>
      <c r="W28" s="34" t="s">
        <v>123</v>
      </c>
      <c r="X28" s="34" t="s">
        <v>123</v>
      </c>
      <c r="Y28" s="25"/>
      <c r="Z28" s="25"/>
      <c r="AA28" s="25"/>
      <c r="AB28" s="25"/>
      <c r="AC28" s="25"/>
      <c r="AD28" s="34" t="s">
        <v>123</v>
      </c>
      <c r="AE28" s="34" t="s">
        <v>123</v>
      </c>
      <c r="AF28" s="25"/>
      <c r="AG28" s="25"/>
      <c r="AH28" s="25"/>
      <c r="AI28" s="25"/>
      <c r="AJ28" s="25"/>
      <c r="AK28" s="34" t="s">
        <v>123</v>
      </c>
      <c r="AL28" s="34" t="s">
        <v>123</v>
      </c>
      <c r="AM28" s="25"/>
      <c r="AN28" s="25"/>
      <c r="AO28" s="25"/>
      <c r="AP28" s="25"/>
      <c r="AQ28" s="26"/>
      <c r="AR28" s="27">
        <f t="shared" si="10"/>
        <v>104.5</v>
      </c>
    </row>
    <row r="29" spans="1:44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0"/>
        <v>19</v>
      </c>
      <c r="I29" s="31">
        <f t="shared" si="1"/>
        <v>0</v>
      </c>
      <c r="J29" s="31">
        <f t="shared" si="2"/>
        <v>0</v>
      </c>
      <c r="K29" s="31">
        <f t="shared" si="3"/>
        <v>0</v>
      </c>
      <c r="L29" s="31">
        <f t="shared" si="4"/>
        <v>0</v>
      </c>
      <c r="M29" s="31">
        <f t="shared" si="5"/>
        <v>0</v>
      </c>
      <c r="N29" s="31">
        <f t="shared" si="6"/>
        <v>0</v>
      </c>
      <c r="O29" s="32">
        <f t="shared" si="7"/>
        <v>0</v>
      </c>
      <c r="P29" s="4">
        <f t="shared" si="8"/>
        <v>0</v>
      </c>
      <c r="Q29" s="4">
        <f t="shared" si="9"/>
        <v>0</v>
      </c>
      <c r="R29" s="132"/>
      <c r="S29" s="25"/>
      <c r="T29" s="128"/>
      <c r="U29" s="128"/>
      <c r="V29" s="25"/>
      <c r="W29" s="34" t="s">
        <v>123</v>
      </c>
      <c r="X29" s="34" t="s">
        <v>123</v>
      </c>
      <c r="Y29" s="25"/>
      <c r="Z29" s="25"/>
      <c r="AA29" s="25"/>
      <c r="AB29" s="25"/>
      <c r="AC29" s="25"/>
      <c r="AD29" s="34" t="s">
        <v>123</v>
      </c>
      <c r="AE29" s="34" t="s">
        <v>123</v>
      </c>
      <c r="AF29" s="25"/>
      <c r="AG29" s="25"/>
      <c r="AH29" s="25"/>
      <c r="AI29" s="25"/>
      <c r="AJ29" s="25"/>
      <c r="AK29" s="34" t="s">
        <v>123</v>
      </c>
      <c r="AL29" s="34" t="s">
        <v>123</v>
      </c>
      <c r="AM29" s="25"/>
      <c r="AN29" s="25"/>
      <c r="AO29" s="25"/>
      <c r="AP29" s="25"/>
      <c r="AQ29" s="26"/>
      <c r="AR29" s="27">
        <f t="shared" si="10"/>
        <v>104.5</v>
      </c>
    </row>
    <row r="30" spans="1:44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1"/>
      <c r="S30" s="130"/>
      <c r="T30" s="90"/>
      <c r="U30" s="90"/>
      <c r="V30" s="90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35"/>
      <c r="AR30" s="1"/>
    </row>
    <row r="31" spans="1:44" ht="12.75" customHeight="1" x14ac:dyDescent="0.2">
      <c r="A31" s="1"/>
      <c r="B31" s="2"/>
      <c r="C31" s="2"/>
      <c r="D31" s="2"/>
      <c r="E31" s="2"/>
      <c r="F31" s="2"/>
      <c r="G31" s="2"/>
      <c r="H31" s="151" t="s">
        <v>178</v>
      </c>
      <c r="I31" s="151"/>
      <c r="J31" s="151"/>
      <c r="K31" s="151"/>
      <c r="L31" s="151"/>
      <c r="M31" s="151"/>
      <c r="N31" s="151"/>
      <c r="O31" s="152"/>
      <c r="P31" s="36"/>
      <c r="Q31" s="36"/>
      <c r="R31" s="124"/>
      <c r="S31" s="124"/>
      <c r="T31" s="124"/>
      <c r="U31" s="124"/>
      <c r="V31" s="124"/>
      <c r="W31" s="14"/>
      <c r="X31" s="14"/>
      <c r="Y31" s="124"/>
      <c r="Z31" s="124"/>
      <c r="AA31" s="124"/>
      <c r="AB31" s="137"/>
      <c r="AC31" s="124"/>
      <c r="AD31" s="14"/>
      <c r="AE31" s="14"/>
      <c r="AF31" s="124"/>
      <c r="AG31" s="137"/>
      <c r="AH31" s="124"/>
      <c r="AI31" s="124"/>
      <c r="AJ31" s="124"/>
      <c r="AK31" s="14"/>
      <c r="AL31" s="14"/>
      <c r="AM31" s="124"/>
      <c r="AN31" s="137"/>
      <c r="AO31" s="124"/>
      <c r="AP31" s="124"/>
      <c r="AQ31" s="37"/>
    </row>
    <row r="32" spans="1:44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52"/>
      <c r="S32" s="52"/>
      <c r="T32" s="52"/>
      <c r="U32" s="52"/>
      <c r="V32" s="52"/>
      <c r="W32" s="14"/>
      <c r="X32" s="14"/>
      <c r="Y32" s="52"/>
      <c r="Z32" s="52"/>
      <c r="AA32" s="52"/>
      <c r="AB32" s="52"/>
      <c r="AC32" s="52"/>
      <c r="AD32" s="14"/>
      <c r="AE32" s="14"/>
      <c r="AF32" s="52"/>
      <c r="AG32" s="52"/>
      <c r="AH32" s="52"/>
      <c r="AI32" s="52"/>
      <c r="AJ32" s="52"/>
      <c r="AK32" s="14"/>
      <c r="AL32" s="14"/>
      <c r="AM32" s="52"/>
      <c r="AN32" s="52"/>
      <c r="AO32" s="52"/>
      <c r="AP32" s="52"/>
      <c r="AQ32" s="39"/>
    </row>
    <row r="33" spans="1:42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3" t="s">
        <v>148</v>
      </c>
      <c r="B34" s="3"/>
      <c r="C34" s="3" t="s">
        <v>153</v>
      </c>
      <c r="H34" t="s">
        <v>152</v>
      </c>
    </row>
    <row r="35" spans="1:42" ht="38.25" x14ac:dyDescent="0.2">
      <c r="A35" s="1" t="s">
        <v>154</v>
      </c>
      <c r="B35" s="1" t="s">
        <v>155</v>
      </c>
      <c r="C35" s="3"/>
    </row>
    <row r="36" spans="1:42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42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42" ht="38.25" x14ac:dyDescent="0.2">
      <c r="A38" s="3" t="s">
        <v>160</v>
      </c>
      <c r="B38" s="3" t="s">
        <v>141</v>
      </c>
      <c r="C38" s="3" t="s">
        <v>157</v>
      </c>
    </row>
    <row r="39" spans="1:42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42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42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42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42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42" x14ac:dyDescent="0.2">
      <c r="C44" s="1"/>
    </row>
    <row r="45" spans="1:42" x14ac:dyDescent="0.2">
      <c r="F45" s="54"/>
      <c r="G45" s="54"/>
      <c r="H45" s="54"/>
      <c r="I45" s="54"/>
      <c r="J45" s="54"/>
      <c r="K45" s="54"/>
      <c r="L45" s="54"/>
    </row>
    <row r="46" spans="1:42" x14ac:dyDescent="0.2"/>
    <row r="47" spans="1:42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42" ht="25.5" x14ac:dyDescent="0.2">
      <c r="A48" s="42" t="s">
        <v>172</v>
      </c>
      <c r="B48" s="42">
        <f>COUNTBLANK(R1:AP1)</f>
        <v>19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104.5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v>814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phoneticPr fontId="12" type="noConversion"/>
  <conditionalFormatting sqref="O4:O29">
    <cfRule type="cellIs" dxfId="39" priority="1" operator="greaterThan">
      <formula>3.9</formula>
    </cfRule>
    <cfRule type="cellIs" dxfId="38" priority="2" operator="between">
      <formula>2</formula>
      <formula>3.9</formula>
    </cfRule>
    <cfRule type="cellIs" dxfId="37" priority="6" stopIfTrue="1" operator="between">
      <formula>1</formula>
      <formula>1.9</formula>
    </cfRule>
  </conditionalFormatting>
  <conditionalFormatting sqref="P4:Q29">
    <cfRule type="cellIs" dxfId="36" priority="3" stopIfTrue="1" operator="between">
      <formula>0</formula>
      <formula>2.9</formula>
    </cfRule>
    <cfRule type="cellIs" dxfId="35" priority="4" stopIfTrue="1" operator="between">
      <formula>3</formula>
      <formula>3.9</formula>
    </cfRule>
    <cfRule type="cellIs" dxfId="34" priority="5" stopIfTrue="1" operator="greaterThan">
      <formula>3.9</formula>
    </cfRule>
  </conditionalFormatting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88F9-EF79-4A8C-B611-7FF45A68C0C9}">
  <dimension ref="A1:XFD114"/>
  <sheetViews>
    <sheetView workbookViewId="0">
      <pane xSplit="4" ySplit="3" topLeftCell="E4" activePane="bottomRight" state="frozen"/>
      <selection pane="topRight"/>
      <selection pane="bottomLeft" activeCell="AP25" sqref="AP25:AQ26"/>
      <selection pane="bottomRight" activeCell="AN32" sqref="AJ9:AN32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5.28515625" bestFit="1" customWidth="1"/>
    <col min="9" max="9" width="5.42578125" bestFit="1" customWidth="1"/>
    <col min="10" max="10" width="6.28515625" customWidth="1"/>
    <col min="11" max="11" width="8" customWidth="1"/>
    <col min="12" max="12" width="4.42578125" bestFit="1" customWidth="1"/>
    <col min="13" max="13" width="4.5703125" bestFit="1" customWidth="1"/>
    <col min="14" max="14" width="6.85546875" customWidth="1"/>
    <col min="15" max="15" width="10.5703125" bestFit="1" customWidth="1"/>
    <col min="16" max="17" width="15.85546875" bestFit="1" customWidth="1"/>
    <col min="18" max="21" width="12.140625" customWidth="1"/>
    <col min="22" max="22" width="12.140625" bestFit="1" customWidth="1"/>
    <col min="23" max="40" width="12.140625" customWidth="1"/>
    <col min="41" max="41" width="11.42578125" bestFit="1" customWidth="1"/>
    <col min="42" max="42" width="14.42578125" bestFit="1" customWidth="1"/>
  </cols>
  <sheetData>
    <row r="1" spans="1:16384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 t="s">
        <v>123</v>
      </c>
      <c r="U1" s="20" t="s">
        <v>123</v>
      </c>
      <c r="V1" s="20"/>
      <c r="W1" s="20"/>
      <c r="X1" s="20"/>
      <c r="Y1" s="20"/>
      <c r="Z1" s="20"/>
      <c r="AA1" s="20" t="s">
        <v>123</v>
      </c>
      <c r="AB1" s="20" t="s">
        <v>123</v>
      </c>
      <c r="AC1" s="20"/>
      <c r="AD1" s="20"/>
      <c r="AE1" s="20"/>
      <c r="AF1" s="20"/>
      <c r="AG1" s="20"/>
      <c r="AH1" s="20" t="s">
        <v>123</v>
      </c>
      <c r="AI1" s="20" t="s">
        <v>123</v>
      </c>
      <c r="AJ1" s="20"/>
      <c r="AK1" s="20"/>
      <c r="AL1" s="20"/>
      <c r="AM1" s="20"/>
      <c r="AN1" s="20"/>
      <c r="AO1" s="23"/>
      <c r="AP1" s="24" t="s">
        <v>124</v>
      </c>
    </row>
    <row r="2" spans="1:16384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129</v>
      </c>
      <c r="S2" s="25" t="s">
        <v>130</v>
      </c>
      <c r="T2" s="3" t="s">
        <v>131</v>
      </c>
      <c r="U2" s="3" t="s">
        <v>132</v>
      </c>
      <c r="V2" s="3" t="s">
        <v>126</v>
      </c>
      <c r="W2" s="3" t="s">
        <v>127</v>
      </c>
      <c r="X2" s="3" t="s">
        <v>128</v>
      </c>
      <c r="Y2" s="3" t="s">
        <v>129</v>
      </c>
      <c r="Z2" s="25" t="s">
        <v>130</v>
      </c>
      <c r="AA2" s="3" t="s">
        <v>131</v>
      </c>
      <c r="AB2" s="3" t="s">
        <v>132</v>
      </c>
      <c r="AC2" s="3" t="s">
        <v>126</v>
      </c>
      <c r="AD2" s="3" t="s">
        <v>127</v>
      </c>
      <c r="AE2" s="3" t="s">
        <v>128</v>
      </c>
      <c r="AF2" s="3" t="s">
        <v>129</v>
      </c>
      <c r="AG2" s="25" t="s">
        <v>130</v>
      </c>
      <c r="AH2" s="3" t="s">
        <v>131</v>
      </c>
      <c r="AI2" s="3" t="s">
        <v>132</v>
      </c>
      <c r="AJ2" s="3" t="s">
        <v>126</v>
      </c>
      <c r="AK2" s="3" t="s">
        <v>127</v>
      </c>
      <c r="AL2" s="3" t="s">
        <v>128</v>
      </c>
      <c r="AM2" s="3" t="s">
        <v>129</v>
      </c>
      <c r="AN2" s="25" t="s">
        <v>130</v>
      </c>
      <c r="AO2" s="26"/>
      <c r="AP2" s="27" t="s">
        <v>133</v>
      </c>
    </row>
    <row r="3" spans="1:16384" ht="30.75" hidden="1" customHeight="1" x14ac:dyDescent="0.2">
      <c r="A3" s="11" t="s">
        <v>179</v>
      </c>
      <c r="B3" s="11" t="s">
        <v>180</v>
      </c>
      <c r="C3" s="11" t="s">
        <v>181</v>
      </c>
      <c r="D3" s="11" t="s">
        <v>182</v>
      </c>
      <c r="E3" s="11" t="s">
        <v>183</v>
      </c>
      <c r="F3" s="11" t="s">
        <v>184</v>
      </c>
      <c r="G3" s="11" t="s">
        <v>185</v>
      </c>
      <c r="H3" s="12" t="s">
        <v>186</v>
      </c>
      <c r="I3" s="12" t="s">
        <v>187</v>
      </c>
      <c r="J3" s="12" t="s">
        <v>188</v>
      </c>
      <c r="K3" s="12" t="s">
        <v>189</v>
      </c>
      <c r="L3" s="12" t="s">
        <v>190</v>
      </c>
      <c r="M3" s="12" t="s">
        <v>191</v>
      </c>
      <c r="N3" s="12" t="s">
        <v>192</v>
      </c>
      <c r="O3" s="12" t="s">
        <v>193</v>
      </c>
      <c r="P3" s="28" t="s">
        <v>194</v>
      </c>
      <c r="Q3" s="28" t="s">
        <v>195</v>
      </c>
      <c r="R3" s="29" t="s">
        <v>196</v>
      </c>
      <c r="S3" s="29" t="s">
        <v>197</v>
      </c>
      <c r="T3" s="29" t="s">
        <v>198</v>
      </c>
      <c r="U3" s="29" t="s">
        <v>199</v>
      </c>
      <c r="V3" s="29" t="s">
        <v>200</v>
      </c>
      <c r="W3" s="29" t="s">
        <v>201</v>
      </c>
      <c r="X3" s="29" t="s">
        <v>202</v>
      </c>
      <c r="Y3" s="29" t="s">
        <v>203</v>
      </c>
      <c r="Z3" s="29" t="s">
        <v>204</v>
      </c>
      <c r="AA3" s="29" t="s">
        <v>205</v>
      </c>
      <c r="AB3" s="29" t="s">
        <v>206</v>
      </c>
      <c r="AC3" s="29" t="s">
        <v>207</v>
      </c>
      <c r="AD3" s="29" t="s">
        <v>208</v>
      </c>
      <c r="AE3" s="29" t="s">
        <v>209</v>
      </c>
      <c r="AF3" s="29" t="s">
        <v>210</v>
      </c>
      <c r="AG3" s="29" t="s">
        <v>211</v>
      </c>
      <c r="AH3" s="29" t="s">
        <v>212</v>
      </c>
      <c r="AI3" s="29" t="s">
        <v>213</v>
      </c>
      <c r="AJ3" s="29" t="s">
        <v>214</v>
      </c>
      <c r="AK3" s="29" t="s">
        <v>215</v>
      </c>
      <c r="AL3" s="29" t="s">
        <v>216</v>
      </c>
      <c r="AM3" s="29" t="s">
        <v>217</v>
      </c>
      <c r="AN3" s="29" t="s">
        <v>218</v>
      </c>
      <c r="AO3" s="26" t="s">
        <v>219</v>
      </c>
      <c r="AP3" s="27" t="s">
        <v>220</v>
      </c>
      <c r="AQ3" t="s">
        <v>221</v>
      </c>
      <c r="AR3" t="s">
        <v>222</v>
      </c>
      <c r="AS3" t="s">
        <v>223</v>
      </c>
      <c r="AT3" t="s">
        <v>224</v>
      </c>
      <c r="AU3" t="s">
        <v>225</v>
      </c>
      <c r="AV3" t="s">
        <v>226</v>
      </c>
      <c r="AW3" t="s">
        <v>227</v>
      </c>
      <c r="AX3" t="s">
        <v>228</v>
      </c>
      <c r="AY3" t="s">
        <v>229</v>
      </c>
      <c r="AZ3" t="s">
        <v>230</v>
      </c>
      <c r="BA3" t="s">
        <v>231</v>
      </c>
      <c r="BB3" t="s">
        <v>232</v>
      </c>
      <c r="BC3" t="s">
        <v>233</v>
      </c>
      <c r="BD3" t="s">
        <v>234</v>
      </c>
      <c r="BE3" t="s">
        <v>235</v>
      </c>
      <c r="BF3" t="s">
        <v>236</v>
      </c>
      <c r="BG3" t="s">
        <v>237</v>
      </c>
      <c r="BH3" t="s">
        <v>238</v>
      </c>
      <c r="BI3" t="s">
        <v>239</v>
      </c>
      <c r="BJ3" t="s">
        <v>240</v>
      </c>
      <c r="BK3" t="s">
        <v>241</v>
      </c>
      <c r="BL3" t="s">
        <v>242</v>
      </c>
      <c r="BM3" t="s">
        <v>243</v>
      </c>
      <c r="BN3" t="s">
        <v>244</v>
      </c>
      <c r="BO3" t="s">
        <v>245</v>
      </c>
      <c r="BP3" t="s">
        <v>246</v>
      </c>
      <c r="BQ3" t="s">
        <v>247</v>
      </c>
      <c r="BR3" t="s">
        <v>248</v>
      </c>
      <c r="BS3" t="s">
        <v>249</v>
      </c>
      <c r="BT3" t="s">
        <v>250</v>
      </c>
      <c r="BU3" t="s">
        <v>251</v>
      </c>
      <c r="BV3" t="s">
        <v>252</v>
      </c>
      <c r="BW3" t="s">
        <v>253</v>
      </c>
      <c r="BX3" t="s">
        <v>254</v>
      </c>
      <c r="BY3" t="s">
        <v>255</v>
      </c>
      <c r="BZ3" t="s">
        <v>256</v>
      </c>
      <c r="CA3" t="s">
        <v>257</v>
      </c>
      <c r="CB3" t="s">
        <v>258</v>
      </c>
      <c r="CC3" t="s">
        <v>259</v>
      </c>
      <c r="CD3" t="s">
        <v>260</v>
      </c>
      <c r="CE3" t="s">
        <v>261</v>
      </c>
      <c r="CF3" t="s">
        <v>262</v>
      </c>
      <c r="CG3" t="s">
        <v>263</v>
      </c>
      <c r="CH3" t="s">
        <v>264</v>
      </c>
      <c r="CI3" t="s">
        <v>265</v>
      </c>
      <c r="CJ3" t="s">
        <v>266</v>
      </c>
      <c r="CK3" t="s">
        <v>267</v>
      </c>
      <c r="CL3" t="s">
        <v>268</v>
      </c>
      <c r="CM3" t="s">
        <v>269</v>
      </c>
      <c r="CN3" t="s">
        <v>270</v>
      </c>
      <c r="CO3" t="s">
        <v>271</v>
      </c>
      <c r="CP3" t="s">
        <v>272</v>
      </c>
      <c r="CQ3" t="s">
        <v>273</v>
      </c>
      <c r="CR3" t="s">
        <v>274</v>
      </c>
      <c r="CS3" t="s">
        <v>275</v>
      </c>
      <c r="CT3" t="s">
        <v>276</v>
      </c>
      <c r="CU3" t="s">
        <v>277</v>
      </c>
      <c r="CV3" t="s">
        <v>278</v>
      </c>
      <c r="CW3" t="s">
        <v>279</v>
      </c>
      <c r="CX3" t="s">
        <v>280</v>
      </c>
      <c r="CY3" t="s">
        <v>281</v>
      </c>
      <c r="CZ3" t="s">
        <v>282</v>
      </c>
      <c r="DA3" t="s">
        <v>283</v>
      </c>
      <c r="DB3" t="s">
        <v>284</v>
      </c>
      <c r="DC3" t="s">
        <v>285</v>
      </c>
      <c r="DD3" t="s">
        <v>286</v>
      </c>
      <c r="DE3" t="s">
        <v>287</v>
      </c>
      <c r="DF3" t="s">
        <v>288</v>
      </c>
      <c r="DG3" t="s">
        <v>289</v>
      </c>
      <c r="DH3" t="s">
        <v>290</v>
      </c>
      <c r="DI3" t="s">
        <v>291</v>
      </c>
      <c r="DJ3" t="s">
        <v>292</v>
      </c>
      <c r="DK3" t="s">
        <v>293</v>
      </c>
      <c r="DL3" t="s">
        <v>294</v>
      </c>
      <c r="DM3" t="s">
        <v>295</v>
      </c>
      <c r="DN3" t="s">
        <v>296</v>
      </c>
      <c r="DO3" t="s">
        <v>297</v>
      </c>
      <c r="DP3" t="s">
        <v>298</v>
      </c>
      <c r="DQ3" t="s">
        <v>299</v>
      </c>
      <c r="DR3" t="s">
        <v>300</v>
      </c>
      <c r="DS3" t="s">
        <v>301</v>
      </c>
      <c r="DT3" t="s">
        <v>302</v>
      </c>
      <c r="DU3" t="s">
        <v>303</v>
      </c>
      <c r="DV3" t="s">
        <v>304</v>
      </c>
      <c r="DW3" t="s">
        <v>305</v>
      </c>
      <c r="DX3" t="s">
        <v>306</v>
      </c>
      <c r="DY3" t="s">
        <v>307</v>
      </c>
      <c r="DZ3" t="s">
        <v>308</v>
      </c>
      <c r="EA3" t="s">
        <v>309</v>
      </c>
      <c r="EB3" t="s">
        <v>310</v>
      </c>
      <c r="EC3" t="s">
        <v>311</v>
      </c>
      <c r="ED3" t="s">
        <v>312</v>
      </c>
      <c r="EE3" t="s">
        <v>313</v>
      </c>
      <c r="EF3" t="s">
        <v>314</v>
      </c>
      <c r="EG3" t="s">
        <v>315</v>
      </c>
      <c r="EH3" t="s">
        <v>316</v>
      </c>
      <c r="EI3" t="s">
        <v>317</v>
      </c>
      <c r="EJ3" t="s">
        <v>318</v>
      </c>
      <c r="EK3" t="s">
        <v>319</v>
      </c>
      <c r="EL3" t="s">
        <v>320</v>
      </c>
      <c r="EM3" t="s">
        <v>321</v>
      </c>
      <c r="EN3" t="s">
        <v>322</v>
      </c>
      <c r="EO3" t="s">
        <v>323</v>
      </c>
      <c r="EP3" t="s">
        <v>324</v>
      </c>
      <c r="EQ3" t="s">
        <v>325</v>
      </c>
      <c r="ER3" t="s">
        <v>326</v>
      </c>
      <c r="ES3" t="s">
        <v>327</v>
      </c>
      <c r="ET3" t="s">
        <v>328</v>
      </c>
      <c r="EU3" t="s">
        <v>329</v>
      </c>
      <c r="EV3" t="s">
        <v>330</v>
      </c>
      <c r="EW3" t="s">
        <v>331</v>
      </c>
      <c r="EX3" t="s">
        <v>332</v>
      </c>
      <c r="EY3" t="s">
        <v>333</v>
      </c>
      <c r="EZ3" t="s">
        <v>334</v>
      </c>
      <c r="FA3" t="s">
        <v>335</v>
      </c>
      <c r="FB3" t="s">
        <v>336</v>
      </c>
      <c r="FC3" t="s">
        <v>337</v>
      </c>
      <c r="FD3" t="s">
        <v>338</v>
      </c>
      <c r="FE3" t="s">
        <v>339</v>
      </c>
      <c r="FF3" t="s">
        <v>340</v>
      </c>
      <c r="FG3" t="s">
        <v>341</v>
      </c>
      <c r="FH3" t="s">
        <v>342</v>
      </c>
      <c r="FI3" t="s">
        <v>343</v>
      </c>
      <c r="FJ3" t="s">
        <v>344</v>
      </c>
      <c r="FK3" t="s">
        <v>345</v>
      </c>
      <c r="FL3" t="s">
        <v>346</v>
      </c>
      <c r="FM3" t="s">
        <v>347</v>
      </c>
      <c r="FN3" t="s">
        <v>348</v>
      </c>
      <c r="FO3" t="s">
        <v>349</v>
      </c>
      <c r="FP3" t="s">
        <v>350</v>
      </c>
      <c r="FQ3" t="s">
        <v>351</v>
      </c>
      <c r="FR3" t="s">
        <v>352</v>
      </c>
      <c r="FS3" t="s">
        <v>353</v>
      </c>
      <c r="FT3" t="s">
        <v>354</v>
      </c>
      <c r="FU3" t="s">
        <v>355</v>
      </c>
      <c r="FV3" t="s">
        <v>356</v>
      </c>
      <c r="FW3" t="s">
        <v>357</v>
      </c>
      <c r="FX3" t="s">
        <v>358</v>
      </c>
      <c r="FY3" t="s">
        <v>359</v>
      </c>
      <c r="FZ3" t="s">
        <v>360</v>
      </c>
      <c r="GA3" t="s">
        <v>361</v>
      </c>
      <c r="GB3" t="s">
        <v>362</v>
      </c>
      <c r="GC3" t="s">
        <v>363</v>
      </c>
      <c r="GD3" t="s">
        <v>364</v>
      </c>
      <c r="GE3" t="s">
        <v>365</v>
      </c>
      <c r="GF3" t="s">
        <v>366</v>
      </c>
      <c r="GG3" t="s">
        <v>367</v>
      </c>
      <c r="GH3" t="s">
        <v>368</v>
      </c>
      <c r="GI3" t="s">
        <v>369</v>
      </c>
      <c r="GJ3" t="s">
        <v>370</v>
      </c>
      <c r="GK3" t="s">
        <v>371</v>
      </c>
      <c r="GL3" t="s">
        <v>372</v>
      </c>
      <c r="GM3" t="s">
        <v>373</v>
      </c>
      <c r="GN3" t="s">
        <v>374</v>
      </c>
      <c r="GO3" t="s">
        <v>375</v>
      </c>
      <c r="GP3" t="s">
        <v>376</v>
      </c>
      <c r="GQ3" t="s">
        <v>377</v>
      </c>
      <c r="GR3" t="s">
        <v>378</v>
      </c>
      <c r="GS3" t="s">
        <v>379</v>
      </c>
      <c r="GT3" t="s">
        <v>380</v>
      </c>
      <c r="GU3" t="s">
        <v>381</v>
      </c>
      <c r="GV3" t="s">
        <v>382</v>
      </c>
      <c r="GW3" t="s">
        <v>383</v>
      </c>
      <c r="GX3" t="s">
        <v>384</v>
      </c>
      <c r="GY3" t="s">
        <v>385</v>
      </c>
      <c r="GZ3" t="s">
        <v>386</v>
      </c>
      <c r="HA3" t="s">
        <v>387</v>
      </c>
      <c r="HB3" t="s">
        <v>388</v>
      </c>
      <c r="HC3" t="s">
        <v>389</v>
      </c>
      <c r="HD3" t="s">
        <v>390</v>
      </c>
      <c r="HE3" t="s">
        <v>391</v>
      </c>
      <c r="HF3" t="s">
        <v>392</v>
      </c>
      <c r="HG3" t="s">
        <v>393</v>
      </c>
      <c r="HH3" t="s">
        <v>394</v>
      </c>
      <c r="HI3" t="s">
        <v>395</v>
      </c>
      <c r="HJ3" t="s">
        <v>396</v>
      </c>
      <c r="HK3" t="s">
        <v>397</v>
      </c>
      <c r="HL3" t="s">
        <v>398</v>
      </c>
      <c r="HM3" t="s">
        <v>399</v>
      </c>
      <c r="HN3" t="s">
        <v>400</v>
      </c>
      <c r="HO3" t="s">
        <v>401</v>
      </c>
      <c r="HP3" t="s">
        <v>402</v>
      </c>
      <c r="HQ3" t="s">
        <v>403</v>
      </c>
      <c r="HR3" t="s">
        <v>404</v>
      </c>
      <c r="HS3" t="s">
        <v>405</v>
      </c>
      <c r="HT3" t="s">
        <v>406</v>
      </c>
      <c r="HU3" t="s">
        <v>407</v>
      </c>
      <c r="HV3" t="s">
        <v>408</v>
      </c>
      <c r="HW3" t="s">
        <v>409</v>
      </c>
      <c r="HX3" t="s">
        <v>410</v>
      </c>
      <c r="HY3" t="s">
        <v>411</v>
      </c>
      <c r="HZ3" t="s">
        <v>412</v>
      </c>
      <c r="IA3" t="s">
        <v>413</v>
      </c>
      <c r="IB3" t="s">
        <v>414</v>
      </c>
      <c r="IC3" t="s">
        <v>415</v>
      </c>
      <c r="ID3" t="s">
        <v>416</v>
      </c>
      <c r="IE3" t="s">
        <v>417</v>
      </c>
      <c r="IF3" t="s">
        <v>418</v>
      </c>
      <c r="IG3" t="s">
        <v>419</v>
      </c>
      <c r="IH3" t="s">
        <v>420</v>
      </c>
      <c r="II3" t="s">
        <v>421</v>
      </c>
      <c r="IJ3" t="s">
        <v>422</v>
      </c>
      <c r="IK3" t="s">
        <v>423</v>
      </c>
      <c r="IL3" t="s">
        <v>424</v>
      </c>
      <c r="IM3" t="s">
        <v>425</v>
      </c>
      <c r="IN3" t="s">
        <v>426</v>
      </c>
      <c r="IO3" t="s">
        <v>427</v>
      </c>
      <c r="IP3" t="s">
        <v>428</v>
      </c>
      <c r="IQ3" t="s">
        <v>429</v>
      </c>
      <c r="IR3" t="s">
        <v>430</v>
      </c>
      <c r="IS3" t="s">
        <v>431</v>
      </c>
      <c r="IT3" t="s">
        <v>432</v>
      </c>
      <c r="IU3" t="s">
        <v>433</v>
      </c>
      <c r="IV3" t="s">
        <v>434</v>
      </c>
      <c r="IW3" t="s">
        <v>435</v>
      </c>
      <c r="IX3" t="s">
        <v>436</v>
      </c>
      <c r="IY3" t="s">
        <v>437</v>
      </c>
      <c r="IZ3" t="s">
        <v>438</v>
      </c>
      <c r="JA3" t="s">
        <v>439</v>
      </c>
      <c r="JB3" t="s">
        <v>440</v>
      </c>
      <c r="JC3" t="s">
        <v>441</v>
      </c>
      <c r="JD3" t="s">
        <v>442</v>
      </c>
      <c r="JE3" t="s">
        <v>443</v>
      </c>
      <c r="JF3" t="s">
        <v>444</v>
      </c>
      <c r="JG3" t="s">
        <v>445</v>
      </c>
      <c r="JH3" t="s">
        <v>446</v>
      </c>
      <c r="JI3" t="s">
        <v>447</v>
      </c>
      <c r="JJ3" t="s">
        <v>448</v>
      </c>
      <c r="JK3" t="s">
        <v>449</v>
      </c>
      <c r="JL3" t="s">
        <v>450</v>
      </c>
      <c r="JM3" t="s">
        <v>451</v>
      </c>
      <c r="JN3" t="s">
        <v>452</v>
      </c>
      <c r="JO3" t="s">
        <v>453</v>
      </c>
      <c r="JP3" t="s">
        <v>454</v>
      </c>
      <c r="JQ3" t="s">
        <v>455</v>
      </c>
      <c r="JR3" t="s">
        <v>456</v>
      </c>
      <c r="JS3" t="s">
        <v>457</v>
      </c>
      <c r="JT3" t="s">
        <v>458</v>
      </c>
      <c r="JU3" t="s">
        <v>459</v>
      </c>
      <c r="JV3" t="s">
        <v>460</v>
      </c>
      <c r="JW3" t="s">
        <v>461</v>
      </c>
      <c r="JX3" t="s">
        <v>462</v>
      </c>
      <c r="JY3" t="s">
        <v>463</v>
      </c>
      <c r="JZ3" t="s">
        <v>464</v>
      </c>
      <c r="KA3" t="s">
        <v>465</v>
      </c>
      <c r="KB3" t="s">
        <v>466</v>
      </c>
      <c r="KC3" t="s">
        <v>467</v>
      </c>
      <c r="KD3" t="s">
        <v>468</v>
      </c>
      <c r="KE3" t="s">
        <v>469</v>
      </c>
      <c r="KF3" t="s">
        <v>470</v>
      </c>
      <c r="KG3" t="s">
        <v>471</v>
      </c>
      <c r="KH3" t="s">
        <v>472</v>
      </c>
      <c r="KI3" t="s">
        <v>473</v>
      </c>
      <c r="KJ3" t="s">
        <v>474</v>
      </c>
      <c r="KK3" t="s">
        <v>475</v>
      </c>
      <c r="KL3" t="s">
        <v>476</v>
      </c>
      <c r="KM3" t="s">
        <v>477</v>
      </c>
      <c r="KN3" t="s">
        <v>478</v>
      </c>
      <c r="KO3" t="s">
        <v>479</v>
      </c>
      <c r="KP3" t="s">
        <v>480</v>
      </c>
      <c r="KQ3" t="s">
        <v>481</v>
      </c>
      <c r="KR3" t="s">
        <v>482</v>
      </c>
      <c r="KS3" t="s">
        <v>483</v>
      </c>
      <c r="KT3" t="s">
        <v>484</v>
      </c>
      <c r="KU3" t="s">
        <v>485</v>
      </c>
      <c r="KV3" t="s">
        <v>486</v>
      </c>
      <c r="KW3" t="s">
        <v>487</v>
      </c>
      <c r="KX3" t="s">
        <v>488</v>
      </c>
      <c r="KY3" t="s">
        <v>489</v>
      </c>
      <c r="KZ3" t="s">
        <v>490</v>
      </c>
      <c r="LA3" t="s">
        <v>491</v>
      </c>
      <c r="LB3" t="s">
        <v>492</v>
      </c>
      <c r="LC3" t="s">
        <v>493</v>
      </c>
      <c r="LD3" t="s">
        <v>494</v>
      </c>
      <c r="LE3" t="s">
        <v>495</v>
      </c>
      <c r="LF3" t="s">
        <v>496</v>
      </c>
      <c r="LG3" t="s">
        <v>497</v>
      </c>
      <c r="LH3" t="s">
        <v>498</v>
      </c>
      <c r="LI3" t="s">
        <v>499</v>
      </c>
      <c r="LJ3" t="s">
        <v>500</v>
      </c>
      <c r="LK3" t="s">
        <v>501</v>
      </c>
      <c r="LL3" t="s">
        <v>502</v>
      </c>
      <c r="LM3" t="s">
        <v>503</v>
      </c>
      <c r="LN3" t="s">
        <v>504</v>
      </c>
      <c r="LO3" t="s">
        <v>505</v>
      </c>
      <c r="LP3" t="s">
        <v>506</v>
      </c>
      <c r="LQ3" t="s">
        <v>507</v>
      </c>
      <c r="LR3" t="s">
        <v>508</v>
      </c>
      <c r="LS3" t="s">
        <v>509</v>
      </c>
      <c r="LT3" t="s">
        <v>510</v>
      </c>
      <c r="LU3" t="s">
        <v>511</v>
      </c>
      <c r="LV3" t="s">
        <v>512</v>
      </c>
      <c r="LW3" t="s">
        <v>513</v>
      </c>
      <c r="LX3" t="s">
        <v>514</v>
      </c>
      <c r="LY3" t="s">
        <v>515</v>
      </c>
      <c r="LZ3" t="s">
        <v>516</v>
      </c>
      <c r="MA3" t="s">
        <v>517</v>
      </c>
      <c r="MB3" t="s">
        <v>518</v>
      </c>
      <c r="MC3" t="s">
        <v>519</v>
      </c>
      <c r="MD3" t="s">
        <v>520</v>
      </c>
      <c r="ME3" t="s">
        <v>521</v>
      </c>
      <c r="MF3" t="s">
        <v>522</v>
      </c>
      <c r="MG3" t="s">
        <v>523</v>
      </c>
      <c r="MH3" t="s">
        <v>524</v>
      </c>
      <c r="MI3" t="s">
        <v>525</v>
      </c>
      <c r="MJ3" t="s">
        <v>526</v>
      </c>
      <c r="MK3" t="s">
        <v>527</v>
      </c>
      <c r="ML3" t="s">
        <v>528</v>
      </c>
      <c r="MM3" t="s">
        <v>529</v>
      </c>
      <c r="MN3" t="s">
        <v>530</v>
      </c>
      <c r="MO3" t="s">
        <v>531</v>
      </c>
      <c r="MP3" t="s">
        <v>532</v>
      </c>
      <c r="MQ3" t="s">
        <v>533</v>
      </c>
      <c r="MR3" t="s">
        <v>534</v>
      </c>
      <c r="MS3" t="s">
        <v>535</v>
      </c>
      <c r="MT3" t="s">
        <v>536</v>
      </c>
      <c r="MU3" t="s">
        <v>537</v>
      </c>
      <c r="MV3" t="s">
        <v>538</v>
      </c>
      <c r="MW3" t="s">
        <v>539</v>
      </c>
      <c r="MX3" t="s">
        <v>540</v>
      </c>
      <c r="MY3" t="s">
        <v>541</v>
      </c>
      <c r="MZ3" t="s">
        <v>542</v>
      </c>
      <c r="NA3" t="s">
        <v>543</v>
      </c>
      <c r="NB3" t="s">
        <v>544</v>
      </c>
      <c r="NC3" t="s">
        <v>545</v>
      </c>
      <c r="ND3" t="s">
        <v>546</v>
      </c>
      <c r="NE3" t="s">
        <v>547</v>
      </c>
      <c r="NF3" t="s">
        <v>548</v>
      </c>
      <c r="NG3" t="s">
        <v>549</v>
      </c>
      <c r="NH3" t="s">
        <v>550</v>
      </c>
      <c r="NI3" t="s">
        <v>551</v>
      </c>
      <c r="NJ3" t="s">
        <v>552</v>
      </c>
      <c r="NK3" t="s">
        <v>553</v>
      </c>
      <c r="NL3" t="s">
        <v>554</v>
      </c>
      <c r="NM3" t="s">
        <v>555</v>
      </c>
      <c r="NN3" t="s">
        <v>556</v>
      </c>
      <c r="NO3" t="s">
        <v>557</v>
      </c>
      <c r="NP3" t="s">
        <v>558</v>
      </c>
      <c r="NQ3" t="s">
        <v>559</v>
      </c>
      <c r="NR3" t="s">
        <v>560</v>
      </c>
      <c r="NS3" t="s">
        <v>561</v>
      </c>
      <c r="NT3" t="s">
        <v>562</v>
      </c>
      <c r="NU3" t="s">
        <v>563</v>
      </c>
      <c r="NV3" t="s">
        <v>564</v>
      </c>
      <c r="NW3" t="s">
        <v>565</v>
      </c>
      <c r="NX3" t="s">
        <v>566</v>
      </c>
      <c r="NY3" t="s">
        <v>567</v>
      </c>
      <c r="NZ3" t="s">
        <v>568</v>
      </c>
      <c r="OA3" t="s">
        <v>569</v>
      </c>
      <c r="OB3" t="s">
        <v>570</v>
      </c>
      <c r="OC3" t="s">
        <v>571</v>
      </c>
      <c r="OD3" t="s">
        <v>572</v>
      </c>
      <c r="OE3" t="s">
        <v>573</v>
      </c>
      <c r="OF3" t="s">
        <v>574</v>
      </c>
      <c r="OG3" t="s">
        <v>575</v>
      </c>
      <c r="OH3" t="s">
        <v>576</v>
      </c>
      <c r="OI3" t="s">
        <v>577</v>
      </c>
      <c r="OJ3" t="s">
        <v>578</v>
      </c>
      <c r="OK3" t="s">
        <v>579</v>
      </c>
      <c r="OL3" t="s">
        <v>580</v>
      </c>
      <c r="OM3" t="s">
        <v>581</v>
      </c>
      <c r="ON3" t="s">
        <v>582</v>
      </c>
      <c r="OO3" t="s">
        <v>583</v>
      </c>
      <c r="OP3" t="s">
        <v>584</v>
      </c>
      <c r="OQ3" t="s">
        <v>585</v>
      </c>
      <c r="OR3" t="s">
        <v>586</v>
      </c>
      <c r="OS3" t="s">
        <v>587</v>
      </c>
      <c r="OT3" t="s">
        <v>588</v>
      </c>
      <c r="OU3" t="s">
        <v>589</v>
      </c>
      <c r="OV3" t="s">
        <v>590</v>
      </c>
      <c r="OW3" t="s">
        <v>591</v>
      </c>
      <c r="OX3" t="s">
        <v>592</v>
      </c>
      <c r="OY3" t="s">
        <v>593</v>
      </c>
      <c r="OZ3" t="s">
        <v>594</v>
      </c>
      <c r="PA3" t="s">
        <v>595</v>
      </c>
      <c r="PB3" t="s">
        <v>596</v>
      </c>
      <c r="PC3" t="s">
        <v>597</v>
      </c>
      <c r="PD3" t="s">
        <v>598</v>
      </c>
      <c r="PE3" t="s">
        <v>599</v>
      </c>
      <c r="PF3" t="s">
        <v>600</v>
      </c>
      <c r="PG3" t="s">
        <v>601</v>
      </c>
      <c r="PH3" t="s">
        <v>602</v>
      </c>
      <c r="PI3" t="s">
        <v>603</v>
      </c>
      <c r="PJ3" t="s">
        <v>604</v>
      </c>
      <c r="PK3" t="s">
        <v>605</v>
      </c>
      <c r="PL3" t="s">
        <v>606</v>
      </c>
      <c r="PM3" t="s">
        <v>607</v>
      </c>
      <c r="PN3" t="s">
        <v>608</v>
      </c>
      <c r="PO3" t="s">
        <v>609</v>
      </c>
      <c r="PP3" t="s">
        <v>610</v>
      </c>
      <c r="PQ3" t="s">
        <v>611</v>
      </c>
      <c r="PR3" t="s">
        <v>612</v>
      </c>
      <c r="PS3" t="s">
        <v>613</v>
      </c>
      <c r="PT3" t="s">
        <v>614</v>
      </c>
      <c r="PU3" t="s">
        <v>615</v>
      </c>
      <c r="PV3" t="s">
        <v>616</v>
      </c>
      <c r="PW3" t="s">
        <v>617</v>
      </c>
      <c r="PX3" t="s">
        <v>618</v>
      </c>
      <c r="PY3" t="s">
        <v>619</v>
      </c>
      <c r="PZ3" t="s">
        <v>620</v>
      </c>
      <c r="QA3" t="s">
        <v>621</v>
      </c>
      <c r="QB3" t="s">
        <v>622</v>
      </c>
      <c r="QC3" t="s">
        <v>623</v>
      </c>
      <c r="QD3" t="s">
        <v>624</v>
      </c>
      <c r="QE3" t="s">
        <v>625</v>
      </c>
      <c r="QF3" t="s">
        <v>626</v>
      </c>
      <c r="QG3" t="s">
        <v>627</v>
      </c>
      <c r="QH3" t="s">
        <v>628</v>
      </c>
      <c r="QI3" t="s">
        <v>629</v>
      </c>
      <c r="QJ3" t="s">
        <v>630</v>
      </c>
      <c r="QK3" t="s">
        <v>631</v>
      </c>
      <c r="QL3" t="s">
        <v>632</v>
      </c>
      <c r="QM3" t="s">
        <v>633</v>
      </c>
      <c r="QN3" t="s">
        <v>634</v>
      </c>
      <c r="QO3" t="s">
        <v>635</v>
      </c>
      <c r="QP3" t="s">
        <v>636</v>
      </c>
      <c r="QQ3" t="s">
        <v>637</v>
      </c>
      <c r="QR3" t="s">
        <v>638</v>
      </c>
      <c r="QS3" t="s">
        <v>639</v>
      </c>
      <c r="QT3" t="s">
        <v>640</v>
      </c>
      <c r="QU3" t="s">
        <v>641</v>
      </c>
      <c r="QV3" t="s">
        <v>642</v>
      </c>
      <c r="QW3" t="s">
        <v>643</v>
      </c>
      <c r="QX3" t="s">
        <v>644</v>
      </c>
      <c r="QY3" t="s">
        <v>645</v>
      </c>
      <c r="QZ3" t="s">
        <v>646</v>
      </c>
      <c r="RA3" t="s">
        <v>647</v>
      </c>
      <c r="RB3" t="s">
        <v>648</v>
      </c>
      <c r="RC3" t="s">
        <v>649</v>
      </c>
      <c r="RD3" t="s">
        <v>650</v>
      </c>
      <c r="RE3" t="s">
        <v>651</v>
      </c>
      <c r="RF3" t="s">
        <v>652</v>
      </c>
      <c r="RG3" t="s">
        <v>653</v>
      </c>
      <c r="RH3" t="s">
        <v>654</v>
      </c>
      <c r="RI3" t="s">
        <v>655</v>
      </c>
      <c r="RJ3" t="s">
        <v>656</v>
      </c>
      <c r="RK3" t="s">
        <v>657</v>
      </c>
      <c r="RL3" t="s">
        <v>658</v>
      </c>
      <c r="RM3" t="s">
        <v>659</v>
      </c>
      <c r="RN3" t="s">
        <v>660</v>
      </c>
      <c r="RO3" t="s">
        <v>661</v>
      </c>
      <c r="RP3" t="s">
        <v>662</v>
      </c>
      <c r="RQ3" t="s">
        <v>663</v>
      </c>
      <c r="RR3" t="s">
        <v>664</v>
      </c>
      <c r="RS3" t="s">
        <v>665</v>
      </c>
      <c r="RT3" t="s">
        <v>666</v>
      </c>
      <c r="RU3" t="s">
        <v>667</v>
      </c>
      <c r="RV3" t="s">
        <v>668</v>
      </c>
      <c r="RW3" t="s">
        <v>669</v>
      </c>
      <c r="RX3" t="s">
        <v>670</v>
      </c>
      <c r="RY3" t="s">
        <v>671</v>
      </c>
      <c r="RZ3" t="s">
        <v>672</v>
      </c>
      <c r="SA3" t="s">
        <v>673</v>
      </c>
      <c r="SB3" t="s">
        <v>674</v>
      </c>
      <c r="SC3" t="s">
        <v>675</v>
      </c>
      <c r="SD3" t="s">
        <v>676</v>
      </c>
      <c r="SE3" t="s">
        <v>677</v>
      </c>
      <c r="SF3" t="s">
        <v>678</v>
      </c>
      <c r="SG3" t="s">
        <v>679</v>
      </c>
      <c r="SH3" t="s">
        <v>680</v>
      </c>
      <c r="SI3" t="s">
        <v>681</v>
      </c>
      <c r="SJ3" t="s">
        <v>682</v>
      </c>
      <c r="SK3" t="s">
        <v>683</v>
      </c>
      <c r="SL3" t="s">
        <v>684</v>
      </c>
      <c r="SM3" t="s">
        <v>685</v>
      </c>
      <c r="SN3" t="s">
        <v>686</v>
      </c>
      <c r="SO3" t="s">
        <v>687</v>
      </c>
      <c r="SP3" t="s">
        <v>688</v>
      </c>
      <c r="SQ3" t="s">
        <v>689</v>
      </c>
      <c r="SR3" t="s">
        <v>690</v>
      </c>
      <c r="SS3" t="s">
        <v>691</v>
      </c>
      <c r="ST3" t="s">
        <v>692</v>
      </c>
      <c r="SU3" t="s">
        <v>693</v>
      </c>
      <c r="SV3" t="s">
        <v>694</v>
      </c>
      <c r="SW3" t="s">
        <v>695</v>
      </c>
      <c r="SX3" t="s">
        <v>696</v>
      </c>
      <c r="SY3" t="s">
        <v>697</v>
      </c>
      <c r="SZ3" t="s">
        <v>698</v>
      </c>
      <c r="TA3" t="s">
        <v>699</v>
      </c>
      <c r="TB3" t="s">
        <v>700</v>
      </c>
      <c r="TC3" t="s">
        <v>701</v>
      </c>
      <c r="TD3" t="s">
        <v>702</v>
      </c>
      <c r="TE3" t="s">
        <v>703</v>
      </c>
      <c r="TF3" t="s">
        <v>704</v>
      </c>
      <c r="TG3" t="s">
        <v>705</v>
      </c>
      <c r="TH3" t="s">
        <v>706</v>
      </c>
      <c r="TI3" t="s">
        <v>707</v>
      </c>
      <c r="TJ3" t="s">
        <v>708</v>
      </c>
      <c r="TK3" t="s">
        <v>709</v>
      </c>
      <c r="TL3" t="s">
        <v>710</v>
      </c>
      <c r="TM3" t="s">
        <v>711</v>
      </c>
      <c r="TN3" t="s">
        <v>712</v>
      </c>
      <c r="TO3" t="s">
        <v>713</v>
      </c>
      <c r="TP3" t="s">
        <v>714</v>
      </c>
      <c r="TQ3" t="s">
        <v>715</v>
      </c>
      <c r="TR3" t="s">
        <v>716</v>
      </c>
      <c r="TS3" t="s">
        <v>717</v>
      </c>
      <c r="TT3" t="s">
        <v>718</v>
      </c>
      <c r="TU3" t="s">
        <v>719</v>
      </c>
      <c r="TV3" t="s">
        <v>720</v>
      </c>
      <c r="TW3" t="s">
        <v>721</v>
      </c>
      <c r="TX3" t="s">
        <v>722</v>
      </c>
      <c r="TY3" t="s">
        <v>723</v>
      </c>
      <c r="TZ3" t="s">
        <v>724</v>
      </c>
      <c r="UA3" t="s">
        <v>725</v>
      </c>
      <c r="UB3" t="s">
        <v>726</v>
      </c>
      <c r="UC3" t="s">
        <v>727</v>
      </c>
      <c r="UD3" t="s">
        <v>728</v>
      </c>
      <c r="UE3" t="s">
        <v>729</v>
      </c>
      <c r="UF3" t="s">
        <v>730</v>
      </c>
      <c r="UG3" t="s">
        <v>731</v>
      </c>
      <c r="UH3" t="s">
        <v>732</v>
      </c>
      <c r="UI3" t="s">
        <v>733</v>
      </c>
      <c r="UJ3" t="s">
        <v>734</v>
      </c>
      <c r="UK3" t="s">
        <v>735</v>
      </c>
      <c r="UL3" t="s">
        <v>736</v>
      </c>
      <c r="UM3" t="s">
        <v>737</v>
      </c>
      <c r="UN3" t="s">
        <v>738</v>
      </c>
      <c r="UO3" t="s">
        <v>739</v>
      </c>
      <c r="UP3" t="s">
        <v>740</v>
      </c>
      <c r="UQ3" t="s">
        <v>741</v>
      </c>
      <c r="UR3" t="s">
        <v>742</v>
      </c>
      <c r="US3" t="s">
        <v>743</v>
      </c>
      <c r="UT3" t="s">
        <v>744</v>
      </c>
      <c r="UU3" t="s">
        <v>745</v>
      </c>
      <c r="UV3" t="s">
        <v>746</v>
      </c>
      <c r="UW3" t="s">
        <v>747</v>
      </c>
      <c r="UX3" t="s">
        <v>748</v>
      </c>
      <c r="UY3" t="s">
        <v>749</v>
      </c>
      <c r="UZ3" t="s">
        <v>750</v>
      </c>
      <c r="VA3" t="s">
        <v>751</v>
      </c>
      <c r="VB3" t="s">
        <v>752</v>
      </c>
      <c r="VC3" t="s">
        <v>753</v>
      </c>
      <c r="VD3" t="s">
        <v>754</v>
      </c>
      <c r="VE3" t="s">
        <v>755</v>
      </c>
      <c r="VF3" t="s">
        <v>756</v>
      </c>
      <c r="VG3" t="s">
        <v>757</v>
      </c>
      <c r="VH3" t="s">
        <v>758</v>
      </c>
      <c r="VI3" t="s">
        <v>759</v>
      </c>
      <c r="VJ3" t="s">
        <v>760</v>
      </c>
      <c r="VK3" t="s">
        <v>761</v>
      </c>
      <c r="VL3" t="s">
        <v>762</v>
      </c>
      <c r="VM3" t="s">
        <v>763</v>
      </c>
      <c r="VN3" t="s">
        <v>764</v>
      </c>
      <c r="VO3" t="s">
        <v>765</v>
      </c>
      <c r="VP3" t="s">
        <v>766</v>
      </c>
      <c r="VQ3" t="s">
        <v>767</v>
      </c>
      <c r="VR3" t="s">
        <v>768</v>
      </c>
      <c r="VS3" t="s">
        <v>769</v>
      </c>
      <c r="VT3" t="s">
        <v>770</v>
      </c>
      <c r="VU3" t="s">
        <v>771</v>
      </c>
      <c r="VV3" t="s">
        <v>772</v>
      </c>
      <c r="VW3" t="s">
        <v>773</v>
      </c>
      <c r="VX3" t="s">
        <v>774</v>
      </c>
      <c r="VY3" t="s">
        <v>775</v>
      </c>
      <c r="VZ3" t="s">
        <v>776</v>
      </c>
      <c r="WA3" t="s">
        <v>777</v>
      </c>
      <c r="WB3" t="s">
        <v>778</v>
      </c>
      <c r="WC3" t="s">
        <v>779</v>
      </c>
      <c r="WD3" t="s">
        <v>780</v>
      </c>
      <c r="WE3" t="s">
        <v>781</v>
      </c>
      <c r="WF3" t="s">
        <v>782</v>
      </c>
      <c r="WG3" t="s">
        <v>783</v>
      </c>
      <c r="WH3" t="s">
        <v>784</v>
      </c>
      <c r="WI3" t="s">
        <v>785</v>
      </c>
      <c r="WJ3" t="s">
        <v>786</v>
      </c>
      <c r="WK3" t="s">
        <v>787</v>
      </c>
      <c r="WL3" t="s">
        <v>788</v>
      </c>
      <c r="WM3" t="s">
        <v>789</v>
      </c>
      <c r="WN3" t="s">
        <v>790</v>
      </c>
      <c r="WO3" t="s">
        <v>791</v>
      </c>
      <c r="WP3" t="s">
        <v>792</v>
      </c>
      <c r="WQ3" t="s">
        <v>793</v>
      </c>
      <c r="WR3" t="s">
        <v>794</v>
      </c>
      <c r="WS3" t="s">
        <v>795</v>
      </c>
      <c r="WT3" t="s">
        <v>796</v>
      </c>
      <c r="WU3" t="s">
        <v>797</v>
      </c>
      <c r="WV3" t="s">
        <v>798</v>
      </c>
      <c r="WW3" t="s">
        <v>799</v>
      </c>
      <c r="WX3" t="s">
        <v>800</v>
      </c>
      <c r="WY3" t="s">
        <v>801</v>
      </c>
      <c r="WZ3" t="s">
        <v>802</v>
      </c>
      <c r="XA3" t="s">
        <v>803</v>
      </c>
      <c r="XB3" t="s">
        <v>804</v>
      </c>
      <c r="XC3" t="s">
        <v>805</v>
      </c>
      <c r="XD3" t="s">
        <v>806</v>
      </c>
      <c r="XE3" t="s">
        <v>807</v>
      </c>
      <c r="XF3" t="s">
        <v>808</v>
      </c>
      <c r="XG3" t="s">
        <v>809</v>
      </c>
      <c r="XH3" t="s">
        <v>810</v>
      </c>
      <c r="XI3" t="s">
        <v>811</v>
      </c>
      <c r="XJ3" t="s">
        <v>812</v>
      </c>
      <c r="XK3" t="s">
        <v>813</v>
      </c>
      <c r="XL3" t="s">
        <v>814</v>
      </c>
      <c r="XM3" t="s">
        <v>815</v>
      </c>
      <c r="XN3" t="s">
        <v>816</v>
      </c>
      <c r="XO3" t="s">
        <v>817</v>
      </c>
      <c r="XP3" t="s">
        <v>818</v>
      </c>
      <c r="XQ3" t="s">
        <v>819</v>
      </c>
      <c r="XR3" t="s">
        <v>820</v>
      </c>
      <c r="XS3" t="s">
        <v>821</v>
      </c>
      <c r="XT3" t="s">
        <v>822</v>
      </c>
      <c r="XU3" t="s">
        <v>823</v>
      </c>
      <c r="XV3" t="s">
        <v>824</v>
      </c>
      <c r="XW3" t="s">
        <v>825</v>
      </c>
      <c r="XX3" t="s">
        <v>826</v>
      </c>
      <c r="XY3" t="s">
        <v>827</v>
      </c>
      <c r="XZ3" t="s">
        <v>828</v>
      </c>
      <c r="YA3" t="s">
        <v>829</v>
      </c>
      <c r="YB3" t="s">
        <v>830</v>
      </c>
      <c r="YC3" t="s">
        <v>831</v>
      </c>
      <c r="YD3" t="s">
        <v>832</v>
      </c>
      <c r="YE3" t="s">
        <v>833</v>
      </c>
      <c r="YF3" t="s">
        <v>834</v>
      </c>
      <c r="YG3" t="s">
        <v>835</v>
      </c>
      <c r="YH3" t="s">
        <v>836</v>
      </c>
      <c r="YI3" t="s">
        <v>837</v>
      </c>
      <c r="YJ3" t="s">
        <v>838</v>
      </c>
      <c r="YK3" t="s">
        <v>839</v>
      </c>
      <c r="YL3" t="s">
        <v>840</v>
      </c>
      <c r="YM3" t="s">
        <v>841</v>
      </c>
      <c r="YN3" t="s">
        <v>842</v>
      </c>
      <c r="YO3" t="s">
        <v>843</v>
      </c>
      <c r="YP3" t="s">
        <v>844</v>
      </c>
      <c r="YQ3" t="s">
        <v>845</v>
      </c>
      <c r="YR3" t="s">
        <v>846</v>
      </c>
      <c r="YS3" t="s">
        <v>847</v>
      </c>
      <c r="YT3" t="s">
        <v>848</v>
      </c>
      <c r="YU3" t="s">
        <v>849</v>
      </c>
      <c r="YV3" t="s">
        <v>850</v>
      </c>
      <c r="YW3" t="s">
        <v>851</v>
      </c>
      <c r="YX3" t="s">
        <v>852</v>
      </c>
      <c r="YY3" t="s">
        <v>853</v>
      </c>
      <c r="YZ3" t="s">
        <v>854</v>
      </c>
      <c r="ZA3" t="s">
        <v>855</v>
      </c>
      <c r="ZB3" t="s">
        <v>856</v>
      </c>
      <c r="ZC3" t="s">
        <v>857</v>
      </c>
      <c r="ZD3" t="s">
        <v>858</v>
      </c>
      <c r="ZE3" t="s">
        <v>859</v>
      </c>
      <c r="ZF3" t="s">
        <v>860</v>
      </c>
      <c r="ZG3" t="s">
        <v>861</v>
      </c>
      <c r="ZH3" t="s">
        <v>862</v>
      </c>
      <c r="ZI3" t="s">
        <v>863</v>
      </c>
      <c r="ZJ3" t="s">
        <v>864</v>
      </c>
      <c r="ZK3" t="s">
        <v>865</v>
      </c>
      <c r="ZL3" t="s">
        <v>866</v>
      </c>
      <c r="ZM3" t="s">
        <v>867</v>
      </c>
      <c r="ZN3" t="s">
        <v>868</v>
      </c>
      <c r="ZO3" t="s">
        <v>869</v>
      </c>
      <c r="ZP3" t="s">
        <v>870</v>
      </c>
      <c r="ZQ3" t="s">
        <v>871</v>
      </c>
      <c r="ZR3" t="s">
        <v>872</v>
      </c>
      <c r="ZS3" t="s">
        <v>873</v>
      </c>
      <c r="ZT3" t="s">
        <v>874</v>
      </c>
      <c r="ZU3" t="s">
        <v>875</v>
      </c>
      <c r="ZV3" t="s">
        <v>876</v>
      </c>
      <c r="ZW3" t="s">
        <v>877</v>
      </c>
      <c r="ZX3" t="s">
        <v>878</v>
      </c>
      <c r="ZY3" t="s">
        <v>879</v>
      </c>
      <c r="ZZ3" t="s">
        <v>880</v>
      </c>
      <c r="AAA3" t="s">
        <v>881</v>
      </c>
      <c r="AAB3" t="s">
        <v>882</v>
      </c>
      <c r="AAC3" t="s">
        <v>883</v>
      </c>
      <c r="AAD3" t="s">
        <v>884</v>
      </c>
      <c r="AAE3" t="s">
        <v>885</v>
      </c>
      <c r="AAF3" t="s">
        <v>886</v>
      </c>
      <c r="AAG3" t="s">
        <v>887</v>
      </c>
      <c r="AAH3" t="s">
        <v>888</v>
      </c>
      <c r="AAI3" t="s">
        <v>889</v>
      </c>
      <c r="AAJ3" t="s">
        <v>890</v>
      </c>
      <c r="AAK3" t="s">
        <v>891</v>
      </c>
      <c r="AAL3" t="s">
        <v>892</v>
      </c>
      <c r="AAM3" t="s">
        <v>893</v>
      </c>
      <c r="AAN3" t="s">
        <v>894</v>
      </c>
      <c r="AAO3" t="s">
        <v>895</v>
      </c>
      <c r="AAP3" t="s">
        <v>896</v>
      </c>
      <c r="AAQ3" t="s">
        <v>897</v>
      </c>
      <c r="AAR3" t="s">
        <v>898</v>
      </c>
      <c r="AAS3" t="s">
        <v>899</v>
      </c>
      <c r="AAT3" t="s">
        <v>900</v>
      </c>
      <c r="AAU3" t="s">
        <v>901</v>
      </c>
      <c r="AAV3" t="s">
        <v>902</v>
      </c>
      <c r="AAW3" t="s">
        <v>903</v>
      </c>
      <c r="AAX3" t="s">
        <v>904</v>
      </c>
      <c r="AAY3" t="s">
        <v>905</v>
      </c>
      <c r="AAZ3" t="s">
        <v>906</v>
      </c>
      <c r="ABA3" t="s">
        <v>907</v>
      </c>
      <c r="ABB3" t="s">
        <v>908</v>
      </c>
      <c r="ABC3" t="s">
        <v>909</v>
      </c>
      <c r="ABD3" t="s">
        <v>910</v>
      </c>
      <c r="ABE3" t="s">
        <v>911</v>
      </c>
      <c r="ABF3" t="s">
        <v>912</v>
      </c>
      <c r="ABG3" t="s">
        <v>913</v>
      </c>
      <c r="ABH3" t="s">
        <v>914</v>
      </c>
      <c r="ABI3" t="s">
        <v>915</v>
      </c>
      <c r="ABJ3" t="s">
        <v>916</v>
      </c>
      <c r="ABK3" t="s">
        <v>917</v>
      </c>
      <c r="ABL3" t="s">
        <v>918</v>
      </c>
      <c r="ABM3" t="s">
        <v>919</v>
      </c>
      <c r="ABN3" t="s">
        <v>920</v>
      </c>
      <c r="ABO3" t="s">
        <v>921</v>
      </c>
      <c r="ABP3" t="s">
        <v>922</v>
      </c>
      <c r="ABQ3" t="s">
        <v>923</v>
      </c>
      <c r="ABR3" t="s">
        <v>924</v>
      </c>
      <c r="ABS3" t="s">
        <v>925</v>
      </c>
      <c r="ABT3" t="s">
        <v>926</v>
      </c>
      <c r="ABU3" t="s">
        <v>927</v>
      </c>
      <c r="ABV3" t="s">
        <v>928</v>
      </c>
      <c r="ABW3" t="s">
        <v>929</v>
      </c>
      <c r="ABX3" t="s">
        <v>930</v>
      </c>
      <c r="ABY3" t="s">
        <v>931</v>
      </c>
      <c r="ABZ3" t="s">
        <v>932</v>
      </c>
      <c r="ACA3" t="s">
        <v>933</v>
      </c>
      <c r="ACB3" t="s">
        <v>934</v>
      </c>
      <c r="ACC3" t="s">
        <v>935</v>
      </c>
      <c r="ACD3" t="s">
        <v>936</v>
      </c>
      <c r="ACE3" t="s">
        <v>937</v>
      </c>
      <c r="ACF3" t="s">
        <v>938</v>
      </c>
      <c r="ACG3" t="s">
        <v>939</v>
      </c>
      <c r="ACH3" t="s">
        <v>940</v>
      </c>
      <c r="ACI3" t="s">
        <v>941</v>
      </c>
      <c r="ACJ3" t="s">
        <v>942</v>
      </c>
      <c r="ACK3" t="s">
        <v>943</v>
      </c>
      <c r="ACL3" t="s">
        <v>944</v>
      </c>
      <c r="ACM3" t="s">
        <v>945</v>
      </c>
      <c r="ACN3" t="s">
        <v>946</v>
      </c>
      <c r="ACO3" t="s">
        <v>947</v>
      </c>
      <c r="ACP3" t="s">
        <v>948</v>
      </c>
      <c r="ACQ3" t="s">
        <v>949</v>
      </c>
      <c r="ACR3" t="s">
        <v>950</v>
      </c>
      <c r="ACS3" t="s">
        <v>951</v>
      </c>
      <c r="ACT3" t="s">
        <v>952</v>
      </c>
      <c r="ACU3" t="s">
        <v>953</v>
      </c>
      <c r="ACV3" t="s">
        <v>954</v>
      </c>
      <c r="ACW3" t="s">
        <v>955</v>
      </c>
      <c r="ACX3" t="s">
        <v>956</v>
      </c>
      <c r="ACY3" t="s">
        <v>957</v>
      </c>
      <c r="ACZ3" t="s">
        <v>958</v>
      </c>
      <c r="ADA3" t="s">
        <v>959</v>
      </c>
      <c r="ADB3" t="s">
        <v>960</v>
      </c>
      <c r="ADC3" t="s">
        <v>961</v>
      </c>
      <c r="ADD3" t="s">
        <v>962</v>
      </c>
      <c r="ADE3" t="s">
        <v>963</v>
      </c>
      <c r="ADF3" t="s">
        <v>964</v>
      </c>
      <c r="ADG3" t="s">
        <v>965</v>
      </c>
      <c r="ADH3" t="s">
        <v>966</v>
      </c>
      <c r="ADI3" t="s">
        <v>967</v>
      </c>
      <c r="ADJ3" t="s">
        <v>968</v>
      </c>
      <c r="ADK3" t="s">
        <v>969</v>
      </c>
      <c r="ADL3" t="s">
        <v>970</v>
      </c>
      <c r="ADM3" t="s">
        <v>971</v>
      </c>
      <c r="ADN3" t="s">
        <v>972</v>
      </c>
      <c r="ADO3" t="s">
        <v>973</v>
      </c>
      <c r="ADP3" t="s">
        <v>974</v>
      </c>
      <c r="ADQ3" t="s">
        <v>975</v>
      </c>
      <c r="ADR3" t="s">
        <v>976</v>
      </c>
      <c r="ADS3" t="s">
        <v>977</v>
      </c>
      <c r="ADT3" t="s">
        <v>978</v>
      </c>
      <c r="ADU3" t="s">
        <v>979</v>
      </c>
      <c r="ADV3" t="s">
        <v>980</v>
      </c>
      <c r="ADW3" t="s">
        <v>981</v>
      </c>
      <c r="ADX3" t="s">
        <v>982</v>
      </c>
      <c r="ADY3" t="s">
        <v>983</v>
      </c>
      <c r="ADZ3" t="s">
        <v>984</v>
      </c>
      <c r="AEA3" t="s">
        <v>985</v>
      </c>
      <c r="AEB3" t="s">
        <v>986</v>
      </c>
      <c r="AEC3" t="s">
        <v>987</v>
      </c>
      <c r="AED3" t="s">
        <v>988</v>
      </c>
      <c r="AEE3" t="s">
        <v>989</v>
      </c>
      <c r="AEF3" t="s">
        <v>990</v>
      </c>
      <c r="AEG3" t="s">
        <v>991</v>
      </c>
      <c r="AEH3" t="s">
        <v>992</v>
      </c>
      <c r="AEI3" t="s">
        <v>993</v>
      </c>
      <c r="AEJ3" t="s">
        <v>994</v>
      </c>
      <c r="AEK3" t="s">
        <v>995</v>
      </c>
      <c r="AEL3" t="s">
        <v>996</v>
      </c>
      <c r="AEM3" t="s">
        <v>997</v>
      </c>
      <c r="AEN3" t="s">
        <v>998</v>
      </c>
      <c r="AEO3" t="s">
        <v>999</v>
      </c>
      <c r="AEP3" t="s">
        <v>1000</v>
      </c>
      <c r="AEQ3" t="s">
        <v>1001</v>
      </c>
      <c r="AER3" t="s">
        <v>1002</v>
      </c>
      <c r="AES3" t="s">
        <v>1003</v>
      </c>
      <c r="AET3" t="s">
        <v>1004</v>
      </c>
      <c r="AEU3" t="s">
        <v>1005</v>
      </c>
      <c r="AEV3" t="s">
        <v>1006</v>
      </c>
      <c r="AEW3" t="s">
        <v>1007</v>
      </c>
      <c r="AEX3" t="s">
        <v>1008</v>
      </c>
      <c r="AEY3" t="s">
        <v>1009</v>
      </c>
      <c r="AEZ3" t="s">
        <v>1010</v>
      </c>
      <c r="AFA3" t="s">
        <v>1011</v>
      </c>
      <c r="AFB3" t="s">
        <v>1012</v>
      </c>
      <c r="AFC3" t="s">
        <v>1013</v>
      </c>
      <c r="AFD3" t="s">
        <v>1014</v>
      </c>
      <c r="AFE3" t="s">
        <v>1015</v>
      </c>
      <c r="AFF3" t="s">
        <v>1016</v>
      </c>
      <c r="AFG3" t="s">
        <v>1017</v>
      </c>
      <c r="AFH3" t="s">
        <v>1018</v>
      </c>
      <c r="AFI3" t="s">
        <v>1019</v>
      </c>
      <c r="AFJ3" t="s">
        <v>1020</v>
      </c>
      <c r="AFK3" t="s">
        <v>1021</v>
      </c>
      <c r="AFL3" t="s">
        <v>1022</v>
      </c>
      <c r="AFM3" t="s">
        <v>1023</v>
      </c>
      <c r="AFN3" t="s">
        <v>1024</v>
      </c>
      <c r="AFO3" t="s">
        <v>1025</v>
      </c>
      <c r="AFP3" t="s">
        <v>1026</v>
      </c>
      <c r="AFQ3" t="s">
        <v>1027</v>
      </c>
      <c r="AFR3" t="s">
        <v>1028</v>
      </c>
      <c r="AFS3" t="s">
        <v>1029</v>
      </c>
      <c r="AFT3" t="s">
        <v>1030</v>
      </c>
      <c r="AFU3" t="s">
        <v>1031</v>
      </c>
      <c r="AFV3" t="s">
        <v>1032</v>
      </c>
      <c r="AFW3" t="s">
        <v>1033</v>
      </c>
      <c r="AFX3" t="s">
        <v>1034</v>
      </c>
      <c r="AFY3" t="s">
        <v>1035</v>
      </c>
      <c r="AFZ3" t="s">
        <v>1036</v>
      </c>
      <c r="AGA3" t="s">
        <v>1037</v>
      </c>
      <c r="AGB3" t="s">
        <v>1038</v>
      </c>
      <c r="AGC3" t="s">
        <v>1039</v>
      </c>
      <c r="AGD3" t="s">
        <v>1040</v>
      </c>
      <c r="AGE3" t="s">
        <v>1041</v>
      </c>
      <c r="AGF3" t="s">
        <v>1042</v>
      </c>
      <c r="AGG3" t="s">
        <v>1043</v>
      </c>
      <c r="AGH3" t="s">
        <v>1044</v>
      </c>
      <c r="AGI3" t="s">
        <v>1045</v>
      </c>
      <c r="AGJ3" t="s">
        <v>1046</v>
      </c>
      <c r="AGK3" t="s">
        <v>1047</v>
      </c>
      <c r="AGL3" t="s">
        <v>1048</v>
      </c>
      <c r="AGM3" t="s">
        <v>1049</v>
      </c>
      <c r="AGN3" t="s">
        <v>1050</v>
      </c>
      <c r="AGO3" t="s">
        <v>1051</v>
      </c>
      <c r="AGP3" t="s">
        <v>1052</v>
      </c>
      <c r="AGQ3" t="s">
        <v>1053</v>
      </c>
      <c r="AGR3" t="s">
        <v>1054</v>
      </c>
      <c r="AGS3" t="s">
        <v>1055</v>
      </c>
      <c r="AGT3" t="s">
        <v>1056</v>
      </c>
      <c r="AGU3" t="s">
        <v>1057</v>
      </c>
      <c r="AGV3" t="s">
        <v>1058</v>
      </c>
      <c r="AGW3" t="s">
        <v>1059</v>
      </c>
      <c r="AGX3" t="s">
        <v>1060</v>
      </c>
      <c r="AGY3" t="s">
        <v>1061</v>
      </c>
      <c r="AGZ3" t="s">
        <v>1062</v>
      </c>
      <c r="AHA3" t="s">
        <v>1063</v>
      </c>
      <c r="AHB3" t="s">
        <v>1064</v>
      </c>
      <c r="AHC3" t="s">
        <v>1065</v>
      </c>
      <c r="AHD3" t="s">
        <v>1066</v>
      </c>
      <c r="AHE3" t="s">
        <v>1067</v>
      </c>
      <c r="AHF3" t="s">
        <v>1068</v>
      </c>
      <c r="AHG3" t="s">
        <v>1069</v>
      </c>
      <c r="AHH3" t="s">
        <v>1070</v>
      </c>
      <c r="AHI3" t="s">
        <v>1071</v>
      </c>
      <c r="AHJ3" t="s">
        <v>1072</v>
      </c>
      <c r="AHK3" t="s">
        <v>1073</v>
      </c>
      <c r="AHL3" t="s">
        <v>1074</v>
      </c>
      <c r="AHM3" t="s">
        <v>1075</v>
      </c>
      <c r="AHN3" t="s">
        <v>1076</v>
      </c>
      <c r="AHO3" t="s">
        <v>1077</v>
      </c>
      <c r="AHP3" t="s">
        <v>1078</v>
      </c>
      <c r="AHQ3" t="s">
        <v>1079</v>
      </c>
      <c r="AHR3" t="s">
        <v>1080</v>
      </c>
      <c r="AHS3" t="s">
        <v>1081</v>
      </c>
      <c r="AHT3" t="s">
        <v>1082</v>
      </c>
      <c r="AHU3" t="s">
        <v>1083</v>
      </c>
      <c r="AHV3" t="s">
        <v>1084</v>
      </c>
      <c r="AHW3" t="s">
        <v>1085</v>
      </c>
      <c r="AHX3" t="s">
        <v>1086</v>
      </c>
      <c r="AHY3" t="s">
        <v>1087</v>
      </c>
      <c r="AHZ3" t="s">
        <v>1088</v>
      </c>
      <c r="AIA3" t="s">
        <v>1089</v>
      </c>
      <c r="AIB3" t="s">
        <v>1090</v>
      </c>
      <c r="AIC3" t="s">
        <v>1091</v>
      </c>
      <c r="AID3" t="s">
        <v>1092</v>
      </c>
      <c r="AIE3" t="s">
        <v>1093</v>
      </c>
      <c r="AIF3" t="s">
        <v>1094</v>
      </c>
      <c r="AIG3" t="s">
        <v>1095</v>
      </c>
      <c r="AIH3" t="s">
        <v>1096</v>
      </c>
      <c r="AII3" t="s">
        <v>1097</v>
      </c>
      <c r="AIJ3" t="s">
        <v>1098</v>
      </c>
      <c r="AIK3" t="s">
        <v>1099</v>
      </c>
      <c r="AIL3" t="s">
        <v>1100</v>
      </c>
      <c r="AIM3" t="s">
        <v>1101</v>
      </c>
      <c r="AIN3" t="s">
        <v>1102</v>
      </c>
      <c r="AIO3" t="s">
        <v>1103</v>
      </c>
      <c r="AIP3" t="s">
        <v>1104</v>
      </c>
      <c r="AIQ3" t="s">
        <v>1105</v>
      </c>
      <c r="AIR3" t="s">
        <v>1106</v>
      </c>
      <c r="AIS3" t="s">
        <v>1107</v>
      </c>
      <c r="AIT3" t="s">
        <v>1108</v>
      </c>
      <c r="AIU3" t="s">
        <v>1109</v>
      </c>
      <c r="AIV3" t="s">
        <v>1110</v>
      </c>
      <c r="AIW3" t="s">
        <v>1111</v>
      </c>
      <c r="AIX3" t="s">
        <v>1112</v>
      </c>
      <c r="AIY3" t="s">
        <v>1113</v>
      </c>
      <c r="AIZ3" t="s">
        <v>1114</v>
      </c>
      <c r="AJA3" t="s">
        <v>1115</v>
      </c>
      <c r="AJB3" t="s">
        <v>1116</v>
      </c>
      <c r="AJC3" t="s">
        <v>1117</v>
      </c>
      <c r="AJD3" t="s">
        <v>1118</v>
      </c>
      <c r="AJE3" t="s">
        <v>1119</v>
      </c>
      <c r="AJF3" t="s">
        <v>1120</v>
      </c>
      <c r="AJG3" t="s">
        <v>1121</v>
      </c>
      <c r="AJH3" t="s">
        <v>1122</v>
      </c>
      <c r="AJI3" t="s">
        <v>1123</v>
      </c>
      <c r="AJJ3" t="s">
        <v>1124</v>
      </c>
      <c r="AJK3" t="s">
        <v>1125</v>
      </c>
      <c r="AJL3" t="s">
        <v>1126</v>
      </c>
      <c r="AJM3" t="s">
        <v>1127</v>
      </c>
      <c r="AJN3" t="s">
        <v>1128</v>
      </c>
      <c r="AJO3" t="s">
        <v>1129</v>
      </c>
      <c r="AJP3" t="s">
        <v>1130</v>
      </c>
      <c r="AJQ3" t="s">
        <v>1131</v>
      </c>
      <c r="AJR3" t="s">
        <v>1132</v>
      </c>
      <c r="AJS3" t="s">
        <v>1133</v>
      </c>
      <c r="AJT3" t="s">
        <v>1134</v>
      </c>
      <c r="AJU3" t="s">
        <v>1135</v>
      </c>
      <c r="AJV3" t="s">
        <v>1136</v>
      </c>
      <c r="AJW3" t="s">
        <v>1137</v>
      </c>
      <c r="AJX3" t="s">
        <v>1138</v>
      </c>
      <c r="AJY3" t="s">
        <v>1139</v>
      </c>
      <c r="AJZ3" t="s">
        <v>1140</v>
      </c>
      <c r="AKA3" t="s">
        <v>1141</v>
      </c>
      <c r="AKB3" t="s">
        <v>1142</v>
      </c>
      <c r="AKC3" t="s">
        <v>1143</v>
      </c>
      <c r="AKD3" t="s">
        <v>1144</v>
      </c>
      <c r="AKE3" t="s">
        <v>1145</v>
      </c>
      <c r="AKF3" t="s">
        <v>1146</v>
      </c>
      <c r="AKG3" t="s">
        <v>1147</v>
      </c>
      <c r="AKH3" t="s">
        <v>1148</v>
      </c>
      <c r="AKI3" t="s">
        <v>1149</v>
      </c>
      <c r="AKJ3" t="s">
        <v>1150</v>
      </c>
      <c r="AKK3" t="s">
        <v>1151</v>
      </c>
      <c r="AKL3" t="s">
        <v>1152</v>
      </c>
      <c r="AKM3" t="s">
        <v>1153</v>
      </c>
      <c r="AKN3" t="s">
        <v>1154</v>
      </c>
      <c r="AKO3" t="s">
        <v>1155</v>
      </c>
      <c r="AKP3" t="s">
        <v>1156</v>
      </c>
      <c r="AKQ3" t="s">
        <v>1157</v>
      </c>
      <c r="AKR3" t="s">
        <v>1158</v>
      </c>
      <c r="AKS3" t="s">
        <v>1159</v>
      </c>
      <c r="AKT3" t="s">
        <v>1160</v>
      </c>
      <c r="AKU3" t="s">
        <v>1161</v>
      </c>
      <c r="AKV3" t="s">
        <v>1162</v>
      </c>
      <c r="AKW3" t="s">
        <v>1163</v>
      </c>
      <c r="AKX3" t="s">
        <v>1164</v>
      </c>
      <c r="AKY3" t="s">
        <v>1165</v>
      </c>
      <c r="AKZ3" t="s">
        <v>1166</v>
      </c>
      <c r="ALA3" t="s">
        <v>1167</v>
      </c>
      <c r="ALB3" t="s">
        <v>1168</v>
      </c>
      <c r="ALC3" t="s">
        <v>1169</v>
      </c>
      <c r="ALD3" t="s">
        <v>1170</v>
      </c>
      <c r="ALE3" t="s">
        <v>1171</v>
      </c>
      <c r="ALF3" t="s">
        <v>1172</v>
      </c>
      <c r="ALG3" t="s">
        <v>1173</v>
      </c>
      <c r="ALH3" t="s">
        <v>1174</v>
      </c>
      <c r="ALI3" t="s">
        <v>1175</v>
      </c>
      <c r="ALJ3" t="s">
        <v>1176</v>
      </c>
      <c r="ALK3" t="s">
        <v>1177</v>
      </c>
      <c r="ALL3" t="s">
        <v>1178</v>
      </c>
      <c r="ALM3" t="s">
        <v>1179</v>
      </c>
      <c r="ALN3" t="s">
        <v>1180</v>
      </c>
      <c r="ALO3" t="s">
        <v>1181</v>
      </c>
      <c r="ALP3" t="s">
        <v>1182</v>
      </c>
      <c r="ALQ3" t="s">
        <v>1183</v>
      </c>
      <c r="ALR3" t="s">
        <v>1184</v>
      </c>
      <c r="ALS3" t="s">
        <v>1185</v>
      </c>
      <c r="ALT3" t="s">
        <v>1186</v>
      </c>
      <c r="ALU3" t="s">
        <v>1187</v>
      </c>
      <c r="ALV3" t="s">
        <v>1188</v>
      </c>
      <c r="ALW3" t="s">
        <v>1189</v>
      </c>
      <c r="ALX3" t="s">
        <v>1190</v>
      </c>
      <c r="ALY3" t="s">
        <v>1191</v>
      </c>
      <c r="ALZ3" t="s">
        <v>1192</v>
      </c>
      <c r="AMA3" t="s">
        <v>1193</v>
      </c>
      <c r="AMB3" t="s">
        <v>1194</v>
      </c>
      <c r="AMC3" t="s">
        <v>1195</v>
      </c>
      <c r="AMD3" t="s">
        <v>1196</v>
      </c>
      <c r="AME3" t="s">
        <v>1197</v>
      </c>
      <c r="AMF3" t="s">
        <v>1198</v>
      </c>
      <c r="AMG3" t="s">
        <v>1199</v>
      </c>
      <c r="AMH3" t="s">
        <v>1200</v>
      </c>
      <c r="AMI3" t="s">
        <v>1201</v>
      </c>
      <c r="AMJ3" t="s">
        <v>1202</v>
      </c>
      <c r="AMK3" t="s">
        <v>1203</v>
      </c>
      <c r="AML3" t="s">
        <v>1204</v>
      </c>
      <c r="AMM3" t="s">
        <v>1205</v>
      </c>
      <c r="AMN3" t="s">
        <v>1206</v>
      </c>
      <c r="AMO3" t="s">
        <v>1207</v>
      </c>
      <c r="AMP3" t="s">
        <v>1208</v>
      </c>
      <c r="AMQ3" t="s">
        <v>1209</v>
      </c>
      <c r="AMR3" t="s">
        <v>1210</v>
      </c>
      <c r="AMS3" t="s">
        <v>1211</v>
      </c>
      <c r="AMT3" t="s">
        <v>1212</v>
      </c>
      <c r="AMU3" t="s">
        <v>1213</v>
      </c>
      <c r="AMV3" t="s">
        <v>1214</v>
      </c>
      <c r="AMW3" t="s">
        <v>1215</v>
      </c>
      <c r="AMX3" t="s">
        <v>1216</v>
      </c>
      <c r="AMY3" t="s">
        <v>1217</v>
      </c>
      <c r="AMZ3" t="s">
        <v>1218</v>
      </c>
      <c r="ANA3" t="s">
        <v>1219</v>
      </c>
      <c r="ANB3" t="s">
        <v>1220</v>
      </c>
      <c r="ANC3" t="s">
        <v>1221</v>
      </c>
      <c r="AND3" t="s">
        <v>1222</v>
      </c>
      <c r="ANE3" t="s">
        <v>1223</v>
      </c>
      <c r="ANF3" t="s">
        <v>1224</v>
      </c>
      <c r="ANG3" t="s">
        <v>1225</v>
      </c>
      <c r="ANH3" t="s">
        <v>1226</v>
      </c>
      <c r="ANI3" t="s">
        <v>1227</v>
      </c>
      <c r="ANJ3" t="s">
        <v>1228</v>
      </c>
      <c r="ANK3" t="s">
        <v>1229</v>
      </c>
      <c r="ANL3" t="s">
        <v>1230</v>
      </c>
      <c r="ANM3" t="s">
        <v>1231</v>
      </c>
      <c r="ANN3" t="s">
        <v>1232</v>
      </c>
      <c r="ANO3" t="s">
        <v>1233</v>
      </c>
      <c r="ANP3" t="s">
        <v>1234</v>
      </c>
      <c r="ANQ3" t="s">
        <v>1235</v>
      </c>
      <c r="ANR3" t="s">
        <v>1236</v>
      </c>
      <c r="ANS3" t="s">
        <v>1237</v>
      </c>
      <c r="ANT3" t="s">
        <v>1238</v>
      </c>
      <c r="ANU3" t="s">
        <v>1239</v>
      </c>
      <c r="ANV3" t="s">
        <v>1240</v>
      </c>
      <c r="ANW3" t="s">
        <v>1241</v>
      </c>
      <c r="ANX3" t="s">
        <v>1242</v>
      </c>
      <c r="ANY3" t="s">
        <v>1243</v>
      </c>
      <c r="ANZ3" t="s">
        <v>1244</v>
      </c>
      <c r="AOA3" t="s">
        <v>1245</v>
      </c>
      <c r="AOB3" t="s">
        <v>1246</v>
      </c>
      <c r="AOC3" t="s">
        <v>1247</v>
      </c>
      <c r="AOD3" t="s">
        <v>1248</v>
      </c>
      <c r="AOE3" t="s">
        <v>1249</v>
      </c>
      <c r="AOF3" t="s">
        <v>1250</v>
      </c>
      <c r="AOG3" t="s">
        <v>1251</v>
      </c>
      <c r="AOH3" t="s">
        <v>1252</v>
      </c>
      <c r="AOI3" t="s">
        <v>1253</v>
      </c>
      <c r="AOJ3" t="s">
        <v>1254</v>
      </c>
      <c r="AOK3" t="s">
        <v>1255</v>
      </c>
      <c r="AOL3" t="s">
        <v>1256</v>
      </c>
      <c r="AOM3" t="s">
        <v>1257</v>
      </c>
      <c r="AON3" t="s">
        <v>1258</v>
      </c>
      <c r="AOO3" t="s">
        <v>1259</v>
      </c>
      <c r="AOP3" t="s">
        <v>1260</v>
      </c>
      <c r="AOQ3" t="s">
        <v>1261</v>
      </c>
      <c r="AOR3" t="s">
        <v>1262</v>
      </c>
      <c r="AOS3" t="s">
        <v>1263</v>
      </c>
      <c r="AOT3" t="s">
        <v>1264</v>
      </c>
      <c r="AOU3" t="s">
        <v>1265</v>
      </c>
      <c r="AOV3" t="s">
        <v>1266</v>
      </c>
      <c r="AOW3" t="s">
        <v>1267</v>
      </c>
      <c r="AOX3" t="s">
        <v>1268</v>
      </c>
      <c r="AOY3" t="s">
        <v>1269</v>
      </c>
      <c r="AOZ3" t="s">
        <v>1270</v>
      </c>
      <c r="APA3" t="s">
        <v>1271</v>
      </c>
      <c r="APB3" t="s">
        <v>1272</v>
      </c>
      <c r="APC3" t="s">
        <v>1273</v>
      </c>
      <c r="APD3" t="s">
        <v>1274</v>
      </c>
      <c r="APE3" t="s">
        <v>1275</v>
      </c>
      <c r="APF3" t="s">
        <v>1276</v>
      </c>
      <c r="APG3" t="s">
        <v>1277</v>
      </c>
      <c r="APH3" t="s">
        <v>1278</v>
      </c>
      <c r="API3" t="s">
        <v>1279</v>
      </c>
      <c r="APJ3" t="s">
        <v>1280</v>
      </c>
      <c r="APK3" t="s">
        <v>1281</v>
      </c>
      <c r="APL3" t="s">
        <v>1282</v>
      </c>
      <c r="APM3" t="s">
        <v>1283</v>
      </c>
      <c r="APN3" t="s">
        <v>1284</v>
      </c>
      <c r="APO3" t="s">
        <v>1285</v>
      </c>
      <c r="APP3" t="s">
        <v>1286</v>
      </c>
      <c r="APQ3" t="s">
        <v>1287</v>
      </c>
      <c r="APR3" t="s">
        <v>1288</v>
      </c>
      <c r="APS3" t="s">
        <v>1289</v>
      </c>
      <c r="APT3" t="s">
        <v>1290</v>
      </c>
      <c r="APU3" t="s">
        <v>1291</v>
      </c>
      <c r="APV3" t="s">
        <v>1292</v>
      </c>
      <c r="APW3" t="s">
        <v>1293</v>
      </c>
      <c r="APX3" t="s">
        <v>1294</v>
      </c>
      <c r="APY3" t="s">
        <v>1295</v>
      </c>
      <c r="APZ3" t="s">
        <v>1296</v>
      </c>
      <c r="AQA3" t="s">
        <v>1297</v>
      </c>
      <c r="AQB3" t="s">
        <v>1298</v>
      </c>
      <c r="AQC3" t="s">
        <v>1299</v>
      </c>
      <c r="AQD3" t="s">
        <v>1300</v>
      </c>
      <c r="AQE3" t="s">
        <v>1301</v>
      </c>
      <c r="AQF3" t="s">
        <v>1302</v>
      </c>
      <c r="AQG3" t="s">
        <v>1303</v>
      </c>
      <c r="AQH3" t="s">
        <v>1304</v>
      </c>
      <c r="AQI3" t="s">
        <v>1305</v>
      </c>
      <c r="AQJ3" t="s">
        <v>1306</v>
      </c>
      <c r="AQK3" t="s">
        <v>1307</v>
      </c>
      <c r="AQL3" t="s">
        <v>1308</v>
      </c>
      <c r="AQM3" t="s">
        <v>1309</v>
      </c>
      <c r="AQN3" t="s">
        <v>1310</v>
      </c>
      <c r="AQO3" t="s">
        <v>1311</v>
      </c>
      <c r="AQP3" t="s">
        <v>1312</v>
      </c>
      <c r="AQQ3" t="s">
        <v>1313</v>
      </c>
      <c r="AQR3" t="s">
        <v>1314</v>
      </c>
      <c r="AQS3" t="s">
        <v>1315</v>
      </c>
      <c r="AQT3" t="s">
        <v>1316</v>
      </c>
      <c r="AQU3" t="s">
        <v>1317</v>
      </c>
      <c r="AQV3" t="s">
        <v>1318</v>
      </c>
      <c r="AQW3" t="s">
        <v>1319</v>
      </c>
      <c r="AQX3" t="s">
        <v>1320</v>
      </c>
      <c r="AQY3" t="s">
        <v>1321</v>
      </c>
      <c r="AQZ3" t="s">
        <v>1322</v>
      </c>
      <c r="ARA3" t="s">
        <v>1323</v>
      </c>
      <c r="ARB3" t="s">
        <v>1324</v>
      </c>
      <c r="ARC3" t="s">
        <v>1325</v>
      </c>
      <c r="ARD3" t="s">
        <v>1326</v>
      </c>
      <c r="ARE3" t="s">
        <v>1327</v>
      </c>
      <c r="ARF3" t="s">
        <v>1328</v>
      </c>
      <c r="ARG3" t="s">
        <v>1329</v>
      </c>
      <c r="ARH3" t="s">
        <v>1330</v>
      </c>
      <c r="ARI3" t="s">
        <v>1331</v>
      </c>
      <c r="ARJ3" t="s">
        <v>1332</v>
      </c>
      <c r="ARK3" t="s">
        <v>1333</v>
      </c>
      <c r="ARL3" t="s">
        <v>1334</v>
      </c>
      <c r="ARM3" t="s">
        <v>1335</v>
      </c>
      <c r="ARN3" t="s">
        <v>1336</v>
      </c>
      <c r="ARO3" t="s">
        <v>1337</v>
      </c>
      <c r="ARP3" t="s">
        <v>1338</v>
      </c>
      <c r="ARQ3" t="s">
        <v>1339</v>
      </c>
      <c r="ARR3" t="s">
        <v>1340</v>
      </c>
      <c r="ARS3" t="s">
        <v>1341</v>
      </c>
      <c r="ART3" t="s">
        <v>1342</v>
      </c>
      <c r="ARU3" t="s">
        <v>1343</v>
      </c>
      <c r="ARV3" t="s">
        <v>1344</v>
      </c>
      <c r="ARW3" t="s">
        <v>1345</v>
      </c>
      <c r="ARX3" t="s">
        <v>1346</v>
      </c>
      <c r="ARY3" t="s">
        <v>1347</v>
      </c>
      <c r="ARZ3" t="s">
        <v>1348</v>
      </c>
      <c r="ASA3" t="s">
        <v>1349</v>
      </c>
      <c r="ASB3" t="s">
        <v>1350</v>
      </c>
      <c r="ASC3" t="s">
        <v>1351</v>
      </c>
      <c r="ASD3" t="s">
        <v>1352</v>
      </c>
      <c r="ASE3" t="s">
        <v>1353</v>
      </c>
      <c r="ASF3" t="s">
        <v>1354</v>
      </c>
      <c r="ASG3" t="s">
        <v>1355</v>
      </c>
      <c r="ASH3" t="s">
        <v>1356</v>
      </c>
      <c r="ASI3" t="s">
        <v>1357</v>
      </c>
      <c r="ASJ3" t="s">
        <v>1358</v>
      </c>
      <c r="ASK3" t="s">
        <v>1359</v>
      </c>
      <c r="ASL3" t="s">
        <v>1360</v>
      </c>
      <c r="ASM3" t="s">
        <v>1361</v>
      </c>
      <c r="ASN3" t="s">
        <v>1362</v>
      </c>
      <c r="ASO3" t="s">
        <v>1363</v>
      </c>
      <c r="ASP3" t="s">
        <v>1364</v>
      </c>
      <c r="ASQ3" t="s">
        <v>1365</v>
      </c>
      <c r="ASR3" t="s">
        <v>1366</v>
      </c>
      <c r="ASS3" t="s">
        <v>1367</v>
      </c>
      <c r="AST3" t="s">
        <v>1368</v>
      </c>
      <c r="ASU3" t="s">
        <v>1369</v>
      </c>
      <c r="ASV3" t="s">
        <v>1370</v>
      </c>
      <c r="ASW3" t="s">
        <v>1371</v>
      </c>
      <c r="ASX3" t="s">
        <v>1372</v>
      </c>
      <c r="ASY3" t="s">
        <v>1373</v>
      </c>
      <c r="ASZ3" t="s">
        <v>1374</v>
      </c>
      <c r="ATA3" t="s">
        <v>1375</v>
      </c>
      <c r="ATB3" t="s">
        <v>1376</v>
      </c>
      <c r="ATC3" t="s">
        <v>1377</v>
      </c>
      <c r="ATD3" t="s">
        <v>1378</v>
      </c>
      <c r="ATE3" t="s">
        <v>1379</v>
      </c>
      <c r="ATF3" t="s">
        <v>1380</v>
      </c>
      <c r="ATG3" t="s">
        <v>1381</v>
      </c>
      <c r="ATH3" t="s">
        <v>1382</v>
      </c>
      <c r="ATI3" t="s">
        <v>1383</v>
      </c>
      <c r="ATJ3" t="s">
        <v>1384</v>
      </c>
      <c r="ATK3" t="s">
        <v>1385</v>
      </c>
      <c r="ATL3" t="s">
        <v>1386</v>
      </c>
      <c r="ATM3" t="s">
        <v>1387</v>
      </c>
      <c r="ATN3" t="s">
        <v>1388</v>
      </c>
      <c r="ATO3" t="s">
        <v>1389</v>
      </c>
      <c r="ATP3" t="s">
        <v>1390</v>
      </c>
      <c r="ATQ3" t="s">
        <v>1391</v>
      </c>
      <c r="ATR3" t="s">
        <v>1392</v>
      </c>
      <c r="ATS3" t="s">
        <v>1393</v>
      </c>
      <c r="ATT3" t="s">
        <v>1394</v>
      </c>
      <c r="ATU3" t="s">
        <v>1395</v>
      </c>
      <c r="ATV3" t="s">
        <v>1396</v>
      </c>
      <c r="ATW3" t="s">
        <v>1397</v>
      </c>
      <c r="ATX3" t="s">
        <v>1398</v>
      </c>
      <c r="ATY3" t="s">
        <v>1399</v>
      </c>
      <c r="ATZ3" t="s">
        <v>1400</v>
      </c>
      <c r="AUA3" t="s">
        <v>1401</v>
      </c>
      <c r="AUB3" t="s">
        <v>1402</v>
      </c>
      <c r="AUC3" t="s">
        <v>1403</v>
      </c>
      <c r="AUD3" t="s">
        <v>1404</v>
      </c>
      <c r="AUE3" t="s">
        <v>1405</v>
      </c>
      <c r="AUF3" t="s">
        <v>1406</v>
      </c>
      <c r="AUG3" t="s">
        <v>1407</v>
      </c>
      <c r="AUH3" t="s">
        <v>1408</v>
      </c>
      <c r="AUI3" t="s">
        <v>1409</v>
      </c>
      <c r="AUJ3" t="s">
        <v>1410</v>
      </c>
      <c r="AUK3" t="s">
        <v>1411</v>
      </c>
      <c r="AUL3" t="s">
        <v>1412</v>
      </c>
      <c r="AUM3" t="s">
        <v>1413</v>
      </c>
      <c r="AUN3" t="s">
        <v>1414</v>
      </c>
      <c r="AUO3" t="s">
        <v>1415</v>
      </c>
      <c r="AUP3" t="s">
        <v>1416</v>
      </c>
      <c r="AUQ3" t="s">
        <v>1417</v>
      </c>
      <c r="AUR3" t="s">
        <v>1418</v>
      </c>
      <c r="AUS3" t="s">
        <v>1419</v>
      </c>
      <c r="AUT3" t="s">
        <v>1420</v>
      </c>
      <c r="AUU3" t="s">
        <v>1421</v>
      </c>
      <c r="AUV3" t="s">
        <v>1422</v>
      </c>
      <c r="AUW3" t="s">
        <v>1423</v>
      </c>
      <c r="AUX3" t="s">
        <v>1424</v>
      </c>
      <c r="AUY3" t="s">
        <v>1425</v>
      </c>
      <c r="AUZ3" t="s">
        <v>1426</v>
      </c>
      <c r="AVA3" t="s">
        <v>1427</v>
      </c>
      <c r="AVB3" t="s">
        <v>1428</v>
      </c>
      <c r="AVC3" t="s">
        <v>1429</v>
      </c>
      <c r="AVD3" t="s">
        <v>1430</v>
      </c>
      <c r="AVE3" t="s">
        <v>1431</v>
      </c>
      <c r="AVF3" t="s">
        <v>1432</v>
      </c>
      <c r="AVG3" t="s">
        <v>1433</v>
      </c>
      <c r="AVH3" t="s">
        <v>1434</v>
      </c>
      <c r="AVI3" t="s">
        <v>1435</v>
      </c>
      <c r="AVJ3" t="s">
        <v>1436</v>
      </c>
      <c r="AVK3" t="s">
        <v>1437</v>
      </c>
      <c r="AVL3" t="s">
        <v>1438</v>
      </c>
      <c r="AVM3" t="s">
        <v>1439</v>
      </c>
      <c r="AVN3" t="s">
        <v>1440</v>
      </c>
      <c r="AVO3" t="s">
        <v>1441</v>
      </c>
      <c r="AVP3" t="s">
        <v>1442</v>
      </c>
      <c r="AVQ3" t="s">
        <v>1443</v>
      </c>
      <c r="AVR3" t="s">
        <v>1444</v>
      </c>
      <c r="AVS3" t="s">
        <v>1445</v>
      </c>
      <c r="AVT3" t="s">
        <v>1446</v>
      </c>
      <c r="AVU3" t="s">
        <v>1447</v>
      </c>
      <c r="AVV3" t="s">
        <v>1448</v>
      </c>
      <c r="AVW3" t="s">
        <v>1449</v>
      </c>
      <c r="AVX3" t="s">
        <v>1450</v>
      </c>
      <c r="AVY3" t="s">
        <v>1451</v>
      </c>
      <c r="AVZ3" t="s">
        <v>1452</v>
      </c>
      <c r="AWA3" t="s">
        <v>1453</v>
      </c>
      <c r="AWB3" t="s">
        <v>1454</v>
      </c>
      <c r="AWC3" t="s">
        <v>1455</v>
      </c>
      <c r="AWD3" t="s">
        <v>1456</v>
      </c>
      <c r="AWE3" t="s">
        <v>1457</v>
      </c>
      <c r="AWF3" t="s">
        <v>1458</v>
      </c>
      <c r="AWG3" t="s">
        <v>1459</v>
      </c>
      <c r="AWH3" t="s">
        <v>1460</v>
      </c>
      <c r="AWI3" t="s">
        <v>1461</v>
      </c>
      <c r="AWJ3" t="s">
        <v>1462</v>
      </c>
      <c r="AWK3" t="s">
        <v>1463</v>
      </c>
      <c r="AWL3" t="s">
        <v>1464</v>
      </c>
      <c r="AWM3" t="s">
        <v>1465</v>
      </c>
      <c r="AWN3" t="s">
        <v>1466</v>
      </c>
      <c r="AWO3" t="s">
        <v>1467</v>
      </c>
      <c r="AWP3" t="s">
        <v>1468</v>
      </c>
      <c r="AWQ3" t="s">
        <v>1469</v>
      </c>
      <c r="AWR3" t="s">
        <v>1470</v>
      </c>
      <c r="AWS3" t="s">
        <v>1471</v>
      </c>
      <c r="AWT3" t="s">
        <v>1472</v>
      </c>
      <c r="AWU3" t="s">
        <v>1473</v>
      </c>
      <c r="AWV3" t="s">
        <v>1474</v>
      </c>
      <c r="AWW3" t="s">
        <v>1475</v>
      </c>
      <c r="AWX3" t="s">
        <v>1476</v>
      </c>
      <c r="AWY3" t="s">
        <v>1477</v>
      </c>
      <c r="AWZ3" t="s">
        <v>1478</v>
      </c>
      <c r="AXA3" t="s">
        <v>1479</v>
      </c>
      <c r="AXB3" t="s">
        <v>1480</v>
      </c>
      <c r="AXC3" t="s">
        <v>1481</v>
      </c>
      <c r="AXD3" t="s">
        <v>1482</v>
      </c>
      <c r="AXE3" t="s">
        <v>1483</v>
      </c>
      <c r="AXF3" t="s">
        <v>1484</v>
      </c>
      <c r="AXG3" t="s">
        <v>1485</v>
      </c>
      <c r="AXH3" t="s">
        <v>1486</v>
      </c>
      <c r="AXI3" t="s">
        <v>1487</v>
      </c>
      <c r="AXJ3" t="s">
        <v>1488</v>
      </c>
      <c r="AXK3" t="s">
        <v>1489</v>
      </c>
      <c r="AXL3" t="s">
        <v>1490</v>
      </c>
      <c r="AXM3" t="s">
        <v>1491</v>
      </c>
      <c r="AXN3" t="s">
        <v>1492</v>
      </c>
      <c r="AXO3" t="s">
        <v>1493</v>
      </c>
      <c r="AXP3" t="s">
        <v>1494</v>
      </c>
      <c r="AXQ3" t="s">
        <v>1495</v>
      </c>
      <c r="AXR3" t="s">
        <v>1496</v>
      </c>
      <c r="AXS3" t="s">
        <v>1497</v>
      </c>
      <c r="AXT3" t="s">
        <v>1498</v>
      </c>
      <c r="AXU3" t="s">
        <v>1499</v>
      </c>
      <c r="AXV3" t="s">
        <v>1500</v>
      </c>
      <c r="AXW3" t="s">
        <v>1501</v>
      </c>
      <c r="AXX3" t="s">
        <v>1502</v>
      </c>
      <c r="AXY3" t="s">
        <v>1503</v>
      </c>
      <c r="AXZ3" t="s">
        <v>1504</v>
      </c>
      <c r="AYA3" t="s">
        <v>1505</v>
      </c>
      <c r="AYB3" t="s">
        <v>1506</v>
      </c>
      <c r="AYC3" t="s">
        <v>1507</v>
      </c>
      <c r="AYD3" t="s">
        <v>1508</v>
      </c>
      <c r="AYE3" t="s">
        <v>1509</v>
      </c>
      <c r="AYF3" t="s">
        <v>1510</v>
      </c>
      <c r="AYG3" t="s">
        <v>1511</v>
      </c>
      <c r="AYH3" t="s">
        <v>1512</v>
      </c>
      <c r="AYI3" t="s">
        <v>1513</v>
      </c>
      <c r="AYJ3" t="s">
        <v>1514</v>
      </c>
      <c r="AYK3" t="s">
        <v>1515</v>
      </c>
      <c r="AYL3" t="s">
        <v>1516</v>
      </c>
      <c r="AYM3" t="s">
        <v>1517</v>
      </c>
      <c r="AYN3" t="s">
        <v>1518</v>
      </c>
      <c r="AYO3" t="s">
        <v>1519</v>
      </c>
      <c r="AYP3" t="s">
        <v>1520</v>
      </c>
      <c r="AYQ3" t="s">
        <v>1521</v>
      </c>
      <c r="AYR3" t="s">
        <v>1522</v>
      </c>
      <c r="AYS3" t="s">
        <v>1523</v>
      </c>
      <c r="AYT3" t="s">
        <v>1524</v>
      </c>
      <c r="AYU3" t="s">
        <v>1525</v>
      </c>
      <c r="AYV3" t="s">
        <v>1526</v>
      </c>
      <c r="AYW3" t="s">
        <v>1527</v>
      </c>
      <c r="AYX3" t="s">
        <v>1528</v>
      </c>
      <c r="AYY3" t="s">
        <v>1529</v>
      </c>
      <c r="AYZ3" t="s">
        <v>1530</v>
      </c>
      <c r="AZA3" t="s">
        <v>1531</v>
      </c>
      <c r="AZB3" t="s">
        <v>1532</v>
      </c>
      <c r="AZC3" t="s">
        <v>1533</v>
      </c>
      <c r="AZD3" t="s">
        <v>1534</v>
      </c>
      <c r="AZE3" t="s">
        <v>1535</v>
      </c>
      <c r="AZF3" t="s">
        <v>1536</v>
      </c>
      <c r="AZG3" t="s">
        <v>1537</v>
      </c>
      <c r="AZH3" t="s">
        <v>1538</v>
      </c>
      <c r="AZI3" t="s">
        <v>1539</v>
      </c>
      <c r="AZJ3" t="s">
        <v>1540</v>
      </c>
      <c r="AZK3" t="s">
        <v>1541</v>
      </c>
      <c r="AZL3" t="s">
        <v>1542</v>
      </c>
      <c r="AZM3" t="s">
        <v>1543</v>
      </c>
      <c r="AZN3" t="s">
        <v>1544</v>
      </c>
      <c r="AZO3" t="s">
        <v>1545</v>
      </c>
      <c r="AZP3" t="s">
        <v>1546</v>
      </c>
      <c r="AZQ3" t="s">
        <v>1547</v>
      </c>
      <c r="AZR3" t="s">
        <v>1548</v>
      </c>
      <c r="AZS3" t="s">
        <v>1549</v>
      </c>
      <c r="AZT3" t="s">
        <v>1550</v>
      </c>
      <c r="AZU3" t="s">
        <v>1551</v>
      </c>
      <c r="AZV3" t="s">
        <v>1552</v>
      </c>
      <c r="AZW3" t="s">
        <v>1553</v>
      </c>
      <c r="AZX3" t="s">
        <v>1554</v>
      </c>
      <c r="AZY3" t="s">
        <v>1555</v>
      </c>
      <c r="AZZ3" t="s">
        <v>1556</v>
      </c>
      <c r="BAA3" t="s">
        <v>1557</v>
      </c>
      <c r="BAB3" t="s">
        <v>1558</v>
      </c>
      <c r="BAC3" t="s">
        <v>1559</v>
      </c>
      <c r="BAD3" t="s">
        <v>1560</v>
      </c>
      <c r="BAE3" t="s">
        <v>1561</v>
      </c>
      <c r="BAF3" t="s">
        <v>1562</v>
      </c>
      <c r="BAG3" t="s">
        <v>1563</v>
      </c>
      <c r="BAH3" t="s">
        <v>1564</v>
      </c>
      <c r="BAI3" t="s">
        <v>1565</v>
      </c>
      <c r="BAJ3" t="s">
        <v>1566</v>
      </c>
      <c r="BAK3" t="s">
        <v>1567</v>
      </c>
      <c r="BAL3" t="s">
        <v>1568</v>
      </c>
      <c r="BAM3" t="s">
        <v>1569</v>
      </c>
      <c r="BAN3" t="s">
        <v>1570</v>
      </c>
      <c r="BAO3" t="s">
        <v>1571</v>
      </c>
      <c r="BAP3" t="s">
        <v>1572</v>
      </c>
      <c r="BAQ3" t="s">
        <v>1573</v>
      </c>
      <c r="BAR3" t="s">
        <v>1574</v>
      </c>
      <c r="BAS3" t="s">
        <v>1575</v>
      </c>
      <c r="BAT3" t="s">
        <v>1576</v>
      </c>
      <c r="BAU3" t="s">
        <v>1577</v>
      </c>
      <c r="BAV3" t="s">
        <v>1578</v>
      </c>
      <c r="BAW3" t="s">
        <v>1579</v>
      </c>
      <c r="BAX3" t="s">
        <v>1580</v>
      </c>
      <c r="BAY3" t="s">
        <v>1581</v>
      </c>
      <c r="BAZ3" t="s">
        <v>1582</v>
      </c>
      <c r="BBA3" t="s">
        <v>1583</v>
      </c>
      <c r="BBB3" t="s">
        <v>1584</v>
      </c>
      <c r="BBC3" t="s">
        <v>1585</v>
      </c>
      <c r="BBD3" t="s">
        <v>1586</v>
      </c>
      <c r="BBE3" t="s">
        <v>1587</v>
      </c>
      <c r="BBF3" t="s">
        <v>1588</v>
      </c>
      <c r="BBG3" t="s">
        <v>1589</v>
      </c>
      <c r="BBH3" t="s">
        <v>1590</v>
      </c>
      <c r="BBI3" t="s">
        <v>1591</v>
      </c>
      <c r="BBJ3" t="s">
        <v>1592</v>
      </c>
      <c r="BBK3" t="s">
        <v>1593</v>
      </c>
      <c r="BBL3" t="s">
        <v>1594</v>
      </c>
      <c r="BBM3" t="s">
        <v>1595</v>
      </c>
      <c r="BBN3" t="s">
        <v>1596</v>
      </c>
      <c r="BBO3" t="s">
        <v>1597</v>
      </c>
      <c r="BBP3" t="s">
        <v>1598</v>
      </c>
      <c r="BBQ3" t="s">
        <v>1599</v>
      </c>
      <c r="BBR3" t="s">
        <v>1600</v>
      </c>
      <c r="BBS3" t="s">
        <v>1601</v>
      </c>
      <c r="BBT3" t="s">
        <v>1602</v>
      </c>
      <c r="BBU3" t="s">
        <v>1603</v>
      </c>
      <c r="BBV3" t="s">
        <v>1604</v>
      </c>
      <c r="BBW3" t="s">
        <v>1605</v>
      </c>
      <c r="BBX3" t="s">
        <v>1606</v>
      </c>
      <c r="BBY3" t="s">
        <v>1607</v>
      </c>
      <c r="BBZ3" t="s">
        <v>1608</v>
      </c>
      <c r="BCA3" t="s">
        <v>1609</v>
      </c>
      <c r="BCB3" t="s">
        <v>1610</v>
      </c>
      <c r="BCC3" t="s">
        <v>1611</v>
      </c>
      <c r="BCD3" t="s">
        <v>1612</v>
      </c>
      <c r="BCE3" t="s">
        <v>1613</v>
      </c>
      <c r="BCF3" t="s">
        <v>1614</v>
      </c>
      <c r="BCG3" t="s">
        <v>1615</v>
      </c>
      <c r="BCH3" t="s">
        <v>1616</v>
      </c>
      <c r="BCI3" t="s">
        <v>1617</v>
      </c>
      <c r="BCJ3" t="s">
        <v>1618</v>
      </c>
      <c r="BCK3" t="s">
        <v>1619</v>
      </c>
      <c r="BCL3" t="s">
        <v>1620</v>
      </c>
      <c r="BCM3" t="s">
        <v>1621</v>
      </c>
      <c r="BCN3" t="s">
        <v>1622</v>
      </c>
      <c r="BCO3" t="s">
        <v>1623</v>
      </c>
      <c r="BCP3" t="s">
        <v>1624</v>
      </c>
      <c r="BCQ3" t="s">
        <v>1625</v>
      </c>
      <c r="BCR3" t="s">
        <v>1626</v>
      </c>
      <c r="BCS3" t="s">
        <v>1627</v>
      </c>
      <c r="BCT3" t="s">
        <v>1628</v>
      </c>
      <c r="BCU3" t="s">
        <v>1629</v>
      </c>
      <c r="BCV3" t="s">
        <v>1630</v>
      </c>
      <c r="BCW3" t="s">
        <v>1631</v>
      </c>
      <c r="BCX3" t="s">
        <v>1632</v>
      </c>
      <c r="BCY3" t="s">
        <v>1633</v>
      </c>
      <c r="BCZ3" t="s">
        <v>1634</v>
      </c>
      <c r="BDA3" t="s">
        <v>1635</v>
      </c>
      <c r="BDB3" t="s">
        <v>1636</v>
      </c>
      <c r="BDC3" t="s">
        <v>1637</v>
      </c>
      <c r="BDD3" t="s">
        <v>1638</v>
      </c>
      <c r="BDE3" t="s">
        <v>1639</v>
      </c>
      <c r="BDF3" t="s">
        <v>1640</v>
      </c>
      <c r="BDG3" t="s">
        <v>1641</v>
      </c>
      <c r="BDH3" t="s">
        <v>1642</v>
      </c>
      <c r="BDI3" t="s">
        <v>1643</v>
      </c>
      <c r="BDJ3" t="s">
        <v>1644</v>
      </c>
      <c r="BDK3" t="s">
        <v>1645</v>
      </c>
      <c r="BDL3" t="s">
        <v>1646</v>
      </c>
      <c r="BDM3" t="s">
        <v>1647</v>
      </c>
      <c r="BDN3" t="s">
        <v>1648</v>
      </c>
      <c r="BDO3" t="s">
        <v>1649</v>
      </c>
      <c r="BDP3" t="s">
        <v>1650</v>
      </c>
      <c r="BDQ3" t="s">
        <v>1651</v>
      </c>
      <c r="BDR3" t="s">
        <v>1652</v>
      </c>
      <c r="BDS3" t="s">
        <v>1653</v>
      </c>
      <c r="BDT3" t="s">
        <v>1654</v>
      </c>
      <c r="BDU3" t="s">
        <v>1655</v>
      </c>
      <c r="BDV3" t="s">
        <v>1656</v>
      </c>
      <c r="BDW3" t="s">
        <v>1657</v>
      </c>
      <c r="BDX3" t="s">
        <v>1658</v>
      </c>
      <c r="BDY3" t="s">
        <v>1659</v>
      </c>
      <c r="BDZ3" t="s">
        <v>1660</v>
      </c>
      <c r="BEA3" t="s">
        <v>1661</v>
      </c>
      <c r="BEB3" t="s">
        <v>1662</v>
      </c>
      <c r="BEC3" t="s">
        <v>1663</v>
      </c>
      <c r="BED3" t="s">
        <v>1664</v>
      </c>
      <c r="BEE3" t="s">
        <v>1665</v>
      </c>
      <c r="BEF3" t="s">
        <v>1666</v>
      </c>
      <c r="BEG3" t="s">
        <v>1667</v>
      </c>
      <c r="BEH3" t="s">
        <v>1668</v>
      </c>
      <c r="BEI3" t="s">
        <v>1669</v>
      </c>
      <c r="BEJ3" t="s">
        <v>1670</v>
      </c>
      <c r="BEK3" t="s">
        <v>1671</v>
      </c>
      <c r="BEL3" t="s">
        <v>1672</v>
      </c>
      <c r="BEM3" t="s">
        <v>1673</v>
      </c>
      <c r="BEN3" t="s">
        <v>1674</v>
      </c>
      <c r="BEO3" t="s">
        <v>1675</v>
      </c>
      <c r="BEP3" t="s">
        <v>1676</v>
      </c>
      <c r="BEQ3" t="s">
        <v>1677</v>
      </c>
      <c r="BER3" t="s">
        <v>1678</v>
      </c>
      <c r="BES3" t="s">
        <v>1679</v>
      </c>
      <c r="BET3" t="s">
        <v>1680</v>
      </c>
      <c r="BEU3" t="s">
        <v>1681</v>
      </c>
      <c r="BEV3" t="s">
        <v>1682</v>
      </c>
      <c r="BEW3" t="s">
        <v>1683</v>
      </c>
      <c r="BEX3" t="s">
        <v>1684</v>
      </c>
      <c r="BEY3" t="s">
        <v>1685</v>
      </c>
      <c r="BEZ3" t="s">
        <v>1686</v>
      </c>
      <c r="BFA3" t="s">
        <v>1687</v>
      </c>
      <c r="BFB3" t="s">
        <v>1688</v>
      </c>
      <c r="BFC3" t="s">
        <v>1689</v>
      </c>
      <c r="BFD3" t="s">
        <v>1690</v>
      </c>
      <c r="BFE3" t="s">
        <v>1691</v>
      </c>
      <c r="BFF3" t="s">
        <v>1692</v>
      </c>
      <c r="BFG3" t="s">
        <v>1693</v>
      </c>
      <c r="BFH3" t="s">
        <v>1694</v>
      </c>
      <c r="BFI3" t="s">
        <v>1695</v>
      </c>
      <c r="BFJ3" t="s">
        <v>1696</v>
      </c>
      <c r="BFK3" t="s">
        <v>1697</v>
      </c>
      <c r="BFL3" t="s">
        <v>1698</v>
      </c>
      <c r="BFM3" t="s">
        <v>1699</v>
      </c>
      <c r="BFN3" t="s">
        <v>1700</v>
      </c>
      <c r="BFO3" t="s">
        <v>1701</v>
      </c>
      <c r="BFP3" t="s">
        <v>1702</v>
      </c>
      <c r="BFQ3" t="s">
        <v>1703</v>
      </c>
      <c r="BFR3" t="s">
        <v>1704</v>
      </c>
      <c r="BFS3" t="s">
        <v>1705</v>
      </c>
      <c r="BFT3" t="s">
        <v>1706</v>
      </c>
      <c r="BFU3" t="s">
        <v>1707</v>
      </c>
      <c r="BFV3" t="s">
        <v>1708</v>
      </c>
      <c r="BFW3" t="s">
        <v>1709</v>
      </c>
      <c r="BFX3" t="s">
        <v>1710</v>
      </c>
      <c r="BFY3" t="s">
        <v>1711</v>
      </c>
      <c r="BFZ3" t="s">
        <v>1712</v>
      </c>
      <c r="BGA3" t="s">
        <v>1713</v>
      </c>
      <c r="BGB3" t="s">
        <v>1714</v>
      </c>
      <c r="BGC3" t="s">
        <v>1715</v>
      </c>
      <c r="BGD3" t="s">
        <v>1716</v>
      </c>
      <c r="BGE3" t="s">
        <v>1717</v>
      </c>
      <c r="BGF3" t="s">
        <v>1718</v>
      </c>
      <c r="BGG3" t="s">
        <v>1719</v>
      </c>
      <c r="BGH3" t="s">
        <v>1720</v>
      </c>
      <c r="BGI3" t="s">
        <v>1721</v>
      </c>
      <c r="BGJ3" t="s">
        <v>1722</v>
      </c>
      <c r="BGK3" t="s">
        <v>1723</v>
      </c>
      <c r="BGL3" t="s">
        <v>1724</v>
      </c>
      <c r="BGM3" t="s">
        <v>1725</v>
      </c>
      <c r="BGN3" t="s">
        <v>1726</v>
      </c>
      <c r="BGO3" t="s">
        <v>1727</v>
      </c>
      <c r="BGP3" t="s">
        <v>1728</v>
      </c>
      <c r="BGQ3" t="s">
        <v>1729</v>
      </c>
      <c r="BGR3" t="s">
        <v>1730</v>
      </c>
      <c r="BGS3" t="s">
        <v>1731</v>
      </c>
      <c r="BGT3" t="s">
        <v>1732</v>
      </c>
      <c r="BGU3" t="s">
        <v>1733</v>
      </c>
      <c r="BGV3" t="s">
        <v>1734</v>
      </c>
      <c r="BGW3" t="s">
        <v>1735</v>
      </c>
      <c r="BGX3" t="s">
        <v>1736</v>
      </c>
      <c r="BGY3" t="s">
        <v>1737</v>
      </c>
      <c r="BGZ3" t="s">
        <v>1738</v>
      </c>
      <c r="BHA3" t="s">
        <v>1739</v>
      </c>
      <c r="BHB3" t="s">
        <v>1740</v>
      </c>
      <c r="BHC3" t="s">
        <v>1741</v>
      </c>
      <c r="BHD3" t="s">
        <v>1742</v>
      </c>
      <c r="BHE3" t="s">
        <v>1743</v>
      </c>
      <c r="BHF3" t="s">
        <v>1744</v>
      </c>
      <c r="BHG3" t="s">
        <v>1745</v>
      </c>
      <c r="BHH3" t="s">
        <v>1746</v>
      </c>
      <c r="BHI3" t="s">
        <v>1747</v>
      </c>
      <c r="BHJ3" t="s">
        <v>1748</v>
      </c>
      <c r="BHK3" t="s">
        <v>1749</v>
      </c>
      <c r="BHL3" t="s">
        <v>1750</v>
      </c>
      <c r="BHM3" t="s">
        <v>1751</v>
      </c>
      <c r="BHN3" t="s">
        <v>1752</v>
      </c>
      <c r="BHO3" t="s">
        <v>1753</v>
      </c>
      <c r="BHP3" t="s">
        <v>1754</v>
      </c>
      <c r="BHQ3" t="s">
        <v>1755</v>
      </c>
      <c r="BHR3" t="s">
        <v>1756</v>
      </c>
      <c r="BHS3" t="s">
        <v>1757</v>
      </c>
      <c r="BHT3" t="s">
        <v>1758</v>
      </c>
      <c r="BHU3" t="s">
        <v>1759</v>
      </c>
      <c r="BHV3" t="s">
        <v>1760</v>
      </c>
      <c r="BHW3" t="s">
        <v>1761</v>
      </c>
      <c r="BHX3" t="s">
        <v>1762</v>
      </c>
      <c r="BHY3" t="s">
        <v>1763</v>
      </c>
      <c r="BHZ3" t="s">
        <v>1764</v>
      </c>
      <c r="BIA3" t="s">
        <v>1765</v>
      </c>
      <c r="BIB3" t="s">
        <v>1766</v>
      </c>
      <c r="BIC3" t="s">
        <v>1767</v>
      </c>
      <c r="BID3" t="s">
        <v>1768</v>
      </c>
      <c r="BIE3" t="s">
        <v>1769</v>
      </c>
      <c r="BIF3" t="s">
        <v>1770</v>
      </c>
      <c r="BIG3" t="s">
        <v>1771</v>
      </c>
      <c r="BIH3" t="s">
        <v>1772</v>
      </c>
      <c r="BII3" t="s">
        <v>1773</v>
      </c>
      <c r="BIJ3" t="s">
        <v>1774</v>
      </c>
      <c r="BIK3" t="s">
        <v>1775</v>
      </c>
      <c r="BIL3" t="s">
        <v>1776</v>
      </c>
      <c r="BIM3" t="s">
        <v>1777</v>
      </c>
      <c r="BIN3" t="s">
        <v>1778</v>
      </c>
      <c r="BIO3" t="s">
        <v>1779</v>
      </c>
      <c r="BIP3" t="s">
        <v>1780</v>
      </c>
      <c r="BIQ3" t="s">
        <v>1781</v>
      </c>
      <c r="BIR3" t="s">
        <v>1782</v>
      </c>
      <c r="BIS3" t="s">
        <v>1783</v>
      </c>
      <c r="BIT3" t="s">
        <v>1784</v>
      </c>
      <c r="BIU3" t="s">
        <v>1785</v>
      </c>
      <c r="BIV3" t="s">
        <v>1786</v>
      </c>
      <c r="BIW3" t="s">
        <v>1787</v>
      </c>
      <c r="BIX3" t="s">
        <v>1788</v>
      </c>
      <c r="BIY3" t="s">
        <v>1789</v>
      </c>
      <c r="BIZ3" t="s">
        <v>1790</v>
      </c>
      <c r="BJA3" t="s">
        <v>1791</v>
      </c>
      <c r="BJB3" t="s">
        <v>1792</v>
      </c>
      <c r="BJC3" t="s">
        <v>1793</v>
      </c>
      <c r="BJD3" t="s">
        <v>1794</v>
      </c>
      <c r="BJE3" t="s">
        <v>1795</v>
      </c>
      <c r="BJF3" t="s">
        <v>1796</v>
      </c>
      <c r="BJG3" t="s">
        <v>1797</v>
      </c>
      <c r="BJH3" t="s">
        <v>1798</v>
      </c>
      <c r="BJI3" t="s">
        <v>1799</v>
      </c>
      <c r="BJJ3" t="s">
        <v>1800</v>
      </c>
      <c r="BJK3" t="s">
        <v>1801</v>
      </c>
      <c r="BJL3" t="s">
        <v>1802</v>
      </c>
      <c r="BJM3" t="s">
        <v>1803</v>
      </c>
      <c r="BJN3" t="s">
        <v>1804</v>
      </c>
      <c r="BJO3" t="s">
        <v>1805</v>
      </c>
      <c r="BJP3" t="s">
        <v>1806</v>
      </c>
      <c r="BJQ3" t="s">
        <v>1807</v>
      </c>
      <c r="BJR3" t="s">
        <v>1808</v>
      </c>
      <c r="BJS3" t="s">
        <v>1809</v>
      </c>
      <c r="BJT3" t="s">
        <v>1810</v>
      </c>
      <c r="BJU3" t="s">
        <v>1811</v>
      </c>
      <c r="BJV3" t="s">
        <v>1812</v>
      </c>
      <c r="BJW3" t="s">
        <v>1813</v>
      </c>
      <c r="BJX3" t="s">
        <v>1814</v>
      </c>
      <c r="BJY3" t="s">
        <v>1815</v>
      </c>
      <c r="BJZ3" t="s">
        <v>1816</v>
      </c>
      <c r="BKA3" t="s">
        <v>1817</v>
      </c>
      <c r="BKB3" t="s">
        <v>1818</v>
      </c>
      <c r="BKC3" t="s">
        <v>1819</v>
      </c>
      <c r="BKD3" t="s">
        <v>1820</v>
      </c>
      <c r="BKE3" t="s">
        <v>1821</v>
      </c>
      <c r="BKF3" t="s">
        <v>1822</v>
      </c>
      <c r="BKG3" t="s">
        <v>1823</v>
      </c>
      <c r="BKH3" t="s">
        <v>1824</v>
      </c>
      <c r="BKI3" t="s">
        <v>1825</v>
      </c>
      <c r="BKJ3" t="s">
        <v>1826</v>
      </c>
      <c r="BKK3" t="s">
        <v>1827</v>
      </c>
      <c r="BKL3" t="s">
        <v>1828</v>
      </c>
      <c r="BKM3" t="s">
        <v>1829</v>
      </c>
      <c r="BKN3" t="s">
        <v>1830</v>
      </c>
      <c r="BKO3" t="s">
        <v>1831</v>
      </c>
      <c r="BKP3" t="s">
        <v>1832</v>
      </c>
      <c r="BKQ3" t="s">
        <v>1833</v>
      </c>
      <c r="BKR3" t="s">
        <v>1834</v>
      </c>
      <c r="BKS3" t="s">
        <v>1835</v>
      </c>
      <c r="BKT3" t="s">
        <v>1836</v>
      </c>
      <c r="BKU3" t="s">
        <v>1837</v>
      </c>
      <c r="BKV3" t="s">
        <v>1838</v>
      </c>
      <c r="BKW3" t="s">
        <v>1839</v>
      </c>
      <c r="BKX3" t="s">
        <v>1840</v>
      </c>
      <c r="BKY3" t="s">
        <v>1841</v>
      </c>
      <c r="BKZ3" t="s">
        <v>1842</v>
      </c>
      <c r="BLA3" t="s">
        <v>1843</v>
      </c>
      <c r="BLB3" t="s">
        <v>1844</v>
      </c>
      <c r="BLC3" t="s">
        <v>1845</v>
      </c>
      <c r="BLD3" t="s">
        <v>1846</v>
      </c>
      <c r="BLE3" t="s">
        <v>1847</v>
      </c>
      <c r="BLF3" t="s">
        <v>1848</v>
      </c>
      <c r="BLG3" t="s">
        <v>1849</v>
      </c>
      <c r="BLH3" t="s">
        <v>1850</v>
      </c>
      <c r="BLI3" t="s">
        <v>1851</v>
      </c>
      <c r="BLJ3" t="s">
        <v>1852</v>
      </c>
      <c r="BLK3" t="s">
        <v>1853</v>
      </c>
      <c r="BLL3" t="s">
        <v>1854</v>
      </c>
      <c r="BLM3" t="s">
        <v>1855</v>
      </c>
      <c r="BLN3" t="s">
        <v>1856</v>
      </c>
      <c r="BLO3" t="s">
        <v>1857</v>
      </c>
      <c r="BLP3" t="s">
        <v>1858</v>
      </c>
      <c r="BLQ3" t="s">
        <v>1859</v>
      </c>
      <c r="BLR3" t="s">
        <v>1860</v>
      </c>
      <c r="BLS3" t="s">
        <v>1861</v>
      </c>
      <c r="BLT3" t="s">
        <v>1862</v>
      </c>
      <c r="BLU3" t="s">
        <v>1863</v>
      </c>
      <c r="BLV3" t="s">
        <v>1864</v>
      </c>
      <c r="BLW3" t="s">
        <v>1865</v>
      </c>
      <c r="BLX3" t="s">
        <v>1866</v>
      </c>
      <c r="BLY3" t="s">
        <v>1867</v>
      </c>
      <c r="BLZ3" t="s">
        <v>1868</v>
      </c>
      <c r="BMA3" t="s">
        <v>1869</v>
      </c>
      <c r="BMB3" t="s">
        <v>1870</v>
      </c>
      <c r="BMC3" t="s">
        <v>1871</v>
      </c>
      <c r="BMD3" t="s">
        <v>1872</v>
      </c>
      <c r="BME3" t="s">
        <v>1873</v>
      </c>
      <c r="BMF3" t="s">
        <v>1874</v>
      </c>
      <c r="BMG3" t="s">
        <v>1875</v>
      </c>
      <c r="BMH3" t="s">
        <v>1876</v>
      </c>
      <c r="BMI3" t="s">
        <v>1877</v>
      </c>
      <c r="BMJ3" t="s">
        <v>1878</v>
      </c>
      <c r="BMK3" t="s">
        <v>1879</v>
      </c>
      <c r="BML3" t="s">
        <v>1880</v>
      </c>
      <c r="BMM3" t="s">
        <v>1881</v>
      </c>
      <c r="BMN3" t="s">
        <v>1882</v>
      </c>
      <c r="BMO3" t="s">
        <v>1883</v>
      </c>
      <c r="BMP3" t="s">
        <v>1884</v>
      </c>
      <c r="BMQ3" t="s">
        <v>1885</v>
      </c>
      <c r="BMR3" t="s">
        <v>1886</v>
      </c>
      <c r="BMS3" t="s">
        <v>1887</v>
      </c>
      <c r="BMT3" t="s">
        <v>1888</v>
      </c>
      <c r="BMU3" t="s">
        <v>1889</v>
      </c>
      <c r="BMV3" t="s">
        <v>1890</v>
      </c>
      <c r="BMW3" t="s">
        <v>1891</v>
      </c>
      <c r="BMX3" t="s">
        <v>1892</v>
      </c>
      <c r="BMY3" t="s">
        <v>1893</v>
      </c>
      <c r="BMZ3" t="s">
        <v>1894</v>
      </c>
      <c r="BNA3" t="s">
        <v>1895</v>
      </c>
      <c r="BNB3" t="s">
        <v>1896</v>
      </c>
      <c r="BNC3" t="s">
        <v>1897</v>
      </c>
      <c r="BND3" t="s">
        <v>1898</v>
      </c>
      <c r="BNE3" t="s">
        <v>1899</v>
      </c>
      <c r="BNF3" t="s">
        <v>1900</v>
      </c>
      <c r="BNG3" t="s">
        <v>1901</v>
      </c>
      <c r="BNH3" t="s">
        <v>1902</v>
      </c>
      <c r="BNI3" t="s">
        <v>1903</v>
      </c>
      <c r="BNJ3" t="s">
        <v>1904</v>
      </c>
      <c r="BNK3" t="s">
        <v>1905</v>
      </c>
      <c r="BNL3" t="s">
        <v>1906</v>
      </c>
      <c r="BNM3" t="s">
        <v>1907</v>
      </c>
      <c r="BNN3" t="s">
        <v>1908</v>
      </c>
      <c r="BNO3" t="s">
        <v>1909</v>
      </c>
      <c r="BNP3" t="s">
        <v>1910</v>
      </c>
      <c r="BNQ3" t="s">
        <v>1911</v>
      </c>
      <c r="BNR3" t="s">
        <v>1912</v>
      </c>
      <c r="BNS3" t="s">
        <v>1913</v>
      </c>
      <c r="BNT3" t="s">
        <v>1914</v>
      </c>
      <c r="BNU3" t="s">
        <v>1915</v>
      </c>
      <c r="BNV3" t="s">
        <v>1916</v>
      </c>
      <c r="BNW3" t="s">
        <v>1917</v>
      </c>
      <c r="BNX3" t="s">
        <v>1918</v>
      </c>
      <c r="BNY3" t="s">
        <v>1919</v>
      </c>
      <c r="BNZ3" t="s">
        <v>1920</v>
      </c>
      <c r="BOA3" t="s">
        <v>1921</v>
      </c>
      <c r="BOB3" t="s">
        <v>1922</v>
      </c>
      <c r="BOC3" t="s">
        <v>1923</v>
      </c>
      <c r="BOD3" t="s">
        <v>1924</v>
      </c>
      <c r="BOE3" t="s">
        <v>1925</v>
      </c>
      <c r="BOF3" t="s">
        <v>1926</v>
      </c>
      <c r="BOG3" t="s">
        <v>1927</v>
      </c>
      <c r="BOH3" t="s">
        <v>1928</v>
      </c>
      <c r="BOI3" t="s">
        <v>1929</v>
      </c>
      <c r="BOJ3" t="s">
        <v>1930</v>
      </c>
      <c r="BOK3" t="s">
        <v>1931</v>
      </c>
      <c r="BOL3" t="s">
        <v>1932</v>
      </c>
      <c r="BOM3" t="s">
        <v>1933</v>
      </c>
      <c r="BON3" t="s">
        <v>1934</v>
      </c>
      <c r="BOO3" t="s">
        <v>1935</v>
      </c>
      <c r="BOP3" t="s">
        <v>1936</v>
      </c>
      <c r="BOQ3" t="s">
        <v>1937</v>
      </c>
      <c r="BOR3" t="s">
        <v>1938</v>
      </c>
      <c r="BOS3" t="s">
        <v>1939</v>
      </c>
      <c r="BOT3" t="s">
        <v>1940</v>
      </c>
      <c r="BOU3" t="s">
        <v>1941</v>
      </c>
      <c r="BOV3" t="s">
        <v>1942</v>
      </c>
      <c r="BOW3" t="s">
        <v>1943</v>
      </c>
      <c r="BOX3" t="s">
        <v>1944</v>
      </c>
      <c r="BOY3" t="s">
        <v>1945</v>
      </c>
      <c r="BOZ3" t="s">
        <v>1946</v>
      </c>
      <c r="BPA3" t="s">
        <v>1947</v>
      </c>
      <c r="BPB3" t="s">
        <v>1948</v>
      </c>
      <c r="BPC3" t="s">
        <v>1949</v>
      </c>
      <c r="BPD3" t="s">
        <v>1950</v>
      </c>
      <c r="BPE3" t="s">
        <v>1951</v>
      </c>
      <c r="BPF3" t="s">
        <v>1952</v>
      </c>
      <c r="BPG3" t="s">
        <v>1953</v>
      </c>
      <c r="BPH3" t="s">
        <v>1954</v>
      </c>
      <c r="BPI3" t="s">
        <v>1955</v>
      </c>
      <c r="BPJ3" t="s">
        <v>1956</v>
      </c>
      <c r="BPK3" t="s">
        <v>1957</v>
      </c>
      <c r="BPL3" t="s">
        <v>1958</v>
      </c>
      <c r="BPM3" t="s">
        <v>1959</v>
      </c>
      <c r="BPN3" t="s">
        <v>1960</v>
      </c>
      <c r="BPO3" t="s">
        <v>1961</v>
      </c>
      <c r="BPP3" t="s">
        <v>1962</v>
      </c>
      <c r="BPQ3" t="s">
        <v>1963</v>
      </c>
      <c r="BPR3" t="s">
        <v>1964</v>
      </c>
      <c r="BPS3" t="s">
        <v>1965</v>
      </c>
      <c r="BPT3" t="s">
        <v>1966</v>
      </c>
      <c r="BPU3" t="s">
        <v>1967</v>
      </c>
      <c r="BPV3" t="s">
        <v>1968</v>
      </c>
      <c r="BPW3" t="s">
        <v>1969</v>
      </c>
      <c r="BPX3" t="s">
        <v>1970</v>
      </c>
      <c r="BPY3" t="s">
        <v>1971</v>
      </c>
      <c r="BPZ3" t="s">
        <v>1972</v>
      </c>
      <c r="BQA3" t="s">
        <v>1973</v>
      </c>
      <c r="BQB3" t="s">
        <v>1974</v>
      </c>
      <c r="BQC3" t="s">
        <v>1975</v>
      </c>
      <c r="BQD3" t="s">
        <v>1976</v>
      </c>
      <c r="BQE3" t="s">
        <v>1977</v>
      </c>
      <c r="BQF3" t="s">
        <v>1978</v>
      </c>
      <c r="BQG3" t="s">
        <v>1979</v>
      </c>
      <c r="BQH3" t="s">
        <v>1980</v>
      </c>
      <c r="BQI3" t="s">
        <v>1981</v>
      </c>
      <c r="BQJ3" t="s">
        <v>1982</v>
      </c>
      <c r="BQK3" t="s">
        <v>1983</v>
      </c>
      <c r="BQL3" t="s">
        <v>1984</v>
      </c>
      <c r="BQM3" t="s">
        <v>1985</v>
      </c>
      <c r="BQN3" t="s">
        <v>1986</v>
      </c>
      <c r="BQO3" t="s">
        <v>1987</v>
      </c>
      <c r="BQP3" t="s">
        <v>1988</v>
      </c>
      <c r="BQQ3" t="s">
        <v>1989</v>
      </c>
      <c r="BQR3" t="s">
        <v>1990</v>
      </c>
      <c r="BQS3" t="s">
        <v>1991</v>
      </c>
      <c r="BQT3" t="s">
        <v>1992</v>
      </c>
      <c r="BQU3" t="s">
        <v>1993</v>
      </c>
      <c r="BQV3" t="s">
        <v>1994</v>
      </c>
      <c r="BQW3" t="s">
        <v>1995</v>
      </c>
      <c r="BQX3" t="s">
        <v>1996</v>
      </c>
      <c r="BQY3" t="s">
        <v>1997</v>
      </c>
      <c r="BQZ3" t="s">
        <v>1998</v>
      </c>
      <c r="BRA3" t="s">
        <v>1999</v>
      </c>
      <c r="BRB3" t="s">
        <v>2000</v>
      </c>
      <c r="BRC3" t="s">
        <v>2001</v>
      </c>
      <c r="BRD3" t="s">
        <v>2002</v>
      </c>
      <c r="BRE3" t="s">
        <v>2003</v>
      </c>
      <c r="BRF3" t="s">
        <v>2004</v>
      </c>
      <c r="BRG3" t="s">
        <v>2005</v>
      </c>
      <c r="BRH3" t="s">
        <v>2006</v>
      </c>
      <c r="BRI3" t="s">
        <v>2007</v>
      </c>
      <c r="BRJ3" t="s">
        <v>2008</v>
      </c>
      <c r="BRK3" t="s">
        <v>2009</v>
      </c>
      <c r="BRL3" t="s">
        <v>2010</v>
      </c>
      <c r="BRM3" t="s">
        <v>2011</v>
      </c>
      <c r="BRN3" t="s">
        <v>2012</v>
      </c>
      <c r="BRO3" t="s">
        <v>2013</v>
      </c>
      <c r="BRP3" t="s">
        <v>2014</v>
      </c>
      <c r="BRQ3" t="s">
        <v>2015</v>
      </c>
      <c r="BRR3" t="s">
        <v>2016</v>
      </c>
      <c r="BRS3" t="s">
        <v>2017</v>
      </c>
      <c r="BRT3" t="s">
        <v>2018</v>
      </c>
      <c r="BRU3" t="s">
        <v>2019</v>
      </c>
      <c r="BRV3" t="s">
        <v>2020</v>
      </c>
      <c r="BRW3" t="s">
        <v>2021</v>
      </c>
      <c r="BRX3" t="s">
        <v>2022</v>
      </c>
      <c r="BRY3" t="s">
        <v>2023</v>
      </c>
      <c r="BRZ3" t="s">
        <v>2024</v>
      </c>
      <c r="BSA3" t="s">
        <v>2025</v>
      </c>
      <c r="BSB3" t="s">
        <v>2026</v>
      </c>
      <c r="BSC3" t="s">
        <v>2027</v>
      </c>
      <c r="BSD3" t="s">
        <v>2028</v>
      </c>
      <c r="BSE3" t="s">
        <v>2029</v>
      </c>
      <c r="BSF3" t="s">
        <v>2030</v>
      </c>
      <c r="BSG3" t="s">
        <v>2031</v>
      </c>
      <c r="BSH3" t="s">
        <v>2032</v>
      </c>
      <c r="BSI3" t="s">
        <v>2033</v>
      </c>
      <c r="BSJ3" t="s">
        <v>2034</v>
      </c>
      <c r="BSK3" t="s">
        <v>2035</v>
      </c>
      <c r="BSL3" t="s">
        <v>2036</v>
      </c>
      <c r="BSM3" t="s">
        <v>2037</v>
      </c>
      <c r="BSN3" t="s">
        <v>2038</v>
      </c>
      <c r="BSO3" t="s">
        <v>2039</v>
      </c>
      <c r="BSP3" t="s">
        <v>2040</v>
      </c>
      <c r="BSQ3" t="s">
        <v>2041</v>
      </c>
      <c r="BSR3" t="s">
        <v>2042</v>
      </c>
      <c r="BSS3" t="s">
        <v>2043</v>
      </c>
      <c r="BST3" t="s">
        <v>2044</v>
      </c>
      <c r="BSU3" t="s">
        <v>2045</v>
      </c>
      <c r="BSV3" t="s">
        <v>2046</v>
      </c>
      <c r="BSW3" t="s">
        <v>2047</v>
      </c>
      <c r="BSX3" t="s">
        <v>2048</v>
      </c>
      <c r="BSY3" t="s">
        <v>2049</v>
      </c>
      <c r="BSZ3" t="s">
        <v>2050</v>
      </c>
      <c r="BTA3" t="s">
        <v>2051</v>
      </c>
      <c r="BTB3" t="s">
        <v>2052</v>
      </c>
      <c r="BTC3" t="s">
        <v>2053</v>
      </c>
      <c r="BTD3" t="s">
        <v>2054</v>
      </c>
      <c r="BTE3" t="s">
        <v>2055</v>
      </c>
      <c r="BTF3" t="s">
        <v>2056</v>
      </c>
      <c r="BTG3" t="s">
        <v>2057</v>
      </c>
      <c r="BTH3" t="s">
        <v>2058</v>
      </c>
      <c r="BTI3" t="s">
        <v>2059</v>
      </c>
      <c r="BTJ3" t="s">
        <v>2060</v>
      </c>
      <c r="BTK3" t="s">
        <v>2061</v>
      </c>
      <c r="BTL3" t="s">
        <v>2062</v>
      </c>
      <c r="BTM3" t="s">
        <v>2063</v>
      </c>
      <c r="BTN3" t="s">
        <v>2064</v>
      </c>
      <c r="BTO3" t="s">
        <v>2065</v>
      </c>
      <c r="BTP3" t="s">
        <v>2066</v>
      </c>
      <c r="BTQ3" t="s">
        <v>2067</v>
      </c>
      <c r="BTR3" t="s">
        <v>2068</v>
      </c>
      <c r="BTS3" t="s">
        <v>2069</v>
      </c>
      <c r="BTT3" t="s">
        <v>2070</v>
      </c>
      <c r="BTU3" t="s">
        <v>2071</v>
      </c>
      <c r="BTV3" t="s">
        <v>2072</v>
      </c>
      <c r="BTW3" t="s">
        <v>2073</v>
      </c>
      <c r="BTX3" t="s">
        <v>2074</v>
      </c>
      <c r="BTY3" t="s">
        <v>2075</v>
      </c>
      <c r="BTZ3" t="s">
        <v>2076</v>
      </c>
      <c r="BUA3" t="s">
        <v>2077</v>
      </c>
      <c r="BUB3" t="s">
        <v>2078</v>
      </c>
      <c r="BUC3" t="s">
        <v>2079</v>
      </c>
      <c r="BUD3" t="s">
        <v>2080</v>
      </c>
      <c r="BUE3" t="s">
        <v>2081</v>
      </c>
      <c r="BUF3" t="s">
        <v>2082</v>
      </c>
      <c r="BUG3" t="s">
        <v>2083</v>
      </c>
      <c r="BUH3" t="s">
        <v>2084</v>
      </c>
      <c r="BUI3" t="s">
        <v>2085</v>
      </c>
      <c r="BUJ3" t="s">
        <v>2086</v>
      </c>
      <c r="BUK3" t="s">
        <v>2087</v>
      </c>
      <c r="BUL3" t="s">
        <v>2088</v>
      </c>
      <c r="BUM3" t="s">
        <v>2089</v>
      </c>
      <c r="BUN3" t="s">
        <v>2090</v>
      </c>
      <c r="BUO3" t="s">
        <v>2091</v>
      </c>
      <c r="BUP3" t="s">
        <v>2092</v>
      </c>
      <c r="BUQ3" t="s">
        <v>2093</v>
      </c>
      <c r="BUR3" t="s">
        <v>2094</v>
      </c>
      <c r="BUS3" t="s">
        <v>2095</v>
      </c>
      <c r="BUT3" t="s">
        <v>2096</v>
      </c>
      <c r="BUU3" t="s">
        <v>2097</v>
      </c>
      <c r="BUV3" t="s">
        <v>2098</v>
      </c>
      <c r="BUW3" t="s">
        <v>2099</v>
      </c>
      <c r="BUX3" t="s">
        <v>2100</v>
      </c>
      <c r="BUY3" t="s">
        <v>2101</v>
      </c>
      <c r="BUZ3" t="s">
        <v>2102</v>
      </c>
      <c r="BVA3" t="s">
        <v>2103</v>
      </c>
      <c r="BVB3" t="s">
        <v>2104</v>
      </c>
      <c r="BVC3" t="s">
        <v>2105</v>
      </c>
      <c r="BVD3" t="s">
        <v>2106</v>
      </c>
      <c r="BVE3" t="s">
        <v>2107</v>
      </c>
      <c r="BVF3" t="s">
        <v>2108</v>
      </c>
      <c r="BVG3" t="s">
        <v>2109</v>
      </c>
      <c r="BVH3" t="s">
        <v>2110</v>
      </c>
      <c r="BVI3" t="s">
        <v>2111</v>
      </c>
      <c r="BVJ3" t="s">
        <v>2112</v>
      </c>
      <c r="BVK3" t="s">
        <v>2113</v>
      </c>
      <c r="BVL3" t="s">
        <v>2114</v>
      </c>
      <c r="BVM3" t="s">
        <v>2115</v>
      </c>
      <c r="BVN3" t="s">
        <v>2116</v>
      </c>
      <c r="BVO3" t="s">
        <v>2117</v>
      </c>
      <c r="BVP3" t="s">
        <v>2118</v>
      </c>
      <c r="BVQ3" t="s">
        <v>2119</v>
      </c>
      <c r="BVR3" t="s">
        <v>2120</v>
      </c>
      <c r="BVS3" t="s">
        <v>2121</v>
      </c>
      <c r="BVT3" t="s">
        <v>2122</v>
      </c>
      <c r="BVU3" t="s">
        <v>2123</v>
      </c>
      <c r="BVV3" t="s">
        <v>2124</v>
      </c>
      <c r="BVW3" t="s">
        <v>2125</v>
      </c>
      <c r="BVX3" t="s">
        <v>2126</v>
      </c>
      <c r="BVY3" t="s">
        <v>2127</v>
      </c>
      <c r="BVZ3" t="s">
        <v>2128</v>
      </c>
      <c r="BWA3" t="s">
        <v>2129</v>
      </c>
      <c r="BWB3" t="s">
        <v>2130</v>
      </c>
      <c r="BWC3" t="s">
        <v>2131</v>
      </c>
      <c r="BWD3" t="s">
        <v>2132</v>
      </c>
      <c r="BWE3" t="s">
        <v>2133</v>
      </c>
      <c r="BWF3" t="s">
        <v>2134</v>
      </c>
      <c r="BWG3" t="s">
        <v>2135</v>
      </c>
      <c r="BWH3" t="s">
        <v>2136</v>
      </c>
      <c r="BWI3" t="s">
        <v>2137</v>
      </c>
      <c r="BWJ3" t="s">
        <v>2138</v>
      </c>
      <c r="BWK3" t="s">
        <v>2139</v>
      </c>
      <c r="BWL3" t="s">
        <v>2140</v>
      </c>
      <c r="BWM3" t="s">
        <v>2141</v>
      </c>
      <c r="BWN3" t="s">
        <v>2142</v>
      </c>
      <c r="BWO3" t="s">
        <v>2143</v>
      </c>
      <c r="BWP3" t="s">
        <v>2144</v>
      </c>
      <c r="BWQ3" t="s">
        <v>2145</v>
      </c>
      <c r="BWR3" t="s">
        <v>2146</v>
      </c>
      <c r="BWS3" t="s">
        <v>2147</v>
      </c>
      <c r="BWT3" t="s">
        <v>2148</v>
      </c>
      <c r="BWU3" t="s">
        <v>2149</v>
      </c>
      <c r="BWV3" t="s">
        <v>2150</v>
      </c>
      <c r="BWW3" t="s">
        <v>2151</v>
      </c>
      <c r="BWX3" t="s">
        <v>2152</v>
      </c>
      <c r="BWY3" t="s">
        <v>2153</v>
      </c>
      <c r="BWZ3" t="s">
        <v>2154</v>
      </c>
      <c r="BXA3" t="s">
        <v>2155</v>
      </c>
      <c r="BXB3" t="s">
        <v>2156</v>
      </c>
      <c r="BXC3" t="s">
        <v>2157</v>
      </c>
      <c r="BXD3" t="s">
        <v>2158</v>
      </c>
      <c r="BXE3" t="s">
        <v>2159</v>
      </c>
      <c r="BXF3" t="s">
        <v>2160</v>
      </c>
      <c r="BXG3" t="s">
        <v>2161</v>
      </c>
      <c r="BXH3" t="s">
        <v>2162</v>
      </c>
      <c r="BXI3" t="s">
        <v>2163</v>
      </c>
      <c r="BXJ3" t="s">
        <v>2164</v>
      </c>
      <c r="BXK3" t="s">
        <v>2165</v>
      </c>
      <c r="BXL3" t="s">
        <v>2166</v>
      </c>
      <c r="BXM3" t="s">
        <v>2167</v>
      </c>
      <c r="BXN3" t="s">
        <v>2168</v>
      </c>
      <c r="BXO3" t="s">
        <v>2169</v>
      </c>
      <c r="BXP3" t="s">
        <v>2170</v>
      </c>
      <c r="BXQ3" t="s">
        <v>2171</v>
      </c>
      <c r="BXR3" t="s">
        <v>2172</v>
      </c>
      <c r="BXS3" t="s">
        <v>2173</v>
      </c>
      <c r="BXT3" t="s">
        <v>2174</v>
      </c>
      <c r="BXU3" t="s">
        <v>2175</v>
      </c>
      <c r="BXV3" t="s">
        <v>2176</v>
      </c>
      <c r="BXW3" t="s">
        <v>2177</v>
      </c>
      <c r="BXX3" t="s">
        <v>2178</v>
      </c>
      <c r="BXY3" t="s">
        <v>2179</v>
      </c>
      <c r="BXZ3" t="s">
        <v>2180</v>
      </c>
      <c r="BYA3" t="s">
        <v>2181</v>
      </c>
      <c r="BYB3" t="s">
        <v>2182</v>
      </c>
      <c r="BYC3" t="s">
        <v>2183</v>
      </c>
      <c r="BYD3" t="s">
        <v>2184</v>
      </c>
      <c r="BYE3" t="s">
        <v>2185</v>
      </c>
      <c r="BYF3" t="s">
        <v>2186</v>
      </c>
      <c r="BYG3" t="s">
        <v>2187</v>
      </c>
      <c r="BYH3" t="s">
        <v>2188</v>
      </c>
      <c r="BYI3" t="s">
        <v>2189</v>
      </c>
      <c r="BYJ3" t="s">
        <v>2190</v>
      </c>
      <c r="BYK3" t="s">
        <v>2191</v>
      </c>
      <c r="BYL3" t="s">
        <v>2192</v>
      </c>
      <c r="BYM3" t="s">
        <v>2193</v>
      </c>
      <c r="BYN3" t="s">
        <v>2194</v>
      </c>
      <c r="BYO3" t="s">
        <v>2195</v>
      </c>
      <c r="BYP3" t="s">
        <v>2196</v>
      </c>
      <c r="BYQ3" t="s">
        <v>2197</v>
      </c>
      <c r="BYR3" t="s">
        <v>2198</v>
      </c>
      <c r="BYS3" t="s">
        <v>2199</v>
      </c>
      <c r="BYT3" t="s">
        <v>2200</v>
      </c>
      <c r="BYU3" t="s">
        <v>2201</v>
      </c>
      <c r="BYV3" t="s">
        <v>2202</v>
      </c>
      <c r="BYW3" t="s">
        <v>2203</v>
      </c>
      <c r="BYX3" t="s">
        <v>2204</v>
      </c>
      <c r="BYY3" t="s">
        <v>2205</v>
      </c>
      <c r="BYZ3" t="s">
        <v>2206</v>
      </c>
      <c r="BZA3" t="s">
        <v>2207</v>
      </c>
      <c r="BZB3" t="s">
        <v>2208</v>
      </c>
      <c r="BZC3" t="s">
        <v>2209</v>
      </c>
      <c r="BZD3" t="s">
        <v>2210</v>
      </c>
      <c r="BZE3" t="s">
        <v>2211</v>
      </c>
      <c r="BZF3" t="s">
        <v>2212</v>
      </c>
      <c r="BZG3" t="s">
        <v>2213</v>
      </c>
      <c r="BZH3" t="s">
        <v>2214</v>
      </c>
      <c r="BZI3" t="s">
        <v>2215</v>
      </c>
      <c r="BZJ3" t="s">
        <v>2216</v>
      </c>
      <c r="BZK3" t="s">
        <v>2217</v>
      </c>
      <c r="BZL3" t="s">
        <v>2218</v>
      </c>
      <c r="BZM3" t="s">
        <v>2219</v>
      </c>
      <c r="BZN3" t="s">
        <v>2220</v>
      </c>
      <c r="BZO3" t="s">
        <v>2221</v>
      </c>
      <c r="BZP3" t="s">
        <v>2222</v>
      </c>
      <c r="BZQ3" t="s">
        <v>2223</v>
      </c>
      <c r="BZR3" t="s">
        <v>2224</v>
      </c>
      <c r="BZS3" t="s">
        <v>2225</v>
      </c>
      <c r="BZT3" t="s">
        <v>2226</v>
      </c>
      <c r="BZU3" t="s">
        <v>2227</v>
      </c>
      <c r="BZV3" t="s">
        <v>2228</v>
      </c>
      <c r="BZW3" t="s">
        <v>2229</v>
      </c>
      <c r="BZX3" t="s">
        <v>2230</v>
      </c>
      <c r="BZY3" t="s">
        <v>2231</v>
      </c>
      <c r="BZZ3" t="s">
        <v>2232</v>
      </c>
      <c r="CAA3" t="s">
        <v>2233</v>
      </c>
      <c r="CAB3" t="s">
        <v>2234</v>
      </c>
      <c r="CAC3" t="s">
        <v>2235</v>
      </c>
      <c r="CAD3" t="s">
        <v>2236</v>
      </c>
      <c r="CAE3" t="s">
        <v>2237</v>
      </c>
      <c r="CAF3" t="s">
        <v>2238</v>
      </c>
      <c r="CAG3" t="s">
        <v>2239</v>
      </c>
      <c r="CAH3" t="s">
        <v>2240</v>
      </c>
      <c r="CAI3" t="s">
        <v>2241</v>
      </c>
      <c r="CAJ3" t="s">
        <v>2242</v>
      </c>
      <c r="CAK3" t="s">
        <v>2243</v>
      </c>
      <c r="CAL3" t="s">
        <v>2244</v>
      </c>
      <c r="CAM3" t="s">
        <v>2245</v>
      </c>
      <c r="CAN3" t="s">
        <v>2246</v>
      </c>
      <c r="CAO3" t="s">
        <v>2247</v>
      </c>
      <c r="CAP3" t="s">
        <v>2248</v>
      </c>
      <c r="CAQ3" t="s">
        <v>2249</v>
      </c>
      <c r="CAR3" t="s">
        <v>2250</v>
      </c>
      <c r="CAS3" t="s">
        <v>2251</v>
      </c>
      <c r="CAT3" t="s">
        <v>2252</v>
      </c>
      <c r="CAU3" t="s">
        <v>2253</v>
      </c>
      <c r="CAV3" t="s">
        <v>2254</v>
      </c>
      <c r="CAW3" t="s">
        <v>2255</v>
      </c>
      <c r="CAX3" t="s">
        <v>2256</v>
      </c>
      <c r="CAY3" t="s">
        <v>2257</v>
      </c>
      <c r="CAZ3" t="s">
        <v>2258</v>
      </c>
      <c r="CBA3" t="s">
        <v>2259</v>
      </c>
      <c r="CBB3" t="s">
        <v>2260</v>
      </c>
      <c r="CBC3" t="s">
        <v>2261</v>
      </c>
      <c r="CBD3" t="s">
        <v>2262</v>
      </c>
      <c r="CBE3" t="s">
        <v>2263</v>
      </c>
      <c r="CBF3" t="s">
        <v>2264</v>
      </c>
      <c r="CBG3" t="s">
        <v>2265</v>
      </c>
      <c r="CBH3" t="s">
        <v>2266</v>
      </c>
      <c r="CBI3" t="s">
        <v>2267</v>
      </c>
      <c r="CBJ3" t="s">
        <v>2268</v>
      </c>
      <c r="CBK3" t="s">
        <v>2269</v>
      </c>
      <c r="CBL3" t="s">
        <v>2270</v>
      </c>
      <c r="CBM3" t="s">
        <v>2271</v>
      </c>
      <c r="CBN3" t="s">
        <v>2272</v>
      </c>
      <c r="CBO3" t="s">
        <v>2273</v>
      </c>
      <c r="CBP3" t="s">
        <v>2274</v>
      </c>
      <c r="CBQ3" t="s">
        <v>2275</v>
      </c>
      <c r="CBR3" t="s">
        <v>2276</v>
      </c>
      <c r="CBS3" t="s">
        <v>2277</v>
      </c>
      <c r="CBT3" t="s">
        <v>2278</v>
      </c>
      <c r="CBU3" t="s">
        <v>2279</v>
      </c>
      <c r="CBV3" t="s">
        <v>2280</v>
      </c>
      <c r="CBW3" t="s">
        <v>2281</v>
      </c>
      <c r="CBX3" t="s">
        <v>2282</v>
      </c>
      <c r="CBY3" t="s">
        <v>2283</v>
      </c>
      <c r="CBZ3" t="s">
        <v>2284</v>
      </c>
      <c r="CCA3" t="s">
        <v>2285</v>
      </c>
      <c r="CCB3" t="s">
        <v>2286</v>
      </c>
      <c r="CCC3" t="s">
        <v>2287</v>
      </c>
      <c r="CCD3" t="s">
        <v>2288</v>
      </c>
      <c r="CCE3" t="s">
        <v>2289</v>
      </c>
      <c r="CCF3" t="s">
        <v>2290</v>
      </c>
      <c r="CCG3" t="s">
        <v>2291</v>
      </c>
      <c r="CCH3" t="s">
        <v>2292</v>
      </c>
      <c r="CCI3" t="s">
        <v>2293</v>
      </c>
      <c r="CCJ3" t="s">
        <v>2294</v>
      </c>
      <c r="CCK3" t="s">
        <v>2295</v>
      </c>
      <c r="CCL3" t="s">
        <v>2296</v>
      </c>
      <c r="CCM3" t="s">
        <v>2297</v>
      </c>
      <c r="CCN3" t="s">
        <v>2298</v>
      </c>
      <c r="CCO3" t="s">
        <v>2299</v>
      </c>
      <c r="CCP3" t="s">
        <v>2300</v>
      </c>
      <c r="CCQ3" t="s">
        <v>2301</v>
      </c>
      <c r="CCR3" t="s">
        <v>2302</v>
      </c>
      <c r="CCS3" t="s">
        <v>2303</v>
      </c>
      <c r="CCT3" t="s">
        <v>2304</v>
      </c>
      <c r="CCU3" t="s">
        <v>2305</v>
      </c>
      <c r="CCV3" t="s">
        <v>2306</v>
      </c>
      <c r="CCW3" t="s">
        <v>2307</v>
      </c>
      <c r="CCX3" t="s">
        <v>2308</v>
      </c>
      <c r="CCY3" t="s">
        <v>2309</v>
      </c>
      <c r="CCZ3" t="s">
        <v>2310</v>
      </c>
      <c r="CDA3" t="s">
        <v>2311</v>
      </c>
      <c r="CDB3" t="s">
        <v>2312</v>
      </c>
      <c r="CDC3" t="s">
        <v>2313</v>
      </c>
      <c r="CDD3" t="s">
        <v>2314</v>
      </c>
      <c r="CDE3" t="s">
        <v>2315</v>
      </c>
      <c r="CDF3" t="s">
        <v>2316</v>
      </c>
      <c r="CDG3" t="s">
        <v>2317</v>
      </c>
      <c r="CDH3" t="s">
        <v>2318</v>
      </c>
      <c r="CDI3" t="s">
        <v>2319</v>
      </c>
      <c r="CDJ3" t="s">
        <v>2320</v>
      </c>
      <c r="CDK3" t="s">
        <v>2321</v>
      </c>
      <c r="CDL3" t="s">
        <v>2322</v>
      </c>
      <c r="CDM3" t="s">
        <v>2323</v>
      </c>
      <c r="CDN3" t="s">
        <v>2324</v>
      </c>
      <c r="CDO3" t="s">
        <v>2325</v>
      </c>
      <c r="CDP3" t="s">
        <v>2326</v>
      </c>
      <c r="CDQ3" t="s">
        <v>2327</v>
      </c>
      <c r="CDR3" t="s">
        <v>2328</v>
      </c>
      <c r="CDS3" t="s">
        <v>2329</v>
      </c>
      <c r="CDT3" t="s">
        <v>2330</v>
      </c>
      <c r="CDU3" t="s">
        <v>2331</v>
      </c>
      <c r="CDV3" t="s">
        <v>2332</v>
      </c>
      <c r="CDW3" t="s">
        <v>2333</v>
      </c>
      <c r="CDX3" t="s">
        <v>2334</v>
      </c>
      <c r="CDY3" t="s">
        <v>2335</v>
      </c>
      <c r="CDZ3" t="s">
        <v>2336</v>
      </c>
      <c r="CEA3" t="s">
        <v>2337</v>
      </c>
      <c r="CEB3" t="s">
        <v>2338</v>
      </c>
      <c r="CEC3" t="s">
        <v>2339</v>
      </c>
      <c r="CED3" t="s">
        <v>2340</v>
      </c>
      <c r="CEE3" t="s">
        <v>2341</v>
      </c>
      <c r="CEF3" t="s">
        <v>2342</v>
      </c>
      <c r="CEG3" t="s">
        <v>2343</v>
      </c>
      <c r="CEH3" t="s">
        <v>2344</v>
      </c>
      <c r="CEI3" t="s">
        <v>2345</v>
      </c>
      <c r="CEJ3" t="s">
        <v>2346</v>
      </c>
      <c r="CEK3" t="s">
        <v>2347</v>
      </c>
      <c r="CEL3" t="s">
        <v>2348</v>
      </c>
      <c r="CEM3" t="s">
        <v>2349</v>
      </c>
      <c r="CEN3" t="s">
        <v>2350</v>
      </c>
      <c r="CEO3" t="s">
        <v>2351</v>
      </c>
      <c r="CEP3" t="s">
        <v>2352</v>
      </c>
      <c r="CEQ3" t="s">
        <v>2353</v>
      </c>
      <c r="CER3" t="s">
        <v>2354</v>
      </c>
      <c r="CES3" t="s">
        <v>2355</v>
      </c>
      <c r="CET3" t="s">
        <v>2356</v>
      </c>
      <c r="CEU3" t="s">
        <v>2357</v>
      </c>
      <c r="CEV3" t="s">
        <v>2358</v>
      </c>
      <c r="CEW3" t="s">
        <v>2359</v>
      </c>
      <c r="CEX3" t="s">
        <v>2360</v>
      </c>
      <c r="CEY3" t="s">
        <v>2361</v>
      </c>
      <c r="CEZ3" t="s">
        <v>2362</v>
      </c>
      <c r="CFA3" t="s">
        <v>2363</v>
      </c>
      <c r="CFB3" t="s">
        <v>2364</v>
      </c>
      <c r="CFC3" t="s">
        <v>2365</v>
      </c>
      <c r="CFD3" t="s">
        <v>2366</v>
      </c>
      <c r="CFE3" t="s">
        <v>2367</v>
      </c>
      <c r="CFF3" t="s">
        <v>2368</v>
      </c>
      <c r="CFG3" t="s">
        <v>2369</v>
      </c>
      <c r="CFH3" t="s">
        <v>2370</v>
      </c>
      <c r="CFI3" t="s">
        <v>2371</v>
      </c>
      <c r="CFJ3" t="s">
        <v>2372</v>
      </c>
      <c r="CFK3" t="s">
        <v>2373</v>
      </c>
      <c r="CFL3" t="s">
        <v>2374</v>
      </c>
      <c r="CFM3" t="s">
        <v>2375</v>
      </c>
      <c r="CFN3" t="s">
        <v>2376</v>
      </c>
      <c r="CFO3" t="s">
        <v>2377</v>
      </c>
      <c r="CFP3" t="s">
        <v>2378</v>
      </c>
      <c r="CFQ3" t="s">
        <v>2379</v>
      </c>
      <c r="CFR3" t="s">
        <v>2380</v>
      </c>
      <c r="CFS3" t="s">
        <v>2381</v>
      </c>
      <c r="CFT3" t="s">
        <v>2382</v>
      </c>
      <c r="CFU3" t="s">
        <v>2383</v>
      </c>
      <c r="CFV3" t="s">
        <v>2384</v>
      </c>
      <c r="CFW3" t="s">
        <v>2385</v>
      </c>
      <c r="CFX3" t="s">
        <v>2386</v>
      </c>
      <c r="CFY3" t="s">
        <v>2387</v>
      </c>
      <c r="CFZ3" t="s">
        <v>2388</v>
      </c>
      <c r="CGA3" t="s">
        <v>2389</v>
      </c>
      <c r="CGB3" t="s">
        <v>2390</v>
      </c>
      <c r="CGC3" t="s">
        <v>2391</v>
      </c>
      <c r="CGD3" t="s">
        <v>2392</v>
      </c>
      <c r="CGE3" t="s">
        <v>2393</v>
      </c>
      <c r="CGF3" t="s">
        <v>2394</v>
      </c>
      <c r="CGG3" t="s">
        <v>2395</v>
      </c>
      <c r="CGH3" t="s">
        <v>2396</v>
      </c>
      <c r="CGI3" t="s">
        <v>2397</v>
      </c>
      <c r="CGJ3" t="s">
        <v>2398</v>
      </c>
      <c r="CGK3" t="s">
        <v>2399</v>
      </c>
      <c r="CGL3" t="s">
        <v>2400</v>
      </c>
      <c r="CGM3" t="s">
        <v>2401</v>
      </c>
      <c r="CGN3" t="s">
        <v>2402</v>
      </c>
      <c r="CGO3" t="s">
        <v>2403</v>
      </c>
      <c r="CGP3" t="s">
        <v>2404</v>
      </c>
      <c r="CGQ3" t="s">
        <v>2405</v>
      </c>
      <c r="CGR3" t="s">
        <v>2406</v>
      </c>
      <c r="CGS3" t="s">
        <v>2407</v>
      </c>
      <c r="CGT3" t="s">
        <v>2408</v>
      </c>
      <c r="CGU3" t="s">
        <v>2409</v>
      </c>
      <c r="CGV3" t="s">
        <v>2410</v>
      </c>
      <c r="CGW3" t="s">
        <v>2411</v>
      </c>
      <c r="CGX3" t="s">
        <v>2412</v>
      </c>
      <c r="CGY3" t="s">
        <v>2413</v>
      </c>
      <c r="CGZ3" t="s">
        <v>2414</v>
      </c>
      <c r="CHA3" t="s">
        <v>2415</v>
      </c>
      <c r="CHB3" t="s">
        <v>2416</v>
      </c>
      <c r="CHC3" t="s">
        <v>2417</v>
      </c>
      <c r="CHD3" t="s">
        <v>2418</v>
      </c>
      <c r="CHE3" t="s">
        <v>2419</v>
      </c>
      <c r="CHF3" t="s">
        <v>2420</v>
      </c>
      <c r="CHG3" t="s">
        <v>2421</v>
      </c>
      <c r="CHH3" t="s">
        <v>2422</v>
      </c>
      <c r="CHI3" t="s">
        <v>2423</v>
      </c>
      <c r="CHJ3" t="s">
        <v>2424</v>
      </c>
      <c r="CHK3" t="s">
        <v>2425</v>
      </c>
      <c r="CHL3" t="s">
        <v>2426</v>
      </c>
      <c r="CHM3" t="s">
        <v>2427</v>
      </c>
      <c r="CHN3" t="s">
        <v>2428</v>
      </c>
      <c r="CHO3" t="s">
        <v>2429</v>
      </c>
      <c r="CHP3" t="s">
        <v>2430</v>
      </c>
      <c r="CHQ3" t="s">
        <v>2431</v>
      </c>
      <c r="CHR3" t="s">
        <v>2432</v>
      </c>
      <c r="CHS3" t="s">
        <v>2433</v>
      </c>
      <c r="CHT3" t="s">
        <v>2434</v>
      </c>
      <c r="CHU3" t="s">
        <v>2435</v>
      </c>
      <c r="CHV3" t="s">
        <v>2436</v>
      </c>
      <c r="CHW3" t="s">
        <v>2437</v>
      </c>
      <c r="CHX3" t="s">
        <v>2438</v>
      </c>
      <c r="CHY3" t="s">
        <v>2439</v>
      </c>
      <c r="CHZ3" t="s">
        <v>2440</v>
      </c>
      <c r="CIA3" t="s">
        <v>2441</v>
      </c>
      <c r="CIB3" t="s">
        <v>2442</v>
      </c>
      <c r="CIC3" t="s">
        <v>2443</v>
      </c>
      <c r="CID3" t="s">
        <v>2444</v>
      </c>
      <c r="CIE3" t="s">
        <v>2445</v>
      </c>
      <c r="CIF3" t="s">
        <v>2446</v>
      </c>
      <c r="CIG3" t="s">
        <v>2447</v>
      </c>
      <c r="CIH3" t="s">
        <v>2448</v>
      </c>
      <c r="CII3" t="s">
        <v>2449</v>
      </c>
      <c r="CIJ3" t="s">
        <v>2450</v>
      </c>
      <c r="CIK3" t="s">
        <v>2451</v>
      </c>
      <c r="CIL3" t="s">
        <v>2452</v>
      </c>
      <c r="CIM3" t="s">
        <v>2453</v>
      </c>
      <c r="CIN3" t="s">
        <v>2454</v>
      </c>
      <c r="CIO3" t="s">
        <v>2455</v>
      </c>
      <c r="CIP3" t="s">
        <v>2456</v>
      </c>
      <c r="CIQ3" t="s">
        <v>2457</v>
      </c>
      <c r="CIR3" t="s">
        <v>2458</v>
      </c>
      <c r="CIS3" t="s">
        <v>2459</v>
      </c>
      <c r="CIT3" t="s">
        <v>2460</v>
      </c>
      <c r="CIU3" t="s">
        <v>2461</v>
      </c>
      <c r="CIV3" t="s">
        <v>2462</v>
      </c>
      <c r="CIW3" t="s">
        <v>2463</v>
      </c>
      <c r="CIX3" t="s">
        <v>2464</v>
      </c>
      <c r="CIY3" t="s">
        <v>2465</v>
      </c>
      <c r="CIZ3" t="s">
        <v>2466</v>
      </c>
      <c r="CJA3" t="s">
        <v>2467</v>
      </c>
      <c r="CJB3" t="s">
        <v>2468</v>
      </c>
      <c r="CJC3" t="s">
        <v>2469</v>
      </c>
      <c r="CJD3" t="s">
        <v>2470</v>
      </c>
      <c r="CJE3" t="s">
        <v>2471</v>
      </c>
      <c r="CJF3" t="s">
        <v>2472</v>
      </c>
      <c r="CJG3" t="s">
        <v>2473</v>
      </c>
      <c r="CJH3" t="s">
        <v>2474</v>
      </c>
      <c r="CJI3" t="s">
        <v>2475</v>
      </c>
      <c r="CJJ3" t="s">
        <v>2476</v>
      </c>
      <c r="CJK3" t="s">
        <v>2477</v>
      </c>
      <c r="CJL3" t="s">
        <v>2478</v>
      </c>
      <c r="CJM3" t="s">
        <v>2479</v>
      </c>
      <c r="CJN3" t="s">
        <v>2480</v>
      </c>
      <c r="CJO3" t="s">
        <v>2481</v>
      </c>
      <c r="CJP3" t="s">
        <v>2482</v>
      </c>
      <c r="CJQ3" t="s">
        <v>2483</v>
      </c>
      <c r="CJR3" t="s">
        <v>2484</v>
      </c>
      <c r="CJS3" t="s">
        <v>2485</v>
      </c>
      <c r="CJT3" t="s">
        <v>2486</v>
      </c>
      <c r="CJU3" t="s">
        <v>2487</v>
      </c>
      <c r="CJV3" t="s">
        <v>2488</v>
      </c>
      <c r="CJW3" t="s">
        <v>2489</v>
      </c>
      <c r="CJX3" t="s">
        <v>2490</v>
      </c>
      <c r="CJY3" t="s">
        <v>2491</v>
      </c>
      <c r="CJZ3" t="s">
        <v>2492</v>
      </c>
      <c r="CKA3" t="s">
        <v>2493</v>
      </c>
      <c r="CKB3" t="s">
        <v>2494</v>
      </c>
      <c r="CKC3" t="s">
        <v>2495</v>
      </c>
      <c r="CKD3" t="s">
        <v>2496</v>
      </c>
      <c r="CKE3" t="s">
        <v>2497</v>
      </c>
      <c r="CKF3" t="s">
        <v>2498</v>
      </c>
      <c r="CKG3" t="s">
        <v>2499</v>
      </c>
      <c r="CKH3" t="s">
        <v>2500</v>
      </c>
      <c r="CKI3" t="s">
        <v>2501</v>
      </c>
      <c r="CKJ3" t="s">
        <v>2502</v>
      </c>
      <c r="CKK3" t="s">
        <v>2503</v>
      </c>
      <c r="CKL3" t="s">
        <v>2504</v>
      </c>
      <c r="CKM3" t="s">
        <v>2505</v>
      </c>
      <c r="CKN3" t="s">
        <v>2506</v>
      </c>
      <c r="CKO3" t="s">
        <v>2507</v>
      </c>
      <c r="CKP3" t="s">
        <v>2508</v>
      </c>
      <c r="CKQ3" t="s">
        <v>2509</v>
      </c>
      <c r="CKR3" t="s">
        <v>2510</v>
      </c>
      <c r="CKS3" t="s">
        <v>2511</v>
      </c>
      <c r="CKT3" t="s">
        <v>2512</v>
      </c>
      <c r="CKU3" t="s">
        <v>2513</v>
      </c>
      <c r="CKV3" t="s">
        <v>2514</v>
      </c>
      <c r="CKW3" t="s">
        <v>2515</v>
      </c>
      <c r="CKX3" t="s">
        <v>2516</v>
      </c>
      <c r="CKY3" t="s">
        <v>2517</v>
      </c>
      <c r="CKZ3" t="s">
        <v>2518</v>
      </c>
      <c r="CLA3" t="s">
        <v>2519</v>
      </c>
      <c r="CLB3" t="s">
        <v>2520</v>
      </c>
      <c r="CLC3" t="s">
        <v>2521</v>
      </c>
      <c r="CLD3" t="s">
        <v>2522</v>
      </c>
      <c r="CLE3" t="s">
        <v>2523</v>
      </c>
      <c r="CLF3" t="s">
        <v>2524</v>
      </c>
      <c r="CLG3" t="s">
        <v>2525</v>
      </c>
      <c r="CLH3" t="s">
        <v>2526</v>
      </c>
      <c r="CLI3" t="s">
        <v>2527</v>
      </c>
      <c r="CLJ3" t="s">
        <v>2528</v>
      </c>
      <c r="CLK3" t="s">
        <v>2529</v>
      </c>
      <c r="CLL3" t="s">
        <v>2530</v>
      </c>
      <c r="CLM3" t="s">
        <v>2531</v>
      </c>
      <c r="CLN3" t="s">
        <v>2532</v>
      </c>
      <c r="CLO3" t="s">
        <v>2533</v>
      </c>
      <c r="CLP3" t="s">
        <v>2534</v>
      </c>
      <c r="CLQ3" t="s">
        <v>2535</v>
      </c>
      <c r="CLR3" t="s">
        <v>2536</v>
      </c>
      <c r="CLS3" t="s">
        <v>2537</v>
      </c>
      <c r="CLT3" t="s">
        <v>2538</v>
      </c>
      <c r="CLU3" t="s">
        <v>2539</v>
      </c>
      <c r="CLV3" t="s">
        <v>2540</v>
      </c>
      <c r="CLW3" t="s">
        <v>2541</v>
      </c>
      <c r="CLX3" t="s">
        <v>2542</v>
      </c>
      <c r="CLY3" t="s">
        <v>2543</v>
      </c>
      <c r="CLZ3" t="s">
        <v>2544</v>
      </c>
      <c r="CMA3" t="s">
        <v>2545</v>
      </c>
      <c r="CMB3" t="s">
        <v>2546</v>
      </c>
      <c r="CMC3" t="s">
        <v>2547</v>
      </c>
      <c r="CMD3" t="s">
        <v>2548</v>
      </c>
      <c r="CME3" t="s">
        <v>2549</v>
      </c>
      <c r="CMF3" t="s">
        <v>2550</v>
      </c>
      <c r="CMG3" t="s">
        <v>2551</v>
      </c>
      <c r="CMH3" t="s">
        <v>2552</v>
      </c>
      <c r="CMI3" t="s">
        <v>2553</v>
      </c>
      <c r="CMJ3" t="s">
        <v>2554</v>
      </c>
      <c r="CMK3" t="s">
        <v>2555</v>
      </c>
      <c r="CML3" t="s">
        <v>2556</v>
      </c>
      <c r="CMM3" t="s">
        <v>2557</v>
      </c>
      <c r="CMN3" t="s">
        <v>2558</v>
      </c>
      <c r="CMO3" t="s">
        <v>2559</v>
      </c>
      <c r="CMP3" t="s">
        <v>2560</v>
      </c>
      <c r="CMQ3" t="s">
        <v>2561</v>
      </c>
      <c r="CMR3" t="s">
        <v>2562</v>
      </c>
      <c r="CMS3" t="s">
        <v>2563</v>
      </c>
      <c r="CMT3" t="s">
        <v>2564</v>
      </c>
      <c r="CMU3" t="s">
        <v>2565</v>
      </c>
      <c r="CMV3" t="s">
        <v>2566</v>
      </c>
      <c r="CMW3" t="s">
        <v>2567</v>
      </c>
      <c r="CMX3" t="s">
        <v>2568</v>
      </c>
      <c r="CMY3" t="s">
        <v>2569</v>
      </c>
      <c r="CMZ3" t="s">
        <v>2570</v>
      </c>
      <c r="CNA3" t="s">
        <v>2571</v>
      </c>
      <c r="CNB3" t="s">
        <v>2572</v>
      </c>
      <c r="CNC3" t="s">
        <v>2573</v>
      </c>
      <c r="CND3" t="s">
        <v>2574</v>
      </c>
      <c r="CNE3" t="s">
        <v>2575</v>
      </c>
      <c r="CNF3" t="s">
        <v>2576</v>
      </c>
      <c r="CNG3" t="s">
        <v>2577</v>
      </c>
      <c r="CNH3" t="s">
        <v>2578</v>
      </c>
      <c r="CNI3" t="s">
        <v>2579</v>
      </c>
      <c r="CNJ3" t="s">
        <v>2580</v>
      </c>
      <c r="CNK3" t="s">
        <v>2581</v>
      </c>
      <c r="CNL3" t="s">
        <v>2582</v>
      </c>
      <c r="CNM3" t="s">
        <v>2583</v>
      </c>
      <c r="CNN3" t="s">
        <v>2584</v>
      </c>
      <c r="CNO3" t="s">
        <v>2585</v>
      </c>
      <c r="CNP3" t="s">
        <v>2586</v>
      </c>
      <c r="CNQ3" t="s">
        <v>2587</v>
      </c>
      <c r="CNR3" t="s">
        <v>2588</v>
      </c>
      <c r="CNS3" t="s">
        <v>2589</v>
      </c>
      <c r="CNT3" t="s">
        <v>2590</v>
      </c>
      <c r="CNU3" t="s">
        <v>2591</v>
      </c>
      <c r="CNV3" t="s">
        <v>2592</v>
      </c>
      <c r="CNW3" t="s">
        <v>2593</v>
      </c>
      <c r="CNX3" t="s">
        <v>2594</v>
      </c>
      <c r="CNY3" t="s">
        <v>2595</v>
      </c>
      <c r="CNZ3" t="s">
        <v>2596</v>
      </c>
      <c r="COA3" t="s">
        <v>2597</v>
      </c>
      <c r="COB3" t="s">
        <v>2598</v>
      </c>
      <c r="COC3" t="s">
        <v>2599</v>
      </c>
      <c r="COD3" t="s">
        <v>2600</v>
      </c>
      <c r="COE3" t="s">
        <v>2601</v>
      </c>
      <c r="COF3" t="s">
        <v>2602</v>
      </c>
      <c r="COG3" t="s">
        <v>2603</v>
      </c>
      <c r="COH3" t="s">
        <v>2604</v>
      </c>
      <c r="COI3" t="s">
        <v>2605</v>
      </c>
      <c r="COJ3" t="s">
        <v>2606</v>
      </c>
      <c r="COK3" t="s">
        <v>2607</v>
      </c>
      <c r="COL3" t="s">
        <v>2608</v>
      </c>
      <c r="COM3" t="s">
        <v>2609</v>
      </c>
      <c r="CON3" t="s">
        <v>2610</v>
      </c>
      <c r="COO3" t="s">
        <v>2611</v>
      </c>
      <c r="COP3" t="s">
        <v>2612</v>
      </c>
      <c r="COQ3" t="s">
        <v>2613</v>
      </c>
      <c r="COR3" t="s">
        <v>2614</v>
      </c>
      <c r="COS3" t="s">
        <v>2615</v>
      </c>
      <c r="COT3" t="s">
        <v>2616</v>
      </c>
      <c r="COU3" t="s">
        <v>2617</v>
      </c>
      <c r="COV3" t="s">
        <v>2618</v>
      </c>
      <c r="COW3" t="s">
        <v>2619</v>
      </c>
      <c r="COX3" t="s">
        <v>2620</v>
      </c>
      <c r="COY3" t="s">
        <v>2621</v>
      </c>
      <c r="COZ3" t="s">
        <v>2622</v>
      </c>
      <c r="CPA3" t="s">
        <v>2623</v>
      </c>
      <c r="CPB3" t="s">
        <v>2624</v>
      </c>
      <c r="CPC3" t="s">
        <v>2625</v>
      </c>
      <c r="CPD3" t="s">
        <v>2626</v>
      </c>
      <c r="CPE3" t="s">
        <v>2627</v>
      </c>
      <c r="CPF3" t="s">
        <v>2628</v>
      </c>
      <c r="CPG3" t="s">
        <v>2629</v>
      </c>
      <c r="CPH3" t="s">
        <v>2630</v>
      </c>
      <c r="CPI3" t="s">
        <v>2631</v>
      </c>
      <c r="CPJ3" t="s">
        <v>2632</v>
      </c>
      <c r="CPK3" t="s">
        <v>2633</v>
      </c>
      <c r="CPL3" t="s">
        <v>2634</v>
      </c>
      <c r="CPM3" t="s">
        <v>2635</v>
      </c>
      <c r="CPN3" t="s">
        <v>2636</v>
      </c>
      <c r="CPO3" t="s">
        <v>2637</v>
      </c>
      <c r="CPP3" t="s">
        <v>2638</v>
      </c>
      <c r="CPQ3" t="s">
        <v>2639</v>
      </c>
      <c r="CPR3" t="s">
        <v>2640</v>
      </c>
      <c r="CPS3" t="s">
        <v>2641</v>
      </c>
      <c r="CPT3" t="s">
        <v>2642</v>
      </c>
      <c r="CPU3" t="s">
        <v>2643</v>
      </c>
      <c r="CPV3" t="s">
        <v>2644</v>
      </c>
      <c r="CPW3" t="s">
        <v>2645</v>
      </c>
      <c r="CPX3" t="s">
        <v>2646</v>
      </c>
      <c r="CPY3" t="s">
        <v>2647</v>
      </c>
      <c r="CPZ3" t="s">
        <v>2648</v>
      </c>
      <c r="CQA3" t="s">
        <v>2649</v>
      </c>
      <c r="CQB3" t="s">
        <v>2650</v>
      </c>
      <c r="CQC3" t="s">
        <v>2651</v>
      </c>
      <c r="CQD3" t="s">
        <v>2652</v>
      </c>
      <c r="CQE3" t="s">
        <v>2653</v>
      </c>
      <c r="CQF3" t="s">
        <v>2654</v>
      </c>
      <c r="CQG3" t="s">
        <v>2655</v>
      </c>
      <c r="CQH3" t="s">
        <v>2656</v>
      </c>
      <c r="CQI3" t="s">
        <v>2657</v>
      </c>
      <c r="CQJ3" t="s">
        <v>2658</v>
      </c>
      <c r="CQK3" t="s">
        <v>2659</v>
      </c>
      <c r="CQL3" t="s">
        <v>2660</v>
      </c>
      <c r="CQM3" t="s">
        <v>2661</v>
      </c>
      <c r="CQN3" t="s">
        <v>2662</v>
      </c>
      <c r="CQO3" t="s">
        <v>2663</v>
      </c>
      <c r="CQP3" t="s">
        <v>2664</v>
      </c>
      <c r="CQQ3" t="s">
        <v>2665</v>
      </c>
      <c r="CQR3" t="s">
        <v>2666</v>
      </c>
      <c r="CQS3" t="s">
        <v>2667</v>
      </c>
      <c r="CQT3" t="s">
        <v>2668</v>
      </c>
      <c r="CQU3" t="s">
        <v>2669</v>
      </c>
      <c r="CQV3" t="s">
        <v>2670</v>
      </c>
      <c r="CQW3" t="s">
        <v>2671</v>
      </c>
      <c r="CQX3" t="s">
        <v>2672</v>
      </c>
      <c r="CQY3" t="s">
        <v>2673</v>
      </c>
      <c r="CQZ3" t="s">
        <v>2674</v>
      </c>
      <c r="CRA3" t="s">
        <v>2675</v>
      </c>
      <c r="CRB3" t="s">
        <v>2676</v>
      </c>
      <c r="CRC3" t="s">
        <v>2677</v>
      </c>
      <c r="CRD3" t="s">
        <v>2678</v>
      </c>
      <c r="CRE3" t="s">
        <v>2679</v>
      </c>
      <c r="CRF3" t="s">
        <v>2680</v>
      </c>
      <c r="CRG3" t="s">
        <v>2681</v>
      </c>
      <c r="CRH3" t="s">
        <v>2682</v>
      </c>
      <c r="CRI3" t="s">
        <v>2683</v>
      </c>
      <c r="CRJ3" t="s">
        <v>2684</v>
      </c>
      <c r="CRK3" t="s">
        <v>2685</v>
      </c>
      <c r="CRL3" t="s">
        <v>2686</v>
      </c>
      <c r="CRM3" t="s">
        <v>2687</v>
      </c>
      <c r="CRN3" t="s">
        <v>2688</v>
      </c>
      <c r="CRO3" t="s">
        <v>2689</v>
      </c>
      <c r="CRP3" t="s">
        <v>2690</v>
      </c>
      <c r="CRQ3" t="s">
        <v>2691</v>
      </c>
      <c r="CRR3" t="s">
        <v>2692</v>
      </c>
      <c r="CRS3" t="s">
        <v>2693</v>
      </c>
      <c r="CRT3" t="s">
        <v>2694</v>
      </c>
      <c r="CRU3" t="s">
        <v>2695</v>
      </c>
      <c r="CRV3" t="s">
        <v>2696</v>
      </c>
      <c r="CRW3" t="s">
        <v>2697</v>
      </c>
      <c r="CRX3" t="s">
        <v>2698</v>
      </c>
      <c r="CRY3" t="s">
        <v>2699</v>
      </c>
      <c r="CRZ3" t="s">
        <v>2700</v>
      </c>
      <c r="CSA3" t="s">
        <v>2701</v>
      </c>
      <c r="CSB3" t="s">
        <v>2702</v>
      </c>
      <c r="CSC3" t="s">
        <v>2703</v>
      </c>
      <c r="CSD3" t="s">
        <v>2704</v>
      </c>
      <c r="CSE3" t="s">
        <v>2705</v>
      </c>
      <c r="CSF3" t="s">
        <v>2706</v>
      </c>
      <c r="CSG3" t="s">
        <v>2707</v>
      </c>
      <c r="CSH3" t="s">
        <v>2708</v>
      </c>
      <c r="CSI3" t="s">
        <v>2709</v>
      </c>
      <c r="CSJ3" t="s">
        <v>2710</v>
      </c>
      <c r="CSK3" t="s">
        <v>2711</v>
      </c>
      <c r="CSL3" t="s">
        <v>2712</v>
      </c>
      <c r="CSM3" t="s">
        <v>2713</v>
      </c>
      <c r="CSN3" t="s">
        <v>2714</v>
      </c>
      <c r="CSO3" t="s">
        <v>2715</v>
      </c>
      <c r="CSP3" t="s">
        <v>2716</v>
      </c>
      <c r="CSQ3" t="s">
        <v>2717</v>
      </c>
      <c r="CSR3" t="s">
        <v>2718</v>
      </c>
      <c r="CSS3" t="s">
        <v>2719</v>
      </c>
      <c r="CST3" t="s">
        <v>2720</v>
      </c>
      <c r="CSU3" t="s">
        <v>2721</v>
      </c>
      <c r="CSV3" t="s">
        <v>2722</v>
      </c>
      <c r="CSW3" t="s">
        <v>2723</v>
      </c>
      <c r="CSX3" t="s">
        <v>2724</v>
      </c>
      <c r="CSY3" t="s">
        <v>2725</v>
      </c>
      <c r="CSZ3" t="s">
        <v>2726</v>
      </c>
      <c r="CTA3" t="s">
        <v>2727</v>
      </c>
      <c r="CTB3" t="s">
        <v>2728</v>
      </c>
      <c r="CTC3" t="s">
        <v>2729</v>
      </c>
      <c r="CTD3" t="s">
        <v>2730</v>
      </c>
      <c r="CTE3" t="s">
        <v>2731</v>
      </c>
      <c r="CTF3" t="s">
        <v>2732</v>
      </c>
      <c r="CTG3" t="s">
        <v>2733</v>
      </c>
      <c r="CTH3" t="s">
        <v>2734</v>
      </c>
      <c r="CTI3" t="s">
        <v>2735</v>
      </c>
      <c r="CTJ3" t="s">
        <v>2736</v>
      </c>
      <c r="CTK3" t="s">
        <v>2737</v>
      </c>
      <c r="CTL3" t="s">
        <v>2738</v>
      </c>
      <c r="CTM3" t="s">
        <v>2739</v>
      </c>
      <c r="CTN3" t="s">
        <v>2740</v>
      </c>
      <c r="CTO3" t="s">
        <v>2741</v>
      </c>
      <c r="CTP3" t="s">
        <v>2742</v>
      </c>
      <c r="CTQ3" t="s">
        <v>2743</v>
      </c>
      <c r="CTR3" t="s">
        <v>2744</v>
      </c>
      <c r="CTS3" t="s">
        <v>2745</v>
      </c>
      <c r="CTT3" t="s">
        <v>2746</v>
      </c>
      <c r="CTU3" t="s">
        <v>2747</v>
      </c>
      <c r="CTV3" t="s">
        <v>2748</v>
      </c>
      <c r="CTW3" t="s">
        <v>2749</v>
      </c>
      <c r="CTX3" t="s">
        <v>2750</v>
      </c>
      <c r="CTY3" t="s">
        <v>2751</v>
      </c>
      <c r="CTZ3" t="s">
        <v>2752</v>
      </c>
      <c r="CUA3" t="s">
        <v>2753</v>
      </c>
      <c r="CUB3" t="s">
        <v>2754</v>
      </c>
      <c r="CUC3" t="s">
        <v>2755</v>
      </c>
      <c r="CUD3" t="s">
        <v>2756</v>
      </c>
      <c r="CUE3" t="s">
        <v>2757</v>
      </c>
      <c r="CUF3" t="s">
        <v>2758</v>
      </c>
      <c r="CUG3" t="s">
        <v>2759</v>
      </c>
      <c r="CUH3" t="s">
        <v>2760</v>
      </c>
      <c r="CUI3" t="s">
        <v>2761</v>
      </c>
      <c r="CUJ3" t="s">
        <v>2762</v>
      </c>
      <c r="CUK3" t="s">
        <v>2763</v>
      </c>
      <c r="CUL3" t="s">
        <v>2764</v>
      </c>
      <c r="CUM3" t="s">
        <v>2765</v>
      </c>
      <c r="CUN3" t="s">
        <v>2766</v>
      </c>
      <c r="CUO3" t="s">
        <v>2767</v>
      </c>
      <c r="CUP3" t="s">
        <v>2768</v>
      </c>
      <c r="CUQ3" t="s">
        <v>2769</v>
      </c>
      <c r="CUR3" t="s">
        <v>2770</v>
      </c>
      <c r="CUS3" t="s">
        <v>2771</v>
      </c>
      <c r="CUT3" t="s">
        <v>2772</v>
      </c>
      <c r="CUU3" t="s">
        <v>2773</v>
      </c>
      <c r="CUV3" t="s">
        <v>2774</v>
      </c>
      <c r="CUW3" t="s">
        <v>2775</v>
      </c>
      <c r="CUX3" t="s">
        <v>2776</v>
      </c>
      <c r="CUY3" t="s">
        <v>2777</v>
      </c>
      <c r="CUZ3" t="s">
        <v>2778</v>
      </c>
      <c r="CVA3" t="s">
        <v>2779</v>
      </c>
      <c r="CVB3" t="s">
        <v>2780</v>
      </c>
      <c r="CVC3" t="s">
        <v>2781</v>
      </c>
      <c r="CVD3" t="s">
        <v>2782</v>
      </c>
      <c r="CVE3" t="s">
        <v>2783</v>
      </c>
      <c r="CVF3" t="s">
        <v>2784</v>
      </c>
      <c r="CVG3" t="s">
        <v>2785</v>
      </c>
      <c r="CVH3" t="s">
        <v>2786</v>
      </c>
      <c r="CVI3" t="s">
        <v>2787</v>
      </c>
      <c r="CVJ3" t="s">
        <v>2788</v>
      </c>
      <c r="CVK3" t="s">
        <v>2789</v>
      </c>
      <c r="CVL3" t="s">
        <v>2790</v>
      </c>
      <c r="CVM3" t="s">
        <v>2791</v>
      </c>
      <c r="CVN3" t="s">
        <v>2792</v>
      </c>
      <c r="CVO3" t="s">
        <v>2793</v>
      </c>
      <c r="CVP3" t="s">
        <v>2794</v>
      </c>
      <c r="CVQ3" t="s">
        <v>2795</v>
      </c>
      <c r="CVR3" t="s">
        <v>2796</v>
      </c>
      <c r="CVS3" t="s">
        <v>2797</v>
      </c>
      <c r="CVT3" t="s">
        <v>2798</v>
      </c>
      <c r="CVU3" t="s">
        <v>2799</v>
      </c>
      <c r="CVV3" t="s">
        <v>2800</v>
      </c>
      <c r="CVW3" t="s">
        <v>2801</v>
      </c>
      <c r="CVX3" t="s">
        <v>2802</v>
      </c>
      <c r="CVY3" t="s">
        <v>2803</v>
      </c>
      <c r="CVZ3" t="s">
        <v>2804</v>
      </c>
      <c r="CWA3" t="s">
        <v>2805</v>
      </c>
      <c r="CWB3" t="s">
        <v>2806</v>
      </c>
      <c r="CWC3" t="s">
        <v>2807</v>
      </c>
      <c r="CWD3" t="s">
        <v>2808</v>
      </c>
      <c r="CWE3" t="s">
        <v>2809</v>
      </c>
      <c r="CWF3" t="s">
        <v>2810</v>
      </c>
      <c r="CWG3" t="s">
        <v>2811</v>
      </c>
      <c r="CWH3" t="s">
        <v>2812</v>
      </c>
      <c r="CWI3" t="s">
        <v>2813</v>
      </c>
      <c r="CWJ3" t="s">
        <v>2814</v>
      </c>
      <c r="CWK3" t="s">
        <v>2815</v>
      </c>
      <c r="CWL3" t="s">
        <v>2816</v>
      </c>
      <c r="CWM3" t="s">
        <v>2817</v>
      </c>
      <c r="CWN3" t="s">
        <v>2818</v>
      </c>
      <c r="CWO3" t="s">
        <v>2819</v>
      </c>
      <c r="CWP3" t="s">
        <v>2820</v>
      </c>
      <c r="CWQ3" t="s">
        <v>2821</v>
      </c>
      <c r="CWR3" t="s">
        <v>2822</v>
      </c>
      <c r="CWS3" t="s">
        <v>2823</v>
      </c>
      <c r="CWT3" t="s">
        <v>2824</v>
      </c>
      <c r="CWU3" t="s">
        <v>2825</v>
      </c>
      <c r="CWV3" t="s">
        <v>2826</v>
      </c>
      <c r="CWW3" t="s">
        <v>2827</v>
      </c>
      <c r="CWX3" t="s">
        <v>2828</v>
      </c>
      <c r="CWY3" t="s">
        <v>2829</v>
      </c>
      <c r="CWZ3" t="s">
        <v>2830</v>
      </c>
      <c r="CXA3" t="s">
        <v>2831</v>
      </c>
      <c r="CXB3" t="s">
        <v>2832</v>
      </c>
      <c r="CXC3" t="s">
        <v>2833</v>
      </c>
      <c r="CXD3" t="s">
        <v>2834</v>
      </c>
      <c r="CXE3" t="s">
        <v>2835</v>
      </c>
      <c r="CXF3" t="s">
        <v>2836</v>
      </c>
      <c r="CXG3" t="s">
        <v>2837</v>
      </c>
      <c r="CXH3" t="s">
        <v>2838</v>
      </c>
      <c r="CXI3" t="s">
        <v>2839</v>
      </c>
      <c r="CXJ3" t="s">
        <v>2840</v>
      </c>
      <c r="CXK3" t="s">
        <v>2841</v>
      </c>
      <c r="CXL3" t="s">
        <v>2842</v>
      </c>
      <c r="CXM3" t="s">
        <v>2843</v>
      </c>
      <c r="CXN3" t="s">
        <v>2844</v>
      </c>
      <c r="CXO3" t="s">
        <v>2845</v>
      </c>
      <c r="CXP3" t="s">
        <v>2846</v>
      </c>
      <c r="CXQ3" t="s">
        <v>2847</v>
      </c>
      <c r="CXR3" t="s">
        <v>2848</v>
      </c>
      <c r="CXS3" t="s">
        <v>2849</v>
      </c>
      <c r="CXT3" t="s">
        <v>2850</v>
      </c>
      <c r="CXU3" t="s">
        <v>2851</v>
      </c>
      <c r="CXV3" t="s">
        <v>2852</v>
      </c>
      <c r="CXW3" t="s">
        <v>2853</v>
      </c>
      <c r="CXX3" t="s">
        <v>2854</v>
      </c>
      <c r="CXY3" t="s">
        <v>2855</v>
      </c>
      <c r="CXZ3" t="s">
        <v>2856</v>
      </c>
      <c r="CYA3" t="s">
        <v>2857</v>
      </c>
      <c r="CYB3" t="s">
        <v>2858</v>
      </c>
      <c r="CYC3" t="s">
        <v>2859</v>
      </c>
      <c r="CYD3" t="s">
        <v>2860</v>
      </c>
      <c r="CYE3" t="s">
        <v>2861</v>
      </c>
      <c r="CYF3" t="s">
        <v>2862</v>
      </c>
      <c r="CYG3" t="s">
        <v>2863</v>
      </c>
      <c r="CYH3" t="s">
        <v>2864</v>
      </c>
      <c r="CYI3" t="s">
        <v>2865</v>
      </c>
      <c r="CYJ3" t="s">
        <v>2866</v>
      </c>
      <c r="CYK3" t="s">
        <v>2867</v>
      </c>
      <c r="CYL3" t="s">
        <v>2868</v>
      </c>
      <c r="CYM3" t="s">
        <v>2869</v>
      </c>
      <c r="CYN3" t="s">
        <v>2870</v>
      </c>
      <c r="CYO3" t="s">
        <v>2871</v>
      </c>
      <c r="CYP3" t="s">
        <v>2872</v>
      </c>
      <c r="CYQ3" t="s">
        <v>2873</v>
      </c>
      <c r="CYR3" t="s">
        <v>2874</v>
      </c>
      <c r="CYS3" t="s">
        <v>2875</v>
      </c>
      <c r="CYT3" t="s">
        <v>2876</v>
      </c>
      <c r="CYU3" t="s">
        <v>2877</v>
      </c>
      <c r="CYV3" t="s">
        <v>2878</v>
      </c>
      <c r="CYW3" t="s">
        <v>2879</v>
      </c>
      <c r="CYX3" t="s">
        <v>2880</v>
      </c>
      <c r="CYY3" t="s">
        <v>2881</v>
      </c>
      <c r="CYZ3" t="s">
        <v>2882</v>
      </c>
      <c r="CZA3" t="s">
        <v>2883</v>
      </c>
      <c r="CZB3" t="s">
        <v>2884</v>
      </c>
      <c r="CZC3" t="s">
        <v>2885</v>
      </c>
      <c r="CZD3" t="s">
        <v>2886</v>
      </c>
      <c r="CZE3" t="s">
        <v>2887</v>
      </c>
      <c r="CZF3" t="s">
        <v>2888</v>
      </c>
      <c r="CZG3" t="s">
        <v>2889</v>
      </c>
      <c r="CZH3" t="s">
        <v>2890</v>
      </c>
      <c r="CZI3" t="s">
        <v>2891</v>
      </c>
      <c r="CZJ3" t="s">
        <v>2892</v>
      </c>
      <c r="CZK3" t="s">
        <v>2893</v>
      </c>
      <c r="CZL3" t="s">
        <v>2894</v>
      </c>
      <c r="CZM3" t="s">
        <v>2895</v>
      </c>
      <c r="CZN3" t="s">
        <v>2896</v>
      </c>
      <c r="CZO3" t="s">
        <v>2897</v>
      </c>
      <c r="CZP3" t="s">
        <v>2898</v>
      </c>
      <c r="CZQ3" t="s">
        <v>2899</v>
      </c>
      <c r="CZR3" t="s">
        <v>2900</v>
      </c>
      <c r="CZS3" t="s">
        <v>2901</v>
      </c>
      <c r="CZT3" t="s">
        <v>2902</v>
      </c>
      <c r="CZU3" t="s">
        <v>2903</v>
      </c>
      <c r="CZV3" t="s">
        <v>2904</v>
      </c>
      <c r="CZW3" t="s">
        <v>2905</v>
      </c>
      <c r="CZX3" t="s">
        <v>2906</v>
      </c>
      <c r="CZY3" t="s">
        <v>2907</v>
      </c>
      <c r="CZZ3" t="s">
        <v>2908</v>
      </c>
      <c r="DAA3" t="s">
        <v>2909</v>
      </c>
      <c r="DAB3" t="s">
        <v>2910</v>
      </c>
      <c r="DAC3" t="s">
        <v>2911</v>
      </c>
      <c r="DAD3" t="s">
        <v>2912</v>
      </c>
      <c r="DAE3" t="s">
        <v>2913</v>
      </c>
      <c r="DAF3" t="s">
        <v>2914</v>
      </c>
      <c r="DAG3" t="s">
        <v>2915</v>
      </c>
      <c r="DAH3" t="s">
        <v>2916</v>
      </c>
      <c r="DAI3" t="s">
        <v>2917</v>
      </c>
      <c r="DAJ3" t="s">
        <v>2918</v>
      </c>
      <c r="DAK3" t="s">
        <v>2919</v>
      </c>
      <c r="DAL3" t="s">
        <v>2920</v>
      </c>
      <c r="DAM3" t="s">
        <v>2921</v>
      </c>
      <c r="DAN3" t="s">
        <v>2922</v>
      </c>
      <c r="DAO3" t="s">
        <v>2923</v>
      </c>
      <c r="DAP3" t="s">
        <v>2924</v>
      </c>
      <c r="DAQ3" t="s">
        <v>2925</v>
      </c>
      <c r="DAR3" t="s">
        <v>2926</v>
      </c>
      <c r="DAS3" t="s">
        <v>2927</v>
      </c>
      <c r="DAT3" t="s">
        <v>2928</v>
      </c>
      <c r="DAU3" t="s">
        <v>2929</v>
      </c>
      <c r="DAV3" t="s">
        <v>2930</v>
      </c>
      <c r="DAW3" t="s">
        <v>2931</v>
      </c>
      <c r="DAX3" t="s">
        <v>2932</v>
      </c>
      <c r="DAY3" t="s">
        <v>2933</v>
      </c>
      <c r="DAZ3" t="s">
        <v>2934</v>
      </c>
      <c r="DBA3" t="s">
        <v>2935</v>
      </c>
      <c r="DBB3" t="s">
        <v>2936</v>
      </c>
      <c r="DBC3" t="s">
        <v>2937</v>
      </c>
      <c r="DBD3" t="s">
        <v>2938</v>
      </c>
      <c r="DBE3" t="s">
        <v>2939</v>
      </c>
      <c r="DBF3" t="s">
        <v>2940</v>
      </c>
      <c r="DBG3" t="s">
        <v>2941</v>
      </c>
      <c r="DBH3" t="s">
        <v>2942</v>
      </c>
      <c r="DBI3" t="s">
        <v>2943</v>
      </c>
      <c r="DBJ3" t="s">
        <v>2944</v>
      </c>
      <c r="DBK3" t="s">
        <v>2945</v>
      </c>
      <c r="DBL3" t="s">
        <v>2946</v>
      </c>
      <c r="DBM3" t="s">
        <v>2947</v>
      </c>
      <c r="DBN3" t="s">
        <v>2948</v>
      </c>
      <c r="DBO3" t="s">
        <v>2949</v>
      </c>
      <c r="DBP3" t="s">
        <v>2950</v>
      </c>
      <c r="DBQ3" t="s">
        <v>2951</v>
      </c>
      <c r="DBR3" t="s">
        <v>2952</v>
      </c>
      <c r="DBS3" t="s">
        <v>2953</v>
      </c>
      <c r="DBT3" t="s">
        <v>2954</v>
      </c>
      <c r="DBU3" t="s">
        <v>2955</v>
      </c>
      <c r="DBV3" t="s">
        <v>2956</v>
      </c>
      <c r="DBW3" t="s">
        <v>2957</v>
      </c>
      <c r="DBX3" t="s">
        <v>2958</v>
      </c>
      <c r="DBY3" t="s">
        <v>2959</v>
      </c>
      <c r="DBZ3" t="s">
        <v>2960</v>
      </c>
      <c r="DCA3" t="s">
        <v>2961</v>
      </c>
      <c r="DCB3" t="s">
        <v>2962</v>
      </c>
      <c r="DCC3" t="s">
        <v>2963</v>
      </c>
      <c r="DCD3" t="s">
        <v>2964</v>
      </c>
      <c r="DCE3" t="s">
        <v>2965</v>
      </c>
      <c r="DCF3" t="s">
        <v>2966</v>
      </c>
      <c r="DCG3" t="s">
        <v>2967</v>
      </c>
      <c r="DCH3" t="s">
        <v>2968</v>
      </c>
      <c r="DCI3" t="s">
        <v>2969</v>
      </c>
      <c r="DCJ3" t="s">
        <v>2970</v>
      </c>
      <c r="DCK3" t="s">
        <v>2971</v>
      </c>
      <c r="DCL3" t="s">
        <v>2972</v>
      </c>
      <c r="DCM3" t="s">
        <v>2973</v>
      </c>
      <c r="DCN3" t="s">
        <v>2974</v>
      </c>
      <c r="DCO3" t="s">
        <v>2975</v>
      </c>
      <c r="DCP3" t="s">
        <v>2976</v>
      </c>
      <c r="DCQ3" t="s">
        <v>2977</v>
      </c>
      <c r="DCR3" t="s">
        <v>2978</v>
      </c>
      <c r="DCS3" t="s">
        <v>2979</v>
      </c>
      <c r="DCT3" t="s">
        <v>2980</v>
      </c>
      <c r="DCU3" t="s">
        <v>2981</v>
      </c>
      <c r="DCV3" t="s">
        <v>2982</v>
      </c>
      <c r="DCW3" t="s">
        <v>2983</v>
      </c>
      <c r="DCX3" t="s">
        <v>2984</v>
      </c>
      <c r="DCY3" t="s">
        <v>2985</v>
      </c>
      <c r="DCZ3" t="s">
        <v>2986</v>
      </c>
      <c r="DDA3" t="s">
        <v>2987</v>
      </c>
      <c r="DDB3" t="s">
        <v>2988</v>
      </c>
      <c r="DDC3" t="s">
        <v>2989</v>
      </c>
      <c r="DDD3" t="s">
        <v>2990</v>
      </c>
      <c r="DDE3" t="s">
        <v>2991</v>
      </c>
      <c r="DDF3" t="s">
        <v>2992</v>
      </c>
      <c r="DDG3" t="s">
        <v>2993</v>
      </c>
      <c r="DDH3" t="s">
        <v>2994</v>
      </c>
      <c r="DDI3" t="s">
        <v>2995</v>
      </c>
      <c r="DDJ3" t="s">
        <v>2996</v>
      </c>
      <c r="DDK3" t="s">
        <v>2997</v>
      </c>
      <c r="DDL3" t="s">
        <v>2998</v>
      </c>
      <c r="DDM3" t="s">
        <v>2999</v>
      </c>
      <c r="DDN3" t="s">
        <v>3000</v>
      </c>
      <c r="DDO3" t="s">
        <v>3001</v>
      </c>
      <c r="DDP3" t="s">
        <v>3002</v>
      </c>
      <c r="DDQ3" t="s">
        <v>3003</v>
      </c>
      <c r="DDR3" t="s">
        <v>3004</v>
      </c>
      <c r="DDS3" t="s">
        <v>3005</v>
      </c>
      <c r="DDT3" t="s">
        <v>3006</v>
      </c>
      <c r="DDU3" t="s">
        <v>3007</v>
      </c>
      <c r="DDV3" t="s">
        <v>3008</v>
      </c>
      <c r="DDW3" t="s">
        <v>3009</v>
      </c>
      <c r="DDX3" t="s">
        <v>3010</v>
      </c>
      <c r="DDY3" t="s">
        <v>3011</v>
      </c>
      <c r="DDZ3" t="s">
        <v>3012</v>
      </c>
      <c r="DEA3" t="s">
        <v>3013</v>
      </c>
      <c r="DEB3" t="s">
        <v>3014</v>
      </c>
      <c r="DEC3" t="s">
        <v>3015</v>
      </c>
      <c r="DED3" t="s">
        <v>3016</v>
      </c>
      <c r="DEE3" t="s">
        <v>3017</v>
      </c>
      <c r="DEF3" t="s">
        <v>3018</v>
      </c>
      <c r="DEG3" t="s">
        <v>3019</v>
      </c>
      <c r="DEH3" t="s">
        <v>3020</v>
      </c>
      <c r="DEI3" t="s">
        <v>3021</v>
      </c>
      <c r="DEJ3" t="s">
        <v>3022</v>
      </c>
      <c r="DEK3" t="s">
        <v>3023</v>
      </c>
      <c r="DEL3" t="s">
        <v>3024</v>
      </c>
      <c r="DEM3" t="s">
        <v>3025</v>
      </c>
      <c r="DEN3" t="s">
        <v>3026</v>
      </c>
      <c r="DEO3" t="s">
        <v>3027</v>
      </c>
      <c r="DEP3" t="s">
        <v>3028</v>
      </c>
      <c r="DEQ3" t="s">
        <v>3029</v>
      </c>
      <c r="DER3" t="s">
        <v>3030</v>
      </c>
      <c r="DES3" t="s">
        <v>3031</v>
      </c>
      <c r="DET3" t="s">
        <v>3032</v>
      </c>
      <c r="DEU3" t="s">
        <v>3033</v>
      </c>
      <c r="DEV3" t="s">
        <v>3034</v>
      </c>
      <c r="DEW3" t="s">
        <v>3035</v>
      </c>
      <c r="DEX3" t="s">
        <v>3036</v>
      </c>
      <c r="DEY3" t="s">
        <v>3037</v>
      </c>
      <c r="DEZ3" t="s">
        <v>3038</v>
      </c>
      <c r="DFA3" t="s">
        <v>3039</v>
      </c>
      <c r="DFB3" t="s">
        <v>3040</v>
      </c>
      <c r="DFC3" t="s">
        <v>3041</v>
      </c>
      <c r="DFD3" t="s">
        <v>3042</v>
      </c>
      <c r="DFE3" t="s">
        <v>3043</v>
      </c>
      <c r="DFF3" t="s">
        <v>3044</v>
      </c>
      <c r="DFG3" t="s">
        <v>3045</v>
      </c>
      <c r="DFH3" t="s">
        <v>3046</v>
      </c>
      <c r="DFI3" t="s">
        <v>3047</v>
      </c>
      <c r="DFJ3" t="s">
        <v>3048</v>
      </c>
      <c r="DFK3" t="s">
        <v>3049</v>
      </c>
      <c r="DFL3" t="s">
        <v>3050</v>
      </c>
      <c r="DFM3" t="s">
        <v>3051</v>
      </c>
      <c r="DFN3" t="s">
        <v>3052</v>
      </c>
      <c r="DFO3" t="s">
        <v>3053</v>
      </c>
      <c r="DFP3" t="s">
        <v>3054</v>
      </c>
      <c r="DFQ3" t="s">
        <v>3055</v>
      </c>
      <c r="DFR3" t="s">
        <v>3056</v>
      </c>
      <c r="DFS3" t="s">
        <v>3057</v>
      </c>
      <c r="DFT3" t="s">
        <v>3058</v>
      </c>
      <c r="DFU3" t="s">
        <v>3059</v>
      </c>
      <c r="DFV3" t="s">
        <v>3060</v>
      </c>
      <c r="DFW3" t="s">
        <v>3061</v>
      </c>
      <c r="DFX3" t="s">
        <v>3062</v>
      </c>
      <c r="DFY3" t="s">
        <v>3063</v>
      </c>
      <c r="DFZ3" t="s">
        <v>3064</v>
      </c>
      <c r="DGA3" t="s">
        <v>3065</v>
      </c>
      <c r="DGB3" t="s">
        <v>3066</v>
      </c>
      <c r="DGC3" t="s">
        <v>3067</v>
      </c>
      <c r="DGD3" t="s">
        <v>3068</v>
      </c>
      <c r="DGE3" t="s">
        <v>3069</v>
      </c>
      <c r="DGF3" t="s">
        <v>3070</v>
      </c>
      <c r="DGG3" t="s">
        <v>3071</v>
      </c>
      <c r="DGH3" t="s">
        <v>3072</v>
      </c>
      <c r="DGI3" t="s">
        <v>3073</v>
      </c>
      <c r="DGJ3" t="s">
        <v>3074</v>
      </c>
      <c r="DGK3" t="s">
        <v>3075</v>
      </c>
      <c r="DGL3" t="s">
        <v>3076</v>
      </c>
      <c r="DGM3" t="s">
        <v>3077</v>
      </c>
      <c r="DGN3" t="s">
        <v>3078</v>
      </c>
      <c r="DGO3" t="s">
        <v>3079</v>
      </c>
      <c r="DGP3" t="s">
        <v>3080</v>
      </c>
      <c r="DGQ3" t="s">
        <v>3081</v>
      </c>
      <c r="DGR3" t="s">
        <v>3082</v>
      </c>
      <c r="DGS3" t="s">
        <v>3083</v>
      </c>
      <c r="DGT3" t="s">
        <v>3084</v>
      </c>
      <c r="DGU3" t="s">
        <v>3085</v>
      </c>
      <c r="DGV3" t="s">
        <v>3086</v>
      </c>
      <c r="DGW3" t="s">
        <v>3087</v>
      </c>
      <c r="DGX3" t="s">
        <v>3088</v>
      </c>
      <c r="DGY3" t="s">
        <v>3089</v>
      </c>
      <c r="DGZ3" t="s">
        <v>3090</v>
      </c>
      <c r="DHA3" t="s">
        <v>3091</v>
      </c>
      <c r="DHB3" t="s">
        <v>3092</v>
      </c>
      <c r="DHC3" t="s">
        <v>3093</v>
      </c>
      <c r="DHD3" t="s">
        <v>3094</v>
      </c>
      <c r="DHE3" t="s">
        <v>3095</v>
      </c>
      <c r="DHF3" t="s">
        <v>3096</v>
      </c>
      <c r="DHG3" t="s">
        <v>3097</v>
      </c>
      <c r="DHH3" t="s">
        <v>3098</v>
      </c>
      <c r="DHI3" t="s">
        <v>3099</v>
      </c>
      <c r="DHJ3" t="s">
        <v>3100</v>
      </c>
      <c r="DHK3" t="s">
        <v>3101</v>
      </c>
      <c r="DHL3" t="s">
        <v>3102</v>
      </c>
      <c r="DHM3" t="s">
        <v>3103</v>
      </c>
      <c r="DHN3" t="s">
        <v>3104</v>
      </c>
      <c r="DHO3" t="s">
        <v>3105</v>
      </c>
      <c r="DHP3" t="s">
        <v>3106</v>
      </c>
      <c r="DHQ3" t="s">
        <v>3107</v>
      </c>
      <c r="DHR3" t="s">
        <v>3108</v>
      </c>
      <c r="DHS3" t="s">
        <v>3109</v>
      </c>
      <c r="DHT3" t="s">
        <v>3110</v>
      </c>
      <c r="DHU3" t="s">
        <v>3111</v>
      </c>
      <c r="DHV3" t="s">
        <v>3112</v>
      </c>
      <c r="DHW3" t="s">
        <v>3113</v>
      </c>
      <c r="DHX3" t="s">
        <v>3114</v>
      </c>
      <c r="DHY3" t="s">
        <v>3115</v>
      </c>
      <c r="DHZ3" t="s">
        <v>3116</v>
      </c>
      <c r="DIA3" t="s">
        <v>3117</v>
      </c>
      <c r="DIB3" t="s">
        <v>3118</v>
      </c>
      <c r="DIC3" t="s">
        <v>3119</v>
      </c>
      <c r="DID3" t="s">
        <v>3120</v>
      </c>
      <c r="DIE3" t="s">
        <v>3121</v>
      </c>
      <c r="DIF3" t="s">
        <v>3122</v>
      </c>
      <c r="DIG3" t="s">
        <v>3123</v>
      </c>
      <c r="DIH3" t="s">
        <v>3124</v>
      </c>
      <c r="DII3" t="s">
        <v>3125</v>
      </c>
      <c r="DIJ3" t="s">
        <v>3126</v>
      </c>
      <c r="DIK3" t="s">
        <v>3127</v>
      </c>
      <c r="DIL3" t="s">
        <v>3128</v>
      </c>
      <c r="DIM3" t="s">
        <v>3129</v>
      </c>
      <c r="DIN3" t="s">
        <v>3130</v>
      </c>
      <c r="DIO3" t="s">
        <v>3131</v>
      </c>
      <c r="DIP3" t="s">
        <v>3132</v>
      </c>
      <c r="DIQ3" t="s">
        <v>3133</v>
      </c>
      <c r="DIR3" t="s">
        <v>3134</v>
      </c>
      <c r="DIS3" t="s">
        <v>3135</v>
      </c>
      <c r="DIT3" t="s">
        <v>3136</v>
      </c>
      <c r="DIU3" t="s">
        <v>3137</v>
      </c>
      <c r="DIV3" t="s">
        <v>3138</v>
      </c>
      <c r="DIW3" t="s">
        <v>3139</v>
      </c>
      <c r="DIX3" t="s">
        <v>3140</v>
      </c>
      <c r="DIY3" t="s">
        <v>3141</v>
      </c>
      <c r="DIZ3" t="s">
        <v>3142</v>
      </c>
      <c r="DJA3" t="s">
        <v>3143</v>
      </c>
      <c r="DJB3" t="s">
        <v>3144</v>
      </c>
      <c r="DJC3" t="s">
        <v>3145</v>
      </c>
      <c r="DJD3" t="s">
        <v>3146</v>
      </c>
      <c r="DJE3" t="s">
        <v>3147</v>
      </c>
      <c r="DJF3" t="s">
        <v>3148</v>
      </c>
      <c r="DJG3" t="s">
        <v>3149</v>
      </c>
      <c r="DJH3" t="s">
        <v>3150</v>
      </c>
      <c r="DJI3" t="s">
        <v>3151</v>
      </c>
      <c r="DJJ3" t="s">
        <v>3152</v>
      </c>
      <c r="DJK3" t="s">
        <v>3153</v>
      </c>
      <c r="DJL3" t="s">
        <v>3154</v>
      </c>
      <c r="DJM3" t="s">
        <v>3155</v>
      </c>
      <c r="DJN3" t="s">
        <v>3156</v>
      </c>
      <c r="DJO3" t="s">
        <v>3157</v>
      </c>
      <c r="DJP3" t="s">
        <v>3158</v>
      </c>
      <c r="DJQ3" t="s">
        <v>3159</v>
      </c>
      <c r="DJR3" t="s">
        <v>3160</v>
      </c>
      <c r="DJS3" t="s">
        <v>3161</v>
      </c>
      <c r="DJT3" t="s">
        <v>3162</v>
      </c>
      <c r="DJU3" t="s">
        <v>3163</v>
      </c>
      <c r="DJV3" t="s">
        <v>3164</v>
      </c>
      <c r="DJW3" t="s">
        <v>3165</v>
      </c>
      <c r="DJX3" t="s">
        <v>3166</v>
      </c>
      <c r="DJY3" t="s">
        <v>3167</v>
      </c>
      <c r="DJZ3" t="s">
        <v>3168</v>
      </c>
      <c r="DKA3" t="s">
        <v>3169</v>
      </c>
      <c r="DKB3" t="s">
        <v>3170</v>
      </c>
      <c r="DKC3" t="s">
        <v>3171</v>
      </c>
      <c r="DKD3" t="s">
        <v>3172</v>
      </c>
      <c r="DKE3" t="s">
        <v>3173</v>
      </c>
      <c r="DKF3" t="s">
        <v>3174</v>
      </c>
      <c r="DKG3" t="s">
        <v>3175</v>
      </c>
      <c r="DKH3" t="s">
        <v>3176</v>
      </c>
      <c r="DKI3" t="s">
        <v>3177</v>
      </c>
      <c r="DKJ3" t="s">
        <v>3178</v>
      </c>
      <c r="DKK3" t="s">
        <v>3179</v>
      </c>
      <c r="DKL3" t="s">
        <v>3180</v>
      </c>
      <c r="DKM3" t="s">
        <v>3181</v>
      </c>
      <c r="DKN3" t="s">
        <v>3182</v>
      </c>
      <c r="DKO3" t="s">
        <v>3183</v>
      </c>
      <c r="DKP3" t="s">
        <v>3184</v>
      </c>
      <c r="DKQ3" t="s">
        <v>3185</v>
      </c>
      <c r="DKR3" t="s">
        <v>3186</v>
      </c>
      <c r="DKS3" t="s">
        <v>3187</v>
      </c>
      <c r="DKT3" t="s">
        <v>3188</v>
      </c>
      <c r="DKU3" t="s">
        <v>3189</v>
      </c>
      <c r="DKV3" t="s">
        <v>3190</v>
      </c>
      <c r="DKW3" t="s">
        <v>3191</v>
      </c>
      <c r="DKX3" t="s">
        <v>3192</v>
      </c>
      <c r="DKY3" t="s">
        <v>3193</v>
      </c>
      <c r="DKZ3" t="s">
        <v>3194</v>
      </c>
      <c r="DLA3" t="s">
        <v>3195</v>
      </c>
      <c r="DLB3" t="s">
        <v>3196</v>
      </c>
      <c r="DLC3" t="s">
        <v>3197</v>
      </c>
      <c r="DLD3" t="s">
        <v>3198</v>
      </c>
      <c r="DLE3" t="s">
        <v>3199</v>
      </c>
      <c r="DLF3" t="s">
        <v>3200</v>
      </c>
      <c r="DLG3" t="s">
        <v>3201</v>
      </c>
      <c r="DLH3" t="s">
        <v>3202</v>
      </c>
      <c r="DLI3" t="s">
        <v>3203</v>
      </c>
      <c r="DLJ3" t="s">
        <v>3204</v>
      </c>
      <c r="DLK3" t="s">
        <v>3205</v>
      </c>
      <c r="DLL3" t="s">
        <v>3206</v>
      </c>
      <c r="DLM3" t="s">
        <v>3207</v>
      </c>
      <c r="DLN3" t="s">
        <v>3208</v>
      </c>
      <c r="DLO3" t="s">
        <v>3209</v>
      </c>
      <c r="DLP3" t="s">
        <v>3210</v>
      </c>
      <c r="DLQ3" t="s">
        <v>3211</v>
      </c>
      <c r="DLR3" t="s">
        <v>3212</v>
      </c>
      <c r="DLS3" t="s">
        <v>3213</v>
      </c>
      <c r="DLT3" t="s">
        <v>3214</v>
      </c>
      <c r="DLU3" t="s">
        <v>3215</v>
      </c>
      <c r="DLV3" t="s">
        <v>3216</v>
      </c>
      <c r="DLW3" t="s">
        <v>3217</v>
      </c>
      <c r="DLX3" t="s">
        <v>3218</v>
      </c>
      <c r="DLY3" t="s">
        <v>3219</v>
      </c>
      <c r="DLZ3" t="s">
        <v>3220</v>
      </c>
      <c r="DMA3" t="s">
        <v>3221</v>
      </c>
      <c r="DMB3" t="s">
        <v>3222</v>
      </c>
      <c r="DMC3" t="s">
        <v>3223</v>
      </c>
      <c r="DMD3" t="s">
        <v>3224</v>
      </c>
      <c r="DME3" t="s">
        <v>3225</v>
      </c>
      <c r="DMF3" t="s">
        <v>3226</v>
      </c>
      <c r="DMG3" t="s">
        <v>3227</v>
      </c>
      <c r="DMH3" t="s">
        <v>3228</v>
      </c>
      <c r="DMI3" t="s">
        <v>3229</v>
      </c>
      <c r="DMJ3" t="s">
        <v>3230</v>
      </c>
      <c r="DMK3" t="s">
        <v>3231</v>
      </c>
      <c r="DML3" t="s">
        <v>3232</v>
      </c>
      <c r="DMM3" t="s">
        <v>3233</v>
      </c>
      <c r="DMN3" t="s">
        <v>3234</v>
      </c>
      <c r="DMO3" t="s">
        <v>3235</v>
      </c>
      <c r="DMP3" t="s">
        <v>3236</v>
      </c>
      <c r="DMQ3" t="s">
        <v>3237</v>
      </c>
      <c r="DMR3" t="s">
        <v>3238</v>
      </c>
      <c r="DMS3" t="s">
        <v>3239</v>
      </c>
      <c r="DMT3" t="s">
        <v>3240</v>
      </c>
      <c r="DMU3" t="s">
        <v>3241</v>
      </c>
      <c r="DMV3" t="s">
        <v>3242</v>
      </c>
      <c r="DMW3" t="s">
        <v>3243</v>
      </c>
      <c r="DMX3" t="s">
        <v>3244</v>
      </c>
      <c r="DMY3" t="s">
        <v>3245</v>
      </c>
      <c r="DMZ3" t="s">
        <v>3246</v>
      </c>
      <c r="DNA3" t="s">
        <v>3247</v>
      </c>
      <c r="DNB3" t="s">
        <v>3248</v>
      </c>
      <c r="DNC3" t="s">
        <v>3249</v>
      </c>
      <c r="DND3" t="s">
        <v>3250</v>
      </c>
      <c r="DNE3" t="s">
        <v>3251</v>
      </c>
      <c r="DNF3" t="s">
        <v>3252</v>
      </c>
      <c r="DNG3" t="s">
        <v>3253</v>
      </c>
      <c r="DNH3" t="s">
        <v>3254</v>
      </c>
      <c r="DNI3" t="s">
        <v>3255</v>
      </c>
      <c r="DNJ3" t="s">
        <v>3256</v>
      </c>
      <c r="DNK3" t="s">
        <v>3257</v>
      </c>
      <c r="DNL3" t="s">
        <v>3258</v>
      </c>
      <c r="DNM3" t="s">
        <v>3259</v>
      </c>
      <c r="DNN3" t="s">
        <v>3260</v>
      </c>
      <c r="DNO3" t="s">
        <v>3261</v>
      </c>
      <c r="DNP3" t="s">
        <v>3262</v>
      </c>
      <c r="DNQ3" t="s">
        <v>3263</v>
      </c>
      <c r="DNR3" t="s">
        <v>3264</v>
      </c>
      <c r="DNS3" t="s">
        <v>3265</v>
      </c>
      <c r="DNT3" t="s">
        <v>3266</v>
      </c>
      <c r="DNU3" t="s">
        <v>3267</v>
      </c>
      <c r="DNV3" t="s">
        <v>3268</v>
      </c>
      <c r="DNW3" t="s">
        <v>3269</v>
      </c>
      <c r="DNX3" t="s">
        <v>3270</v>
      </c>
      <c r="DNY3" t="s">
        <v>3271</v>
      </c>
      <c r="DNZ3" t="s">
        <v>3272</v>
      </c>
      <c r="DOA3" t="s">
        <v>3273</v>
      </c>
      <c r="DOB3" t="s">
        <v>3274</v>
      </c>
      <c r="DOC3" t="s">
        <v>3275</v>
      </c>
      <c r="DOD3" t="s">
        <v>3276</v>
      </c>
      <c r="DOE3" t="s">
        <v>3277</v>
      </c>
      <c r="DOF3" t="s">
        <v>3278</v>
      </c>
      <c r="DOG3" t="s">
        <v>3279</v>
      </c>
      <c r="DOH3" t="s">
        <v>3280</v>
      </c>
      <c r="DOI3" t="s">
        <v>3281</v>
      </c>
      <c r="DOJ3" t="s">
        <v>3282</v>
      </c>
      <c r="DOK3" t="s">
        <v>3283</v>
      </c>
      <c r="DOL3" t="s">
        <v>3284</v>
      </c>
      <c r="DOM3" t="s">
        <v>3285</v>
      </c>
      <c r="DON3" t="s">
        <v>3286</v>
      </c>
      <c r="DOO3" t="s">
        <v>3287</v>
      </c>
      <c r="DOP3" t="s">
        <v>3288</v>
      </c>
      <c r="DOQ3" t="s">
        <v>3289</v>
      </c>
      <c r="DOR3" t="s">
        <v>3290</v>
      </c>
      <c r="DOS3" t="s">
        <v>3291</v>
      </c>
      <c r="DOT3" t="s">
        <v>3292</v>
      </c>
      <c r="DOU3" t="s">
        <v>3293</v>
      </c>
      <c r="DOV3" t="s">
        <v>3294</v>
      </c>
      <c r="DOW3" t="s">
        <v>3295</v>
      </c>
      <c r="DOX3" t="s">
        <v>3296</v>
      </c>
      <c r="DOY3" t="s">
        <v>3297</v>
      </c>
      <c r="DOZ3" t="s">
        <v>3298</v>
      </c>
      <c r="DPA3" t="s">
        <v>3299</v>
      </c>
      <c r="DPB3" t="s">
        <v>3300</v>
      </c>
      <c r="DPC3" t="s">
        <v>3301</v>
      </c>
      <c r="DPD3" t="s">
        <v>3302</v>
      </c>
      <c r="DPE3" t="s">
        <v>3303</v>
      </c>
      <c r="DPF3" t="s">
        <v>3304</v>
      </c>
      <c r="DPG3" t="s">
        <v>3305</v>
      </c>
      <c r="DPH3" t="s">
        <v>3306</v>
      </c>
      <c r="DPI3" t="s">
        <v>3307</v>
      </c>
      <c r="DPJ3" t="s">
        <v>3308</v>
      </c>
      <c r="DPK3" t="s">
        <v>3309</v>
      </c>
      <c r="DPL3" t="s">
        <v>3310</v>
      </c>
      <c r="DPM3" t="s">
        <v>3311</v>
      </c>
      <c r="DPN3" t="s">
        <v>3312</v>
      </c>
      <c r="DPO3" t="s">
        <v>3313</v>
      </c>
      <c r="DPP3" t="s">
        <v>3314</v>
      </c>
      <c r="DPQ3" t="s">
        <v>3315</v>
      </c>
      <c r="DPR3" t="s">
        <v>3316</v>
      </c>
      <c r="DPS3" t="s">
        <v>3317</v>
      </c>
      <c r="DPT3" t="s">
        <v>3318</v>
      </c>
      <c r="DPU3" t="s">
        <v>3319</v>
      </c>
      <c r="DPV3" t="s">
        <v>3320</v>
      </c>
      <c r="DPW3" t="s">
        <v>3321</v>
      </c>
      <c r="DPX3" t="s">
        <v>3322</v>
      </c>
      <c r="DPY3" t="s">
        <v>3323</v>
      </c>
      <c r="DPZ3" t="s">
        <v>3324</v>
      </c>
      <c r="DQA3" t="s">
        <v>3325</v>
      </c>
      <c r="DQB3" t="s">
        <v>3326</v>
      </c>
      <c r="DQC3" t="s">
        <v>3327</v>
      </c>
      <c r="DQD3" t="s">
        <v>3328</v>
      </c>
      <c r="DQE3" t="s">
        <v>3329</v>
      </c>
      <c r="DQF3" t="s">
        <v>3330</v>
      </c>
      <c r="DQG3" t="s">
        <v>3331</v>
      </c>
      <c r="DQH3" t="s">
        <v>3332</v>
      </c>
      <c r="DQI3" t="s">
        <v>3333</v>
      </c>
      <c r="DQJ3" t="s">
        <v>3334</v>
      </c>
      <c r="DQK3" t="s">
        <v>3335</v>
      </c>
      <c r="DQL3" t="s">
        <v>3336</v>
      </c>
      <c r="DQM3" t="s">
        <v>3337</v>
      </c>
      <c r="DQN3" t="s">
        <v>3338</v>
      </c>
      <c r="DQO3" t="s">
        <v>3339</v>
      </c>
      <c r="DQP3" t="s">
        <v>3340</v>
      </c>
      <c r="DQQ3" t="s">
        <v>3341</v>
      </c>
      <c r="DQR3" t="s">
        <v>3342</v>
      </c>
      <c r="DQS3" t="s">
        <v>3343</v>
      </c>
      <c r="DQT3" t="s">
        <v>3344</v>
      </c>
      <c r="DQU3" t="s">
        <v>3345</v>
      </c>
      <c r="DQV3" t="s">
        <v>3346</v>
      </c>
      <c r="DQW3" t="s">
        <v>3347</v>
      </c>
      <c r="DQX3" t="s">
        <v>3348</v>
      </c>
      <c r="DQY3" t="s">
        <v>3349</v>
      </c>
      <c r="DQZ3" t="s">
        <v>3350</v>
      </c>
      <c r="DRA3" t="s">
        <v>3351</v>
      </c>
      <c r="DRB3" t="s">
        <v>3352</v>
      </c>
      <c r="DRC3" t="s">
        <v>3353</v>
      </c>
      <c r="DRD3" t="s">
        <v>3354</v>
      </c>
      <c r="DRE3" t="s">
        <v>3355</v>
      </c>
      <c r="DRF3" t="s">
        <v>3356</v>
      </c>
      <c r="DRG3" t="s">
        <v>3357</v>
      </c>
      <c r="DRH3" t="s">
        <v>3358</v>
      </c>
      <c r="DRI3" t="s">
        <v>3359</v>
      </c>
      <c r="DRJ3" t="s">
        <v>3360</v>
      </c>
      <c r="DRK3" t="s">
        <v>3361</v>
      </c>
      <c r="DRL3" t="s">
        <v>3362</v>
      </c>
      <c r="DRM3" t="s">
        <v>3363</v>
      </c>
      <c r="DRN3" t="s">
        <v>3364</v>
      </c>
      <c r="DRO3" t="s">
        <v>3365</v>
      </c>
      <c r="DRP3" t="s">
        <v>3366</v>
      </c>
      <c r="DRQ3" t="s">
        <v>3367</v>
      </c>
      <c r="DRR3" t="s">
        <v>3368</v>
      </c>
      <c r="DRS3" t="s">
        <v>3369</v>
      </c>
      <c r="DRT3" t="s">
        <v>3370</v>
      </c>
      <c r="DRU3" t="s">
        <v>3371</v>
      </c>
      <c r="DRV3" t="s">
        <v>3372</v>
      </c>
      <c r="DRW3" t="s">
        <v>3373</v>
      </c>
      <c r="DRX3" t="s">
        <v>3374</v>
      </c>
      <c r="DRY3" t="s">
        <v>3375</v>
      </c>
      <c r="DRZ3" t="s">
        <v>3376</v>
      </c>
      <c r="DSA3" t="s">
        <v>3377</v>
      </c>
      <c r="DSB3" t="s">
        <v>3378</v>
      </c>
      <c r="DSC3" t="s">
        <v>3379</v>
      </c>
      <c r="DSD3" t="s">
        <v>3380</v>
      </c>
      <c r="DSE3" t="s">
        <v>3381</v>
      </c>
      <c r="DSF3" t="s">
        <v>3382</v>
      </c>
      <c r="DSG3" t="s">
        <v>3383</v>
      </c>
      <c r="DSH3" t="s">
        <v>3384</v>
      </c>
      <c r="DSI3" t="s">
        <v>3385</v>
      </c>
      <c r="DSJ3" t="s">
        <v>3386</v>
      </c>
      <c r="DSK3" t="s">
        <v>3387</v>
      </c>
      <c r="DSL3" t="s">
        <v>3388</v>
      </c>
      <c r="DSM3" t="s">
        <v>3389</v>
      </c>
      <c r="DSN3" t="s">
        <v>3390</v>
      </c>
      <c r="DSO3" t="s">
        <v>3391</v>
      </c>
      <c r="DSP3" t="s">
        <v>3392</v>
      </c>
      <c r="DSQ3" t="s">
        <v>3393</v>
      </c>
      <c r="DSR3" t="s">
        <v>3394</v>
      </c>
      <c r="DSS3" t="s">
        <v>3395</v>
      </c>
      <c r="DST3" t="s">
        <v>3396</v>
      </c>
      <c r="DSU3" t="s">
        <v>3397</v>
      </c>
      <c r="DSV3" t="s">
        <v>3398</v>
      </c>
      <c r="DSW3" t="s">
        <v>3399</v>
      </c>
      <c r="DSX3" t="s">
        <v>3400</v>
      </c>
      <c r="DSY3" t="s">
        <v>3401</v>
      </c>
      <c r="DSZ3" t="s">
        <v>3402</v>
      </c>
      <c r="DTA3" t="s">
        <v>3403</v>
      </c>
      <c r="DTB3" t="s">
        <v>3404</v>
      </c>
      <c r="DTC3" t="s">
        <v>3405</v>
      </c>
      <c r="DTD3" t="s">
        <v>3406</v>
      </c>
      <c r="DTE3" t="s">
        <v>3407</v>
      </c>
      <c r="DTF3" t="s">
        <v>3408</v>
      </c>
      <c r="DTG3" t="s">
        <v>3409</v>
      </c>
      <c r="DTH3" t="s">
        <v>3410</v>
      </c>
      <c r="DTI3" t="s">
        <v>3411</v>
      </c>
      <c r="DTJ3" t="s">
        <v>3412</v>
      </c>
      <c r="DTK3" t="s">
        <v>3413</v>
      </c>
      <c r="DTL3" t="s">
        <v>3414</v>
      </c>
      <c r="DTM3" t="s">
        <v>3415</v>
      </c>
      <c r="DTN3" t="s">
        <v>3416</v>
      </c>
      <c r="DTO3" t="s">
        <v>3417</v>
      </c>
      <c r="DTP3" t="s">
        <v>3418</v>
      </c>
      <c r="DTQ3" t="s">
        <v>3419</v>
      </c>
      <c r="DTR3" t="s">
        <v>3420</v>
      </c>
      <c r="DTS3" t="s">
        <v>3421</v>
      </c>
      <c r="DTT3" t="s">
        <v>3422</v>
      </c>
      <c r="DTU3" t="s">
        <v>3423</v>
      </c>
      <c r="DTV3" t="s">
        <v>3424</v>
      </c>
      <c r="DTW3" t="s">
        <v>3425</v>
      </c>
      <c r="DTX3" t="s">
        <v>3426</v>
      </c>
      <c r="DTY3" t="s">
        <v>3427</v>
      </c>
      <c r="DTZ3" t="s">
        <v>3428</v>
      </c>
      <c r="DUA3" t="s">
        <v>3429</v>
      </c>
      <c r="DUB3" t="s">
        <v>3430</v>
      </c>
      <c r="DUC3" t="s">
        <v>3431</v>
      </c>
      <c r="DUD3" t="s">
        <v>3432</v>
      </c>
      <c r="DUE3" t="s">
        <v>3433</v>
      </c>
      <c r="DUF3" t="s">
        <v>3434</v>
      </c>
      <c r="DUG3" t="s">
        <v>3435</v>
      </c>
      <c r="DUH3" t="s">
        <v>3436</v>
      </c>
      <c r="DUI3" t="s">
        <v>3437</v>
      </c>
      <c r="DUJ3" t="s">
        <v>3438</v>
      </c>
      <c r="DUK3" t="s">
        <v>3439</v>
      </c>
      <c r="DUL3" t="s">
        <v>3440</v>
      </c>
      <c r="DUM3" t="s">
        <v>3441</v>
      </c>
      <c r="DUN3" t="s">
        <v>3442</v>
      </c>
      <c r="DUO3" t="s">
        <v>3443</v>
      </c>
      <c r="DUP3" t="s">
        <v>3444</v>
      </c>
      <c r="DUQ3" t="s">
        <v>3445</v>
      </c>
      <c r="DUR3" t="s">
        <v>3446</v>
      </c>
      <c r="DUS3" t="s">
        <v>3447</v>
      </c>
      <c r="DUT3" t="s">
        <v>3448</v>
      </c>
      <c r="DUU3" t="s">
        <v>3449</v>
      </c>
      <c r="DUV3" t="s">
        <v>3450</v>
      </c>
      <c r="DUW3" t="s">
        <v>3451</v>
      </c>
      <c r="DUX3" t="s">
        <v>3452</v>
      </c>
      <c r="DUY3" t="s">
        <v>3453</v>
      </c>
      <c r="DUZ3" t="s">
        <v>3454</v>
      </c>
      <c r="DVA3" t="s">
        <v>3455</v>
      </c>
      <c r="DVB3" t="s">
        <v>3456</v>
      </c>
      <c r="DVC3" t="s">
        <v>3457</v>
      </c>
      <c r="DVD3" t="s">
        <v>3458</v>
      </c>
      <c r="DVE3" t="s">
        <v>3459</v>
      </c>
      <c r="DVF3" t="s">
        <v>3460</v>
      </c>
      <c r="DVG3" t="s">
        <v>3461</v>
      </c>
      <c r="DVH3" t="s">
        <v>3462</v>
      </c>
      <c r="DVI3" t="s">
        <v>3463</v>
      </c>
      <c r="DVJ3" t="s">
        <v>3464</v>
      </c>
      <c r="DVK3" t="s">
        <v>3465</v>
      </c>
      <c r="DVL3" t="s">
        <v>3466</v>
      </c>
      <c r="DVM3" t="s">
        <v>3467</v>
      </c>
      <c r="DVN3" t="s">
        <v>3468</v>
      </c>
      <c r="DVO3" t="s">
        <v>3469</v>
      </c>
      <c r="DVP3" t="s">
        <v>3470</v>
      </c>
      <c r="DVQ3" t="s">
        <v>3471</v>
      </c>
      <c r="DVR3" t="s">
        <v>3472</v>
      </c>
      <c r="DVS3" t="s">
        <v>3473</v>
      </c>
      <c r="DVT3" t="s">
        <v>3474</v>
      </c>
      <c r="DVU3" t="s">
        <v>3475</v>
      </c>
      <c r="DVV3" t="s">
        <v>3476</v>
      </c>
      <c r="DVW3" t="s">
        <v>3477</v>
      </c>
      <c r="DVX3" t="s">
        <v>3478</v>
      </c>
      <c r="DVY3" t="s">
        <v>3479</v>
      </c>
      <c r="DVZ3" t="s">
        <v>3480</v>
      </c>
      <c r="DWA3" t="s">
        <v>3481</v>
      </c>
      <c r="DWB3" t="s">
        <v>3482</v>
      </c>
      <c r="DWC3" t="s">
        <v>3483</v>
      </c>
      <c r="DWD3" t="s">
        <v>3484</v>
      </c>
      <c r="DWE3" t="s">
        <v>3485</v>
      </c>
      <c r="DWF3" t="s">
        <v>3486</v>
      </c>
      <c r="DWG3" t="s">
        <v>3487</v>
      </c>
      <c r="DWH3" t="s">
        <v>3488</v>
      </c>
      <c r="DWI3" t="s">
        <v>3489</v>
      </c>
      <c r="DWJ3" t="s">
        <v>3490</v>
      </c>
      <c r="DWK3" t="s">
        <v>3491</v>
      </c>
      <c r="DWL3" t="s">
        <v>3492</v>
      </c>
      <c r="DWM3" t="s">
        <v>3493</v>
      </c>
      <c r="DWN3" t="s">
        <v>3494</v>
      </c>
      <c r="DWO3" t="s">
        <v>3495</v>
      </c>
      <c r="DWP3" t="s">
        <v>3496</v>
      </c>
      <c r="DWQ3" t="s">
        <v>3497</v>
      </c>
      <c r="DWR3" t="s">
        <v>3498</v>
      </c>
      <c r="DWS3" t="s">
        <v>3499</v>
      </c>
      <c r="DWT3" t="s">
        <v>3500</v>
      </c>
      <c r="DWU3" t="s">
        <v>3501</v>
      </c>
      <c r="DWV3" t="s">
        <v>3502</v>
      </c>
      <c r="DWW3" t="s">
        <v>3503</v>
      </c>
      <c r="DWX3" t="s">
        <v>3504</v>
      </c>
      <c r="DWY3" t="s">
        <v>3505</v>
      </c>
      <c r="DWZ3" t="s">
        <v>3506</v>
      </c>
      <c r="DXA3" t="s">
        <v>3507</v>
      </c>
      <c r="DXB3" t="s">
        <v>3508</v>
      </c>
      <c r="DXC3" t="s">
        <v>3509</v>
      </c>
      <c r="DXD3" t="s">
        <v>3510</v>
      </c>
      <c r="DXE3" t="s">
        <v>3511</v>
      </c>
      <c r="DXF3" t="s">
        <v>3512</v>
      </c>
      <c r="DXG3" t="s">
        <v>3513</v>
      </c>
      <c r="DXH3" t="s">
        <v>3514</v>
      </c>
      <c r="DXI3" t="s">
        <v>3515</v>
      </c>
      <c r="DXJ3" t="s">
        <v>3516</v>
      </c>
      <c r="DXK3" t="s">
        <v>3517</v>
      </c>
      <c r="DXL3" t="s">
        <v>3518</v>
      </c>
      <c r="DXM3" t="s">
        <v>3519</v>
      </c>
      <c r="DXN3" t="s">
        <v>3520</v>
      </c>
      <c r="DXO3" t="s">
        <v>3521</v>
      </c>
      <c r="DXP3" t="s">
        <v>3522</v>
      </c>
      <c r="DXQ3" t="s">
        <v>3523</v>
      </c>
      <c r="DXR3" t="s">
        <v>3524</v>
      </c>
      <c r="DXS3" t="s">
        <v>3525</v>
      </c>
      <c r="DXT3" t="s">
        <v>3526</v>
      </c>
      <c r="DXU3" t="s">
        <v>3527</v>
      </c>
      <c r="DXV3" t="s">
        <v>3528</v>
      </c>
      <c r="DXW3" t="s">
        <v>3529</v>
      </c>
      <c r="DXX3" t="s">
        <v>3530</v>
      </c>
      <c r="DXY3" t="s">
        <v>3531</v>
      </c>
      <c r="DXZ3" t="s">
        <v>3532</v>
      </c>
      <c r="DYA3" t="s">
        <v>3533</v>
      </c>
      <c r="DYB3" t="s">
        <v>3534</v>
      </c>
      <c r="DYC3" t="s">
        <v>3535</v>
      </c>
      <c r="DYD3" t="s">
        <v>3536</v>
      </c>
      <c r="DYE3" t="s">
        <v>3537</v>
      </c>
      <c r="DYF3" t="s">
        <v>3538</v>
      </c>
      <c r="DYG3" t="s">
        <v>3539</v>
      </c>
      <c r="DYH3" t="s">
        <v>3540</v>
      </c>
      <c r="DYI3" t="s">
        <v>3541</v>
      </c>
      <c r="DYJ3" t="s">
        <v>3542</v>
      </c>
      <c r="DYK3" t="s">
        <v>3543</v>
      </c>
      <c r="DYL3" t="s">
        <v>3544</v>
      </c>
      <c r="DYM3" t="s">
        <v>3545</v>
      </c>
      <c r="DYN3" t="s">
        <v>3546</v>
      </c>
      <c r="DYO3" t="s">
        <v>3547</v>
      </c>
      <c r="DYP3" t="s">
        <v>3548</v>
      </c>
      <c r="DYQ3" t="s">
        <v>3549</v>
      </c>
      <c r="DYR3" t="s">
        <v>3550</v>
      </c>
      <c r="DYS3" t="s">
        <v>3551</v>
      </c>
      <c r="DYT3" t="s">
        <v>3552</v>
      </c>
      <c r="DYU3" t="s">
        <v>3553</v>
      </c>
      <c r="DYV3" t="s">
        <v>3554</v>
      </c>
      <c r="DYW3" t="s">
        <v>3555</v>
      </c>
      <c r="DYX3" t="s">
        <v>3556</v>
      </c>
      <c r="DYY3" t="s">
        <v>3557</v>
      </c>
      <c r="DYZ3" t="s">
        <v>3558</v>
      </c>
      <c r="DZA3" t="s">
        <v>3559</v>
      </c>
      <c r="DZB3" t="s">
        <v>3560</v>
      </c>
      <c r="DZC3" t="s">
        <v>3561</v>
      </c>
      <c r="DZD3" t="s">
        <v>3562</v>
      </c>
      <c r="DZE3" t="s">
        <v>3563</v>
      </c>
      <c r="DZF3" t="s">
        <v>3564</v>
      </c>
      <c r="DZG3" t="s">
        <v>3565</v>
      </c>
      <c r="DZH3" t="s">
        <v>3566</v>
      </c>
      <c r="DZI3" t="s">
        <v>3567</v>
      </c>
      <c r="DZJ3" t="s">
        <v>3568</v>
      </c>
      <c r="DZK3" t="s">
        <v>3569</v>
      </c>
      <c r="DZL3" t="s">
        <v>3570</v>
      </c>
      <c r="DZM3" t="s">
        <v>3571</v>
      </c>
      <c r="DZN3" t="s">
        <v>3572</v>
      </c>
      <c r="DZO3" t="s">
        <v>3573</v>
      </c>
      <c r="DZP3" t="s">
        <v>3574</v>
      </c>
      <c r="DZQ3" t="s">
        <v>3575</v>
      </c>
      <c r="DZR3" t="s">
        <v>3576</v>
      </c>
      <c r="DZS3" t="s">
        <v>3577</v>
      </c>
      <c r="DZT3" t="s">
        <v>3578</v>
      </c>
      <c r="DZU3" t="s">
        <v>3579</v>
      </c>
      <c r="DZV3" t="s">
        <v>3580</v>
      </c>
      <c r="DZW3" t="s">
        <v>3581</v>
      </c>
      <c r="DZX3" t="s">
        <v>3582</v>
      </c>
      <c r="DZY3" t="s">
        <v>3583</v>
      </c>
      <c r="DZZ3" t="s">
        <v>3584</v>
      </c>
      <c r="EAA3" t="s">
        <v>3585</v>
      </c>
      <c r="EAB3" t="s">
        <v>3586</v>
      </c>
      <c r="EAC3" t="s">
        <v>3587</v>
      </c>
      <c r="EAD3" t="s">
        <v>3588</v>
      </c>
      <c r="EAE3" t="s">
        <v>3589</v>
      </c>
      <c r="EAF3" t="s">
        <v>3590</v>
      </c>
      <c r="EAG3" t="s">
        <v>3591</v>
      </c>
      <c r="EAH3" t="s">
        <v>3592</v>
      </c>
      <c r="EAI3" t="s">
        <v>3593</v>
      </c>
      <c r="EAJ3" t="s">
        <v>3594</v>
      </c>
      <c r="EAK3" t="s">
        <v>3595</v>
      </c>
      <c r="EAL3" t="s">
        <v>3596</v>
      </c>
      <c r="EAM3" t="s">
        <v>3597</v>
      </c>
      <c r="EAN3" t="s">
        <v>3598</v>
      </c>
      <c r="EAO3" t="s">
        <v>3599</v>
      </c>
      <c r="EAP3" t="s">
        <v>3600</v>
      </c>
      <c r="EAQ3" t="s">
        <v>3601</v>
      </c>
      <c r="EAR3" t="s">
        <v>3602</v>
      </c>
      <c r="EAS3" t="s">
        <v>3603</v>
      </c>
      <c r="EAT3" t="s">
        <v>3604</v>
      </c>
      <c r="EAU3" t="s">
        <v>3605</v>
      </c>
      <c r="EAV3" t="s">
        <v>3606</v>
      </c>
      <c r="EAW3" t="s">
        <v>3607</v>
      </c>
      <c r="EAX3" t="s">
        <v>3608</v>
      </c>
      <c r="EAY3" t="s">
        <v>3609</v>
      </c>
      <c r="EAZ3" t="s">
        <v>3610</v>
      </c>
      <c r="EBA3" t="s">
        <v>3611</v>
      </c>
      <c r="EBB3" t="s">
        <v>3612</v>
      </c>
      <c r="EBC3" t="s">
        <v>3613</v>
      </c>
      <c r="EBD3" t="s">
        <v>3614</v>
      </c>
      <c r="EBE3" t="s">
        <v>3615</v>
      </c>
      <c r="EBF3" t="s">
        <v>3616</v>
      </c>
      <c r="EBG3" t="s">
        <v>3617</v>
      </c>
      <c r="EBH3" t="s">
        <v>3618</v>
      </c>
      <c r="EBI3" t="s">
        <v>3619</v>
      </c>
      <c r="EBJ3" t="s">
        <v>3620</v>
      </c>
      <c r="EBK3" t="s">
        <v>3621</v>
      </c>
      <c r="EBL3" t="s">
        <v>3622</v>
      </c>
      <c r="EBM3" t="s">
        <v>3623</v>
      </c>
      <c r="EBN3" t="s">
        <v>3624</v>
      </c>
      <c r="EBO3" t="s">
        <v>3625</v>
      </c>
      <c r="EBP3" t="s">
        <v>3626</v>
      </c>
      <c r="EBQ3" t="s">
        <v>3627</v>
      </c>
      <c r="EBR3" t="s">
        <v>3628</v>
      </c>
      <c r="EBS3" t="s">
        <v>3629</v>
      </c>
      <c r="EBT3" t="s">
        <v>3630</v>
      </c>
      <c r="EBU3" t="s">
        <v>3631</v>
      </c>
      <c r="EBV3" t="s">
        <v>3632</v>
      </c>
      <c r="EBW3" t="s">
        <v>3633</v>
      </c>
      <c r="EBX3" t="s">
        <v>3634</v>
      </c>
      <c r="EBY3" t="s">
        <v>3635</v>
      </c>
      <c r="EBZ3" t="s">
        <v>3636</v>
      </c>
      <c r="ECA3" t="s">
        <v>3637</v>
      </c>
      <c r="ECB3" t="s">
        <v>3638</v>
      </c>
      <c r="ECC3" t="s">
        <v>3639</v>
      </c>
      <c r="ECD3" t="s">
        <v>3640</v>
      </c>
      <c r="ECE3" t="s">
        <v>3641</v>
      </c>
      <c r="ECF3" t="s">
        <v>3642</v>
      </c>
      <c r="ECG3" t="s">
        <v>3643</v>
      </c>
      <c r="ECH3" t="s">
        <v>3644</v>
      </c>
      <c r="ECI3" t="s">
        <v>3645</v>
      </c>
      <c r="ECJ3" t="s">
        <v>3646</v>
      </c>
      <c r="ECK3" t="s">
        <v>3647</v>
      </c>
      <c r="ECL3" t="s">
        <v>3648</v>
      </c>
      <c r="ECM3" t="s">
        <v>3649</v>
      </c>
      <c r="ECN3" t="s">
        <v>3650</v>
      </c>
      <c r="ECO3" t="s">
        <v>3651</v>
      </c>
      <c r="ECP3" t="s">
        <v>3652</v>
      </c>
      <c r="ECQ3" t="s">
        <v>3653</v>
      </c>
      <c r="ECR3" t="s">
        <v>3654</v>
      </c>
      <c r="ECS3" t="s">
        <v>3655</v>
      </c>
      <c r="ECT3" t="s">
        <v>3656</v>
      </c>
      <c r="ECU3" t="s">
        <v>3657</v>
      </c>
      <c r="ECV3" t="s">
        <v>3658</v>
      </c>
      <c r="ECW3" t="s">
        <v>3659</v>
      </c>
      <c r="ECX3" t="s">
        <v>3660</v>
      </c>
      <c r="ECY3" t="s">
        <v>3661</v>
      </c>
      <c r="ECZ3" t="s">
        <v>3662</v>
      </c>
      <c r="EDA3" t="s">
        <v>3663</v>
      </c>
      <c r="EDB3" t="s">
        <v>3664</v>
      </c>
      <c r="EDC3" t="s">
        <v>3665</v>
      </c>
      <c r="EDD3" t="s">
        <v>3666</v>
      </c>
      <c r="EDE3" t="s">
        <v>3667</v>
      </c>
      <c r="EDF3" t="s">
        <v>3668</v>
      </c>
      <c r="EDG3" t="s">
        <v>3669</v>
      </c>
      <c r="EDH3" t="s">
        <v>3670</v>
      </c>
      <c r="EDI3" t="s">
        <v>3671</v>
      </c>
      <c r="EDJ3" t="s">
        <v>3672</v>
      </c>
      <c r="EDK3" t="s">
        <v>3673</v>
      </c>
      <c r="EDL3" t="s">
        <v>3674</v>
      </c>
      <c r="EDM3" t="s">
        <v>3675</v>
      </c>
      <c r="EDN3" t="s">
        <v>3676</v>
      </c>
      <c r="EDO3" t="s">
        <v>3677</v>
      </c>
      <c r="EDP3" t="s">
        <v>3678</v>
      </c>
      <c r="EDQ3" t="s">
        <v>3679</v>
      </c>
      <c r="EDR3" t="s">
        <v>3680</v>
      </c>
      <c r="EDS3" t="s">
        <v>3681</v>
      </c>
      <c r="EDT3" t="s">
        <v>3682</v>
      </c>
      <c r="EDU3" t="s">
        <v>3683</v>
      </c>
      <c r="EDV3" t="s">
        <v>3684</v>
      </c>
      <c r="EDW3" t="s">
        <v>3685</v>
      </c>
      <c r="EDX3" t="s">
        <v>3686</v>
      </c>
      <c r="EDY3" t="s">
        <v>3687</v>
      </c>
      <c r="EDZ3" t="s">
        <v>3688</v>
      </c>
      <c r="EEA3" t="s">
        <v>3689</v>
      </c>
      <c r="EEB3" t="s">
        <v>3690</v>
      </c>
      <c r="EEC3" t="s">
        <v>3691</v>
      </c>
      <c r="EED3" t="s">
        <v>3692</v>
      </c>
      <c r="EEE3" t="s">
        <v>3693</v>
      </c>
      <c r="EEF3" t="s">
        <v>3694</v>
      </c>
      <c r="EEG3" t="s">
        <v>3695</v>
      </c>
      <c r="EEH3" t="s">
        <v>3696</v>
      </c>
      <c r="EEI3" t="s">
        <v>3697</v>
      </c>
      <c r="EEJ3" t="s">
        <v>3698</v>
      </c>
      <c r="EEK3" t="s">
        <v>3699</v>
      </c>
      <c r="EEL3" t="s">
        <v>3700</v>
      </c>
      <c r="EEM3" t="s">
        <v>3701</v>
      </c>
      <c r="EEN3" t="s">
        <v>3702</v>
      </c>
      <c r="EEO3" t="s">
        <v>3703</v>
      </c>
      <c r="EEP3" t="s">
        <v>3704</v>
      </c>
      <c r="EEQ3" t="s">
        <v>3705</v>
      </c>
      <c r="EER3" t="s">
        <v>3706</v>
      </c>
      <c r="EES3" t="s">
        <v>3707</v>
      </c>
      <c r="EET3" t="s">
        <v>3708</v>
      </c>
      <c r="EEU3" t="s">
        <v>3709</v>
      </c>
      <c r="EEV3" t="s">
        <v>3710</v>
      </c>
      <c r="EEW3" t="s">
        <v>3711</v>
      </c>
      <c r="EEX3" t="s">
        <v>3712</v>
      </c>
      <c r="EEY3" t="s">
        <v>3713</v>
      </c>
      <c r="EEZ3" t="s">
        <v>3714</v>
      </c>
      <c r="EFA3" t="s">
        <v>3715</v>
      </c>
      <c r="EFB3" t="s">
        <v>3716</v>
      </c>
      <c r="EFC3" t="s">
        <v>3717</v>
      </c>
      <c r="EFD3" t="s">
        <v>3718</v>
      </c>
      <c r="EFE3" t="s">
        <v>3719</v>
      </c>
      <c r="EFF3" t="s">
        <v>3720</v>
      </c>
      <c r="EFG3" t="s">
        <v>3721</v>
      </c>
      <c r="EFH3" t="s">
        <v>3722</v>
      </c>
      <c r="EFI3" t="s">
        <v>3723</v>
      </c>
      <c r="EFJ3" t="s">
        <v>3724</v>
      </c>
      <c r="EFK3" t="s">
        <v>3725</v>
      </c>
      <c r="EFL3" t="s">
        <v>3726</v>
      </c>
      <c r="EFM3" t="s">
        <v>3727</v>
      </c>
      <c r="EFN3" t="s">
        <v>3728</v>
      </c>
      <c r="EFO3" t="s">
        <v>3729</v>
      </c>
      <c r="EFP3" t="s">
        <v>3730</v>
      </c>
      <c r="EFQ3" t="s">
        <v>3731</v>
      </c>
      <c r="EFR3" t="s">
        <v>3732</v>
      </c>
      <c r="EFS3" t="s">
        <v>3733</v>
      </c>
      <c r="EFT3" t="s">
        <v>3734</v>
      </c>
      <c r="EFU3" t="s">
        <v>3735</v>
      </c>
      <c r="EFV3" t="s">
        <v>3736</v>
      </c>
      <c r="EFW3" t="s">
        <v>3737</v>
      </c>
      <c r="EFX3" t="s">
        <v>3738</v>
      </c>
      <c r="EFY3" t="s">
        <v>3739</v>
      </c>
      <c r="EFZ3" t="s">
        <v>3740</v>
      </c>
      <c r="EGA3" t="s">
        <v>3741</v>
      </c>
      <c r="EGB3" t="s">
        <v>3742</v>
      </c>
      <c r="EGC3" t="s">
        <v>3743</v>
      </c>
      <c r="EGD3" t="s">
        <v>3744</v>
      </c>
      <c r="EGE3" t="s">
        <v>3745</v>
      </c>
      <c r="EGF3" t="s">
        <v>3746</v>
      </c>
      <c r="EGG3" t="s">
        <v>3747</v>
      </c>
      <c r="EGH3" t="s">
        <v>3748</v>
      </c>
      <c r="EGI3" t="s">
        <v>3749</v>
      </c>
      <c r="EGJ3" t="s">
        <v>3750</v>
      </c>
      <c r="EGK3" t="s">
        <v>3751</v>
      </c>
      <c r="EGL3" t="s">
        <v>3752</v>
      </c>
      <c r="EGM3" t="s">
        <v>3753</v>
      </c>
      <c r="EGN3" t="s">
        <v>3754</v>
      </c>
      <c r="EGO3" t="s">
        <v>3755</v>
      </c>
      <c r="EGP3" t="s">
        <v>3756</v>
      </c>
      <c r="EGQ3" t="s">
        <v>3757</v>
      </c>
      <c r="EGR3" t="s">
        <v>3758</v>
      </c>
      <c r="EGS3" t="s">
        <v>3759</v>
      </c>
      <c r="EGT3" t="s">
        <v>3760</v>
      </c>
      <c r="EGU3" t="s">
        <v>3761</v>
      </c>
      <c r="EGV3" t="s">
        <v>3762</v>
      </c>
      <c r="EGW3" t="s">
        <v>3763</v>
      </c>
      <c r="EGX3" t="s">
        <v>3764</v>
      </c>
      <c r="EGY3" t="s">
        <v>3765</v>
      </c>
      <c r="EGZ3" t="s">
        <v>3766</v>
      </c>
      <c r="EHA3" t="s">
        <v>3767</v>
      </c>
      <c r="EHB3" t="s">
        <v>3768</v>
      </c>
      <c r="EHC3" t="s">
        <v>3769</v>
      </c>
      <c r="EHD3" t="s">
        <v>3770</v>
      </c>
      <c r="EHE3" t="s">
        <v>3771</v>
      </c>
      <c r="EHF3" t="s">
        <v>3772</v>
      </c>
      <c r="EHG3" t="s">
        <v>3773</v>
      </c>
      <c r="EHH3" t="s">
        <v>3774</v>
      </c>
      <c r="EHI3" t="s">
        <v>3775</v>
      </c>
      <c r="EHJ3" t="s">
        <v>3776</v>
      </c>
      <c r="EHK3" t="s">
        <v>3777</v>
      </c>
      <c r="EHL3" t="s">
        <v>3778</v>
      </c>
      <c r="EHM3" t="s">
        <v>3779</v>
      </c>
      <c r="EHN3" t="s">
        <v>3780</v>
      </c>
      <c r="EHO3" t="s">
        <v>3781</v>
      </c>
      <c r="EHP3" t="s">
        <v>3782</v>
      </c>
      <c r="EHQ3" t="s">
        <v>3783</v>
      </c>
      <c r="EHR3" t="s">
        <v>3784</v>
      </c>
      <c r="EHS3" t="s">
        <v>3785</v>
      </c>
      <c r="EHT3" t="s">
        <v>3786</v>
      </c>
      <c r="EHU3" t="s">
        <v>3787</v>
      </c>
      <c r="EHV3" t="s">
        <v>3788</v>
      </c>
      <c r="EHW3" t="s">
        <v>3789</v>
      </c>
      <c r="EHX3" t="s">
        <v>3790</v>
      </c>
      <c r="EHY3" t="s">
        <v>3791</v>
      </c>
      <c r="EHZ3" t="s">
        <v>3792</v>
      </c>
      <c r="EIA3" t="s">
        <v>3793</v>
      </c>
      <c r="EIB3" t="s">
        <v>3794</v>
      </c>
      <c r="EIC3" t="s">
        <v>3795</v>
      </c>
      <c r="EID3" t="s">
        <v>3796</v>
      </c>
      <c r="EIE3" t="s">
        <v>3797</v>
      </c>
      <c r="EIF3" t="s">
        <v>3798</v>
      </c>
      <c r="EIG3" t="s">
        <v>3799</v>
      </c>
      <c r="EIH3" t="s">
        <v>3800</v>
      </c>
      <c r="EII3" t="s">
        <v>3801</v>
      </c>
      <c r="EIJ3" t="s">
        <v>3802</v>
      </c>
      <c r="EIK3" t="s">
        <v>3803</v>
      </c>
      <c r="EIL3" t="s">
        <v>3804</v>
      </c>
      <c r="EIM3" t="s">
        <v>3805</v>
      </c>
      <c r="EIN3" t="s">
        <v>3806</v>
      </c>
      <c r="EIO3" t="s">
        <v>3807</v>
      </c>
      <c r="EIP3" t="s">
        <v>3808</v>
      </c>
      <c r="EIQ3" t="s">
        <v>3809</v>
      </c>
      <c r="EIR3" t="s">
        <v>3810</v>
      </c>
      <c r="EIS3" t="s">
        <v>3811</v>
      </c>
      <c r="EIT3" t="s">
        <v>3812</v>
      </c>
      <c r="EIU3" t="s">
        <v>3813</v>
      </c>
      <c r="EIV3" t="s">
        <v>3814</v>
      </c>
      <c r="EIW3" t="s">
        <v>3815</v>
      </c>
      <c r="EIX3" t="s">
        <v>3816</v>
      </c>
      <c r="EIY3" t="s">
        <v>3817</v>
      </c>
      <c r="EIZ3" t="s">
        <v>3818</v>
      </c>
      <c r="EJA3" t="s">
        <v>3819</v>
      </c>
      <c r="EJB3" t="s">
        <v>3820</v>
      </c>
      <c r="EJC3" t="s">
        <v>3821</v>
      </c>
      <c r="EJD3" t="s">
        <v>3822</v>
      </c>
      <c r="EJE3" t="s">
        <v>3823</v>
      </c>
      <c r="EJF3" t="s">
        <v>3824</v>
      </c>
      <c r="EJG3" t="s">
        <v>3825</v>
      </c>
      <c r="EJH3" t="s">
        <v>3826</v>
      </c>
      <c r="EJI3" t="s">
        <v>3827</v>
      </c>
      <c r="EJJ3" t="s">
        <v>3828</v>
      </c>
      <c r="EJK3" t="s">
        <v>3829</v>
      </c>
      <c r="EJL3" t="s">
        <v>3830</v>
      </c>
      <c r="EJM3" t="s">
        <v>3831</v>
      </c>
      <c r="EJN3" t="s">
        <v>3832</v>
      </c>
      <c r="EJO3" t="s">
        <v>3833</v>
      </c>
      <c r="EJP3" t="s">
        <v>3834</v>
      </c>
      <c r="EJQ3" t="s">
        <v>3835</v>
      </c>
      <c r="EJR3" t="s">
        <v>3836</v>
      </c>
      <c r="EJS3" t="s">
        <v>3837</v>
      </c>
      <c r="EJT3" t="s">
        <v>3838</v>
      </c>
      <c r="EJU3" t="s">
        <v>3839</v>
      </c>
      <c r="EJV3" t="s">
        <v>3840</v>
      </c>
      <c r="EJW3" t="s">
        <v>3841</v>
      </c>
      <c r="EJX3" t="s">
        <v>3842</v>
      </c>
      <c r="EJY3" t="s">
        <v>3843</v>
      </c>
      <c r="EJZ3" t="s">
        <v>3844</v>
      </c>
      <c r="EKA3" t="s">
        <v>3845</v>
      </c>
      <c r="EKB3" t="s">
        <v>3846</v>
      </c>
      <c r="EKC3" t="s">
        <v>3847</v>
      </c>
      <c r="EKD3" t="s">
        <v>3848</v>
      </c>
      <c r="EKE3" t="s">
        <v>3849</v>
      </c>
      <c r="EKF3" t="s">
        <v>3850</v>
      </c>
      <c r="EKG3" t="s">
        <v>3851</v>
      </c>
      <c r="EKH3" t="s">
        <v>3852</v>
      </c>
      <c r="EKI3" t="s">
        <v>3853</v>
      </c>
      <c r="EKJ3" t="s">
        <v>3854</v>
      </c>
      <c r="EKK3" t="s">
        <v>3855</v>
      </c>
      <c r="EKL3" t="s">
        <v>3856</v>
      </c>
      <c r="EKM3" t="s">
        <v>3857</v>
      </c>
      <c r="EKN3" t="s">
        <v>3858</v>
      </c>
      <c r="EKO3" t="s">
        <v>3859</v>
      </c>
      <c r="EKP3" t="s">
        <v>3860</v>
      </c>
      <c r="EKQ3" t="s">
        <v>3861</v>
      </c>
      <c r="EKR3" t="s">
        <v>3862</v>
      </c>
      <c r="EKS3" t="s">
        <v>3863</v>
      </c>
      <c r="EKT3" t="s">
        <v>3864</v>
      </c>
      <c r="EKU3" t="s">
        <v>3865</v>
      </c>
      <c r="EKV3" t="s">
        <v>3866</v>
      </c>
      <c r="EKW3" t="s">
        <v>3867</v>
      </c>
      <c r="EKX3" t="s">
        <v>3868</v>
      </c>
      <c r="EKY3" t="s">
        <v>3869</v>
      </c>
      <c r="EKZ3" t="s">
        <v>3870</v>
      </c>
      <c r="ELA3" t="s">
        <v>3871</v>
      </c>
      <c r="ELB3" t="s">
        <v>3872</v>
      </c>
      <c r="ELC3" t="s">
        <v>3873</v>
      </c>
      <c r="ELD3" t="s">
        <v>3874</v>
      </c>
      <c r="ELE3" t="s">
        <v>3875</v>
      </c>
      <c r="ELF3" t="s">
        <v>3876</v>
      </c>
      <c r="ELG3" t="s">
        <v>3877</v>
      </c>
      <c r="ELH3" t="s">
        <v>3878</v>
      </c>
      <c r="ELI3" t="s">
        <v>3879</v>
      </c>
      <c r="ELJ3" t="s">
        <v>3880</v>
      </c>
      <c r="ELK3" t="s">
        <v>3881</v>
      </c>
      <c r="ELL3" t="s">
        <v>3882</v>
      </c>
      <c r="ELM3" t="s">
        <v>3883</v>
      </c>
      <c r="ELN3" t="s">
        <v>3884</v>
      </c>
      <c r="ELO3" t="s">
        <v>3885</v>
      </c>
      <c r="ELP3" t="s">
        <v>3886</v>
      </c>
      <c r="ELQ3" t="s">
        <v>3887</v>
      </c>
      <c r="ELR3" t="s">
        <v>3888</v>
      </c>
      <c r="ELS3" t="s">
        <v>3889</v>
      </c>
      <c r="ELT3" t="s">
        <v>3890</v>
      </c>
      <c r="ELU3" t="s">
        <v>3891</v>
      </c>
      <c r="ELV3" t="s">
        <v>3892</v>
      </c>
      <c r="ELW3" t="s">
        <v>3893</v>
      </c>
      <c r="ELX3" t="s">
        <v>3894</v>
      </c>
      <c r="ELY3" t="s">
        <v>3895</v>
      </c>
      <c r="ELZ3" t="s">
        <v>3896</v>
      </c>
      <c r="EMA3" t="s">
        <v>3897</v>
      </c>
      <c r="EMB3" t="s">
        <v>3898</v>
      </c>
      <c r="EMC3" t="s">
        <v>3899</v>
      </c>
      <c r="EMD3" t="s">
        <v>3900</v>
      </c>
      <c r="EME3" t="s">
        <v>3901</v>
      </c>
      <c r="EMF3" t="s">
        <v>3902</v>
      </c>
      <c r="EMG3" t="s">
        <v>3903</v>
      </c>
      <c r="EMH3" t="s">
        <v>3904</v>
      </c>
      <c r="EMI3" t="s">
        <v>3905</v>
      </c>
      <c r="EMJ3" t="s">
        <v>3906</v>
      </c>
      <c r="EMK3" t="s">
        <v>3907</v>
      </c>
      <c r="EML3" t="s">
        <v>3908</v>
      </c>
      <c r="EMM3" t="s">
        <v>3909</v>
      </c>
      <c r="EMN3" t="s">
        <v>3910</v>
      </c>
      <c r="EMO3" t="s">
        <v>3911</v>
      </c>
      <c r="EMP3" t="s">
        <v>3912</v>
      </c>
      <c r="EMQ3" t="s">
        <v>3913</v>
      </c>
      <c r="EMR3" t="s">
        <v>3914</v>
      </c>
      <c r="EMS3" t="s">
        <v>3915</v>
      </c>
      <c r="EMT3" t="s">
        <v>3916</v>
      </c>
      <c r="EMU3" t="s">
        <v>3917</v>
      </c>
      <c r="EMV3" t="s">
        <v>3918</v>
      </c>
      <c r="EMW3" t="s">
        <v>3919</v>
      </c>
      <c r="EMX3" t="s">
        <v>3920</v>
      </c>
      <c r="EMY3" t="s">
        <v>3921</v>
      </c>
      <c r="EMZ3" t="s">
        <v>3922</v>
      </c>
      <c r="ENA3" t="s">
        <v>3923</v>
      </c>
      <c r="ENB3" t="s">
        <v>3924</v>
      </c>
      <c r="ENC3" t="s">
        <v>3925</v>
      </c>
      <c r="END3" t="s">
        <v>3926</v>
      </c>
      <c r="ENE3" t="s">
        <v>3927</v>
      </c>
      <c r="ENF3" t="s">
        <v>3928</v>
      </c>
      <c r="ENG3" t="s">
        <v>3929</v>
      </c>
      <c r="ENH3" t="s">
        <v>3930</v>
      </c>
      <c r="ENI3" t="s">
        <v>3931</v>
      </c>
      <c r="ENJ3" t="s">
        <v>3932</v>
      </c>
      <c r="ENK3" t="s">
        <v>3933</v>
      </c>
      <c r="ENL3" t="s">
        <v>3934</v>
      </c>
      <c r="ENM3" t="s">
        <v>3935</v>
      </c>
      <c r="ENN3" t="s">
        <v>3936</v>
      </c>
      <c r="ENO3" t="s">
        <v>3937</v>
      </c>
      <c r="ENP3" t="s">
        <v>3938</v>
      </c>
      <c r="ENQ3" t="s">
        <v>3939</v>
      </c>
      <c r="ENR3" t="s">
        <v>3940</v>
      </c>
      <c r="ENS3" t="s">
        <v>3941</v>
      </c>
      <c r="ENT3" t="s">
        <v>3942</v>
      </c>
      <c r="ENU3" t="s">
        <v>3943</v>
      </c>
      <c r="ENV3" t="s">
        <v>3944</v>
      </c>
      <c r="ENW3" t="s">
        <v>3945</v>
      </c>
      <c r="ENX3" t="s">
        <v>3946</v>
      </c>
      <c r="ENY3" t="s">
        <v>3947</v>
      </c>
      <c r="ENZ3" t="s">
        <v>3948</v>
      </c>
      <c r="EOA3" t="s">
        <v>3949</v>
      </c>
      <c r="EOB3" t="s">
        <v>3950</v>
      </c>
      <c r="EOC3" t="s">
        <v>3951</v>
      </c>
      <c r="EOD3" t="s">
        <v>3952</v>
      </c>
      <c r="EOE3" t="s">
        <v>3953</v>
      </c>
      <c r="EOF3" t="s">
        <v>3954</v>
      </c>
      <c r="EOG3" t="s">
        <v>3955</v>
      </c>
      <c r="EOH3" t="s">
        <v>3956</v>
      </c>
      <c r="EOI3" t="s">
        <v>3957</v>
      </c>
      <c r="EOJ3" t="s">
        <v>3958</v>
      </c>
      <c r="EOK3" t="s">
        <v>3959</v>
      </c>
      <c r="EOL3" t="s">
        <v>3960</v>
      </c>
      <c r="EOM3" t="s">
        <v>3961</v>
      </c>
      <c r="EON3" t="s">
        <v>3962</v>
      </c>
      <c r="EOO3" t="s">
        <v>3963</v>
      </c>
      <c r="EOP3" t="s">
        <v>3964</v>
      </c>
      <c r="EOQ3" t="s">
        <v>3965</v>
      </c>
      <c r="EOR3" t="s">
        <v>3966</v>
      </c>
      <c r="EOS3" t="s">
        <v>3967</v>
      </c>
      <c r="EOT3" t="s">
        <v>3968</v>
      </c>
      <c r="EOU3" t="s">
        <v>3969</v>
      </c>
      <c r="EOV3" t="s">
        <v>3970</v>
      </c>
      <c r="EOW3" t="s">
        <v>3971</v>
      </c>
      <c r="EOX3" t="s">
        <v>3972</v>
      </c>
      <c r="EOY3" t="s">
        <v>3973</v>
      </c>
      <c r="EOZ3" t="s">
        <v>3974</v>
      </c>
      <c r="EPA3" t="s">
        <v>3975</v>
      </c>
      <c r="EPB3" t="s">
        <v>3976</v>
      </c>
      <c r="EPC3" t="s">
        <v>3977</v>
      </c>
      <c r="EPD3" t="s">
        <v>3978</v>
      </c>
      <c r="EPE3" t="s">
        <v>3979</v>
      </c>
      <c r="EPF3" t="s">
        <v>3980</v>
      </c>
      <c r="EPG3" t="s">
        <v>3981</v>
      </c>
      <c r="EPH3" t="s">
        <v>3982</v>
      </c>
      <c r="EPI3" t="s">
        <v>3983</v>
      </c>
      <c r="EPJ3" t="s">
        <v>3984</v>
      </c>
      <c r="EPK3" t="s">
        <v>3985</v>
      </c>
      <c r="EPL3" t="s">
        <v>3986</v>
      </c>
      <c r="EPM3" t="s">
        <v>3987</v>
      </c>
      <c r="EPN3" t="s">
        <v>3988</v>
      </c>
      <c r="EPO3" t="s">
        <v>3989</v>
      </c>
      <c r="EPP3" t="s">
        <v>3990</v>
      </c>
      <c r="EPQ3" t="s">
        <v>3991</v>
      </c>
      <c r="EPR3" t="s">
        <v>3992</v>
      </c>
      <c r="EPS3" t="s">
        <v>3993</v>
      </c>
      <c r="EPT3" t="s">
        <v>3994</v>
      </c>
      <c r="EPU3" t="s">
        <v>3995</v>
      </c>
      <c r="EPV3" t="s">
        <v>3996</v>
      </c>
      <c r="EPW3" t="s">
        <v>3997</v>
      </c>
      <c r="EPX3" t="s">
        <v>3998</v>
      </c>
      <c r="EPY3" t="s">
        <v>3999</v>
      </c>
      <c r="EPZ3" t="s">
        <v>4000</v>
      </c>
      <c r="EQA3" t="s">
        <v>4001</v>
      </c>
      <c r="EQB3" t="s">
        <v>4002</v>
      </c>
      <c r="EQC3" t="s">
        <v>4003</v>
      </c>
      <c r="EQD3" t="s">
        <v>4004</v>
      </c>
      <c r="EQE3" t="s">
        <v>4005</v>
      </c>
      <c r="EQF3" t="s">
        <v>4006</v>
      </c>
      <c r="EQG3" t="s">
        <v>4007</v>
      </c>
      <c r="EQH3" t="s">
        <v>4008</v>
      </c>
      <c r="EQI3" t="s">
        <v>4009</v>
      </c>
      <c r="EQJ3" t="s">
        <v>4010</v>
      </c>
      <c r="EQK3" t="s">
        <v>4011</v>
      </c>
      <c r="EQL3" t="s">
        <v>4012</v>
      </c>
      <c r="EQM3" t="s">
        <v>4013</v>
      </c>
      <c r="EQN3" t="s">
        <v>4014</v>
      </c>
      <c r="EQO3" t="s">
        <v>4015</v>
      </c>
      <c r="EQP3" t="s">
        <v>4016</v>
      </c>
      <c r="EQQ3" t="s">
        <v>4017</v>
      </c>
      <c r="EQR3" t="s">
        <v>4018</v>
      </c>
      <c r="EQS3" t="s">
        <v>4019</v>
      </c>
      <c r="EQT3" t="s">
        <v>4020</v>
      </c>
      <c r="EQU3" t="s">
        <v>4021</v>
      </c>
      <c r="EQV3" t="s">
        <v>4022</v>
      </c>
      <c r="EQW3" t="s">
        <v>4023</v>
      </c>
      <c r="EQX3" t="s">
        <v>4024</v>
      </c>
      <c r="EQY3" t="s">
        <v>4025</v>
      </c>
      <c r="EQZ3" t="s">
        <v>4026</v>
      </c>
      <c r="ERA3" t="s">
        <v>4027</v>
      </c>
      <c r="ERB3" t="s">
        <v>4028</v>
      </c>
      <c r="ERC3" t="s">
        <v>4029</v>
      </c>
      <c r="ERD3" t="s">
        <v>4030</v>
      </c>
      <c r="ERE3" t="s">
        <v>4031</v>
      </c>
      <c r="ERF3" t="s">
        <v>4032</v>
      </c>
      <c r="ERG3" t="s">
        <v>4033</v>
      </c>
      <c r="ERH3" t="s">
        <v>4034</v>
      </c>
      <c r="ERI3" t="s">
        <v>4035</v>
      </c>
      <c r="ERJ3" t="s">
        <v>4036</v>
      </c>
      <c r="ERK3" t="s">
        <v>4037</v>
      </c>
      <c r="ERL3" t="s">
        <v>4038</v>
      </c>
      <c r="ERM3" t="s">
        <v>4039</v>
      </c>
      <c r="ERN3" t="s">
        <v>4040</v>
      </c>
      <c r="ERO3" t="s">
        <v>4041</v>
      </c>
      <c r="ERP3" t="s">
        <v>4042</v>
      </c>
      <c r="ERQ3" t="s">
        <v>4043</v>
      </c>
      <c r="ERR3" t="s">
        <v>4044</v>
      </c>
      <c r="ERS3" t="s">
        <v>4045</v>
      </c>
      <c r="ERT3" t="s">
        <v>4046</v>
      </c>
      <c r="ERU3" t="s">
        <v>4047</v>
      </c>
      <c r="ERV3" t="s">
        <v>4048</v>
      </c>
      <c r="ERW3" t="s">
        <v>4049</v>
      </c>
      <c r="ERX3" t="s">
        <v>4050</v>
      </c>
      <c r="ERY3" t="s">
        <v>4051</v>
      </c>
      <c r="ERZ3" t="s">
        <v>4052</v>
      </c>
      <c r="ESA3" t="s">
        <v>4053</v>
      </c>
      <c r="ESB3" t="s">
        <v>4054</v>
      </c>
      <c r="ESC3" t="s">
        <v>4055</v>
      </c>
      <c r="ESD3" t="s">
        <v>4056</v>
      </c>
      <c r="ESE3" t="s">
        <v>4057</v>
      </c>
      <c r="ESF3" t="s">
        <v>4058</v>
      </c>
      <c r="ESG3" t="s">
        <v>4059</v>
      </c>
      <c r="ESH3" t="s">
        <v>4060</v>
      </c>
      <c r="ESI3" t="s">
        <v>4061</v>
      </c>
      <c r="ESJ3" t="s">
        <v>4062</v>
      </c>
      <c r="ESK3" t="s">
        <v>4063</v>
      </c>
      <c r="ESL3" t="s">
        <v>4064</v>
      </c>
      <c r="ESM3" t="s">
        <v>4065</v>
      </c>
      <c r="ESN3" t="s">
        <v>4066</v>
      </c>
      <c r="ESO3" t="s">
        <v>4067</v>
      </c>
      <c r="ESP3" t="s">
        <v>4068</v>
      </c>
      <c r="ESQ3" t="s">
        <v>4069</v>
      </c>
      <c r="ESR3" t="s">
        <v>4070</v>
      </c>
      <c r="ESS3" t="s">
        <v>4071</v>
      </c>
      <c r="EST3" t="s">
        <v>4072</v>
      </c>
      <c r="ESU3" t="s">
        <v>4073</v>
      </c>
      <c r="ESV3" t="s">
        <v>4074</v>
      </c>
      <c r="ESW3" t="s">
        <v>4075</v>
      </c>
      <c r="ESX3" t="s">
        <v>4076</v>
      </c>
      <c r="ESY3" t="s">
        <v>4077</v>
      </c>
      <c r="ESZ3" t="s">
        <v>4078</v>
      </c>
      <c r="ETA3" t="s">
        <v>4079</v>
      </c>
      <c r="ETB3" t="s">
        <v>4080</v>
      </c>
      <c r="ETC3" t="s">
        <v>4081</v>
      </c>
      <c r="ETD3" t="s">
        <v>4082</v>
      </c>
      <c r="ETE3" t="s">
        <v>4083</v>
      </c>
      <c r="ETF3" t="s">
        <v>4084</v>
      </c>
      <c r="ETG3" t="s">
        <v>4085</v>
      </c>
      <c r="ETH3" t="s">
        <v>4086</v>
      </c>
      <c r="ETI3" t="s">
        <v>4087</v>
      </c>
      <c r="ETJ3" t="s">
        <v>4088</v>
      </c>
      <c r="ETK3" t="s">
        <v>4089</v>
      </c>
      <c r="ETL3" t="s">
        <v>4090</v>
      </c>
      <c r="ETM3" t="s">
        <v>4091</v>
      </c>
      <c r="ETN3" t="s">
        <v>4092</v>
      </c>
      <c r="ETO3" t="s">
        <v>4093</v>
      </c>
      <c r="ETP3" t="s">
        <v>4094</v>
      </c>
      <c r="ETQ3" t="s">
        <v>4095</v>
      </c>
      <c r="ETR3" t="s">
        <v>4096</v>
      </c>
      <c r="ETS3" t="s">
        <v>4097</v>
      </c>
      <c r="ETT3" t="s">
        <v>4098</v>
      </c>
      <c r="ETU3" t="s">
        <v>4099</v>
      </c>
      <c r="ETV3" t="s">
        <v>4100</v>
      </c>
      <c r="ETW3" t="s">
        <v>4101</v>
      </c>
      <c r="ETX3" t="s">
        <v>4102</v>
      </c>
      <c r="ETY3" t="s">
        <v>4103</v>
      </c>
      <c r="ETZ3" t="s">
        <v>4104</v>
      </c>
      <c r="EUA3" t="s">
        <v>4105</v>
      </c>
      <c r="EUB3" t="s">
        <v>4106</v>
      </c>
      <c r="EUC3" t="s">
        <v>4107</v>
      </c>
      <c r="EUD3" t="s">
        <v>4108</v>
      </c>
      <c r="EUE3" t="s">
        <v>4109</v>
      </c>
      <c r="EUF3" t="s">
        <v>4110</v>
      </c>
      <c r="EUG3" t="s">
        <v>4111</v>
      </c>
      <c r="EUH3" t="s">
        <v>4112</v>
      </c>
      <c r="EUI3" t="s">
        <v>4113</v>
      </c>
      <c r="EUJ3" t="s">
        <v>4114</v>
      </c>
      <c r="EUK3" t="s">
        <v>4115</v>
      </c>
      <c r="EUL3" t="s">
        <v>4116</v>
      </c>
      <c r="EUM3" t="s">
        <v>4117</v>
      </c>
      <c r="EUN3" t="s">
        <v>4118</v>
      </c>
      <c r="EUO3" t="s">
        <v>4119</v>
      </c>
      <c r="EUP3" t="s">
        <v>4120</v>
      </c>
      <c r="EUQ3" t="s">
        <v>4121</v>
      </c>
      <c r="EUR3" t="s">
        <v>4122</v>
      </c>
      <c r="EUS3" t="s">
        <v>4123</v>
      </c>
      <c r="EUT3" t="s">
        <v>4124</v>
      </c>
      <c r="EUU3" t="s">
        <v>4125</v>
      </c>
      <c r="EUV3" t="s">
        <v>4126</v>
      </c>
      <c r="EUW3" t="s">
        <v>4127</v>
      </c>
      <c r="EUX3" t="s">
        <v>4128</v>
      </c>
      <c r="EUY3" t="s">
        <v>4129</v>
      </c>
      <c r="EUZ3" t="s">
        <v>4130</v>
      </c>
      <c r="EVA3" t="s">
        <v>4131</v>
      </c>
      <c r="EVB3" t="s">
        <v>4132</v>
      </c>
      <c r="EVC3" t="s">
        <v>4133</v>
      </c>
      <c r="EVD3" t="s">
        <v>4134</v>
      </c>
      <c r="EVE3" t="s">
        <v>4135</v>
      </c>
      <c r="EVF3" t="s">
        <v>4136</v>
      </c>
      <c r="EVG3" t="s">
        <v>4137</v>
      </c>
      <c r="EVH3" t="s">
        <v>4138</v>
      </c>
      <c r="EVI3" t="s">
        <v>4139</v>
      </c>
      <c r="EVJ3" t="s">
        <v>4140</v>
      </c>
      <c r="EVK3" t="s">
        <v>4141</v>
      </c>
      <c r="EVL3" t="s">
        <v>4142</v>
      </c>
      <c r="EVM3" t="s">
        <v>4143</v>
      </c>
      <c r="EVN3" t="s">
        <v>4144</v>
      </c>
      <c r="EVO3" t="s">
        <v>4145</v>
      </c>
      <c r="EVP3" t="s">
        <v>4146</v>
      </c>
      <c r="EVQ3" t="s">
        <v>4147</v>
      </c>
      <c r="EVR3" t="s">
        <v>4148</v>
      </c>
      <c r="EVS3" t="s">
        <v>4149</v>
      </c>
      <c r="EVT3" t="s">
        <v>4150</v>
      </c>
      <c r="EVU3" t="s">
        <v>4151</v>
      </c>
      <c r="EVV3" t="s">
        <v>4152</v>
      </c>
      <c r="EVW3" t="s">
        <v>4153</v>
      </c>
      <c r="EVX3" t="s">
        <v>4154</v>
      </c>
      <c r="EVY3" t="s">
        <v>4155</v>
      </c>
      <c r="EVZ3" t="s">
        <v>4156</v>
      </c>
      <c r="EWA3" t="s">
        <v>4157</v>
      </c>
      <c r="EWB3" t="s">
        <v>4158</v>
      </c>
      <c r="EWC3" t="s">
        <v>4159</v>
      </c>
      <c r="EWD3" t="s">
        <v>4160</v>
      </c>
      <c r="EWE3" t="s">
        <v>4161</v>
      </c>
      <c r="EWF3" t="s">
        <v>4162</v>
      </c>
      <c r="EWG3" t="s">
        <v>4163</v>
      </c>
      <c r="EWH3" t="s">
        <v>4164</v>
      </c>
      <c r="EWI3" t="s">
        <v>4165</v>
      </c>
      <c r="EWJ3" t="s">
        <v>4166</v>
      </c>
      <c r="EWK3" t="s">
        <v>4167</v>
      </c>
      <c r="EWL3" t="s">
        <v>4168</v>
      </c>
      <c r="EWM3" t="s">
        <v>4169</v>
      </c>
      <c r="EWN3" t="s">
        <v>4170</v>
      </c>
      <c r="EWO3" t="s">
        <v>4171</v>
      </c>
      <c r="EWP3" t="s">
        <v>4172</v>
      </c>
      <c r="EWQ3" t="s">
        <v>4173</v>
      </c>
      <c r="EWR3" t="s">
        <v>4174</v>
      </c>
      <c r="EWS3" t="s">
        <v>4175</v>
      </c>
      <c r="EWT3" t="s">
        <v>4176</v>
      </c>
      <c r="EWU3" t="s">
        <v>4177</v>
      </c>
      <c r="EWV3" t="s">
        <v>4178</v>
      </c>
      <c r="EWW3" t="s">
        <v>4179</v>
      </c>
      <c r="EWX3" t="s">
        <v>4180</v>
      </c>
      <c r="EWY3" t="s">
        <v>4181</v>
      </c>
      <c r="EWZ3" t="s">
        <v>4182</v>
      </c>
      <c r="EXA3" t="s">
        <v>4183</v>
      </c>
      <c r="EXB3" t="s">
        <v>4184</v>
      </c>
      <c r="EXC3" t="s">
        <v>4185</v>
      </c>
      <c r="EXD3" t="s">
        <v>4186</v>
      </c>
      <c r="EXE3" t="s">
        <v>4187</v>
      </c>
      <c r="EXF3" t="s">
        <v>4188</v>
      </c>
      <c r="EXG3" t="s">
        <v>4189</v>
      </c>
      <c r="EXH3" t="s">
        <v>4190</v>
      </c>
      <c r="EXI3" t="s">
        <v>4191</v>
      </c>
      <c r="EXJ3" t="s">
        <v>4192</v>
      </c>
      <c r="EXK3" t="s">
        <v>4193</v>
      </c>
      <c r="EXL3" t="s">
        <v>4194</v>
      </c>
      <c r="EXM3" t="s">
        <v>4195</v>
      </c>
      <c r="EXN3" t="s">
        <v>4196</v>
      </c>
      <c r="EXO3" t="s">
        <v>4197</v>
      </c>
      <c r="EXP3" t="s">
        <v>4198</v>
      </c>
      <c r="EXQ3" t="s">
        <v>4199</v>
      </c>
      <c r="EXR3" t="s">
        <v>4200</v>
      </c>
      <c r="EXS3" t="s">
        <v>4201</v>
      </c>
      <c r="EXT3" t="s">
        <v>4202</v>
      </c>
      <c r="EXU3" t="s">
        <v>4203</v>
      </c>
      <c r="EXV3" t="s">
        <v>4204</v>
      </c>
      <c r="EXW3" t="s">
        <v>4205</v>
      </c>
      <c r="EXX3" t="s">
        <v>4206</v>
      </c>
      <c r="EXY3" t="s">
        <v>4207</v>
      </c>
      <c r="EXZ3" t="s">
        <v>4208</v>
      </c>
      <c r="EYA3" t="s">
        <v>4209</v>
      </c>
      <c r="EYB3" t="s">
        <v>4210</v>
      </c>
      <c r="EYC3" t="s">
        <v>4211</v>
      </c>
      <c r="EYD3" t="s">
        <v>4212</v>
      </c>
      <c r="EYE3" t="s">
        <v>4213</v>
      </c>
      <c r="EYF3" t="s">
        <v>4214</v>
      </c>
      <c r="EYG3" t="s">
        <v>4215</v>
      </c>
      <c r="EYH3" t="s">
        <v>4216</v>
      </c>
      <c r="EYI3" t="s">
        <v>4217</v>
      </c>
      <c r="EYJ3" t="s">
        <v>4218</v>
      </c>
      <c r="EYK3" t="s">
        <v>4219</v>
      </c>
      <c r="EYL3" t="s">
        <v>4220</v>
      </c>
      <c r="EYM3" t="s">
        <v>4221</v>
      </c>
      <c r="EYN3" t="s">
        <v>4222</v>
      </c>
      <c r="EYO3" t="s">
        <v>4223</v>
      </c>
      <c r="EYP3" t="s">
        <v>4224</v>
      </c>
      <c r="EYQ3" t="s">
        <v>4225</v>
      </c>
      <c r="EYR3" t="s">
        <v>4226</v>
      </c>
      <c r="EYS3" t="s">
        <v>4227</v>
      </c>
      <c r="EYT3" t="s">
        <v>4228</v>
      </c>
      <c r="EYU3" t="s">
        <v>4229</v>
      </c>
      <c r="EYV3" t="s">
        <v>4230</v>
      </c>
      <c r="EYW3" t="s">
        <v>4231</v>
      </c>
      <c r="EYX3" t="s">
        <v>4232</v>
      </c>
      <c r="EYY3" t="s">
        <v>4233</v>
      </c>
      <c r="EYZ3" t="s">
        <v>4234</v>
      </c>
      <c r="EZA3" t="s">
        <v>4235</v>
      </c>
      <c r="EZB3" t="s">
        <v>4236</v>
      </c>
      <c r="EZC3" t="s">
        <v>4237</v>
      </c>
      <c r="EZD3" t="s">
        <v>4238</v>
      </c>
      <c r="EZE3" t="s">
        <v>4239</v>
      </c>
      <c r="EZF3" t="s">
        <v>4240</v>
      </c>
      <c r="EZG3" t="s">
        <v>4241</v>
      </c>
      <c r="EZH3" t="s">
        <v>4242</v>
      </c>
      <c r="EZI3" t="s">
        <v>4243</v>
      </c>
      <c r="EZJ3" t="s">
        <v>4244</v>
      </c>
      <c r="EZK3" t="s">
        <v>4245</v>
      </c>
      <c r="EZL3" t="s">
        <v>4246</v>
      </c>
      <c r="EZM3" t="s">
        <v>4247</v>
      </c>
      <c r="EZN3" t="s">
        <v>4248</v>
      </c>
      <c r="EZO3" t="s">
        <v>4249</v>
      </c>
      <c r="EZP3" t="s">
        <v>4250</v>
      </c>
      <c r="EZQ3" t="s">
        <v>4251</v>
      </c>
      <c r="EZR3" t="s">
        <v>4252</v>
      </c>
      <c r="EZS3" t="s">
        <v>4253</v>
      </c>
      <c r="EZT3" t="s">
        <v>4254</v>
      </c>
      <c r="EZU3" t="s">
        <v>4255</v>
      </c>
      <c r="EZV3" t="s">
        <v>4256</v>
      </c>
      <c r="EZW3" t="s">
        <v>4257</v>
      </c>
      <c r="EZX3" t="s">
        <v>4258</v>
      </c>
      <c r="EZY3" t="s">
        <v>4259</v>
      </c>
      <c r="EZZ3" t="s">
        <v>4260</v>
      </c>
      <c r="FAA3" t="s">
        <v>4261</v>
      </c>
      <c r="FAB3" t="s">
        <v>4262</v>
      </c>
      <c r="FAC3" t="s">
        <v>4263</v>
      </c>
      <c r="FAD3" t="s">
        <v>4264</v>
      </c>
      <c r="FAE3" t="s">
        <v>4265</v>
      </c>
      <c r="FAF3" t="s">
        <v>4266</v>
      </c>
      <c r="FAG3" t="s">
        <v>4267</v>
      </c>
      <c r="FAH3" t="s">
        <v>4268</v>
      </c>
      <c r="FAI3" t="s">
        <v>4269</v>
      </c>
      <c r="FAJ3" t="s">
        <v>4270</v>
      </c>
      <c r="FAK3" t="s">
        <v>4271</v>
      </c>
      <c r="FAL3" t="s">
        <v>4272</v>
      </c>
      <c r="FAM3" t="s">
        <v>4273</v>
      </c>
      <c r="FAN3" t="s">
        <v>4274</v>
      </c>
      <c r="FAO3" t="s">
        <v>4275</v>
      </c>
      <c r="FAP3" t="s">
        <v>4276</v>
      </c>
      <c r="FAQ3" t="s">
        <v>4277</v>
      </c>
      <c r="FAR3" t="s">
        <v>4278</v>
      </c>
      <c r="FAS3" t="s">
        <v>4279</v>
      </c>
      <c r="FAT3" t="s">
        <v>4280</v>
      </c>
      <c r="FAU3" t="s">
        <v>4281</v>
      </c>
      <c r="FAV3" t="s">
        <v>4282</v>
      </c>
      <c r="FAW3" t="s">
        <v>4283</v>
      </c>
      <c r="FAX3" t="s">
        <v>4284</v>
      </c>
      <c r="FAY3" t="s">
        <v>4285</v>
      </c>
      <c r="FAZ3" t="s">
        <v>4286</v>
      </c>
      <c r="FBA3" t="s">
        <v>4287</v>
      </c>
      <c r="FBB3" t="s">
        <v>4288</v>
      </c>
      <c r="FBC3" t="s">
        <v>4289</v>
      </c>
      <c r="FBD3" t="s">
        <v>4290</v>
      </c>
      <c r="FBE3" t="s">
        <v>4291</v>
      </c>
      <c r="FBF3" t="s">
        <v>4292</v>
      </c>
      <c r="FBG3" t="s">
        <v>4293</v>
      </c>
      <c r="FBH3" t="s">
        <v>4294</v>
      </c>
      <c r="FBI3" t="s">
        <v>4295</v>
      </c>
      <c r="FBJ3" t="s">
        <v>4296</v>
      </c>
      <c r="FBK3" t="s">
        <v>4297</v>
      </c>
      <c r="FBL3" t="s">
        <v>4298</v>
      </c>
      <c r="FBM3" t="s">
        <v>4299</v>
      </c>
      <c r="FBN3" t="s">
        <v>4300</v>
      </c>
      <c r="FBO3" t="s">
        <v>4301</v>
      </c>
      <c r="FBP3" t="s">
        <v>4302</v>
      </c>
      <c r="FBQ3" t="s">
        <v>4303</v>
      </c>
      <c r="FBR3" t="s">
        <v>4304</v>
      </c>
      <c r="FBS3" t="s">
        <v>4305</v>
      </c>
      <c r="FBT3" t="s">
        <v>4306</v>
      </c>
      <c r="FBU3" t="s">
        <v>4307</v>
      </c>
      <c r="FBV3" t="s">
        <v>4308</v>
      </c>
      <c r="FBW3" t="s">
        <v>4309</v>
      </c>
      <c r="FBX3" t="s">
        <v>4310</v>
      </c>
      <c r="FBY3" t="s">
        <v>4311</v>
      </c>
      <c r="FBZ3" t="s">
        <v>4312</v>
      </c>
      <c r="FCA3" t="s">
        <v>4313</v>
      </c>
      <c r="FCB3" t="s">
        <v>4314</v>
      </c>
      <c r="FCC3" t="s">
        <v>4315</v>
      </c>
      <c r="FCD3" t="s">
        <v>4316</v>
      </c>
      <c r="FCE3" t="s">
        <v>4317</v>
      </c>
      <c r="FCF3" t="s">
        <v>4318</v>
      </c>
      <c r="FCG3" t="s">
        <v>4319</v>
      </c>
      <c r="FCH3" t="s">
        <v>4320</v>
      </c>
      <c r="FCI3" t="s">
        <v>4321</v>
      </c>
      <c r="FCJ3" t="s">
        <v>4322</v>
      </c>
      <c r="FCK3" t="s">
        <v>4323</v>
      </c>
      <c r="FCL3" t="s">
        <v>4324</v>
      </c>
      <c r="FCM3" t="s">
        <v>4325</v>
      </c>
      <c r="FCN3" t="s">
        <v>4326</v>
      </c>
      <c r="FCO3" t="s">
        <v>4327</v>
      </c>
      <c r="FCP3" t="s">
        <v>4328</v>
      </c>
      <c r="FCQ3" t="s">
        <v>4329</v>
      </c>
      <c r="FCR3" t="s">
        <v>4330</v>
      </c>
      <c r="FCS3" t="s">
        <v>4331</v>
      </c>
      <c r="FCT3" t="s">
        <v>4332</v>
      </c>
      <c r="FCU3" t="s">
        <v>4333</v>
      </c>
      <c r="FCV3" t="s">
        <v>4334</v>
      </c>
      <c r="FCW3" t="s">
        <v>4335</v>
      </c>
      <c r="FCX3" t="s">
        <v>4336</v>
      </c>
      <c r="FCY3" t="s">
        <v>4337</v>
      </c>
      <c r="FCZ3" t="s">
        <v>4338</v>
      </c>
      <c r="FDA3" t="s">
        <v>4339</v>
      </c>
      <c r="FDB3" t="s">
        <v>4340</v>
      </c>
      <c r="FDC3" t="s">
        <v>4341</v>
      </c>
      <c r="FDD3" t="s">
        <v>4342</v>
      </c>
      <c r="FDE3" t="s">
        <v>4343</v>
      </c>
      <c r="FDF3" t="s">
        <v>4344</v>
      </c>
      <c r="FDG3" t="s">
        <v>4345</v>
      </c>
      <c r="FDH3" t="s">
        <v>4346</v>
      </c>
      <c r="FDI3" t="s">
        <v>4347</v>
      </c>
      <c r="FDJ3" t="s">
        <v>4348</v>
      </c>
      <c r="FDK3" t="s">
        <v>4349</v>
      </c>
      <c r="FDL3" t="s">
        <v>4350</v>
      </c>
      <c r="FDM3" t="s">
        <v>4351</v>
      </c>
      <c r="FDN3" t="s">
        <v>4352</v>
      </c>
      <c r="FDO3" t="s">
        <v>4353</v>
      </c>
      <c r="FDP3" t="s">
        <v>4354</v>
      </c>
      <c r="FDQ3" t="s">
        <v>4355</v>
      </c>
      <c r="FDR3" t="s">
        <v>4356</v>
      </c>
      <c r="FDS3" t="s">
        <v>4357</v>
      </c>
      <c r="FDT3" t="s">
        <v>4358</v>
      </c>
      <c r="FDU3" t="s">
        <v>4359</v>
      </c>
      <c r="FDV3" t="s">
        <v>4360</v>
      </c>
      <c r="FDW3" t="s">
        <v>4361</v>
      </c>
      <c r="FDX3" t="s">
        <v>4362</v>
      </c>
      <c r="FDY3" t="s">
        <v>4363</v>
      </c>
      <c r="FDZ3" t="s">
        <v>4364</v>
      </c>
      <c r="FEA3" t="s">
        <v>4365</v>
      </c>
      <c r="FEB3" t="s">
        <v>4366</v>
      </c>
      <c r="FEC3" t="s">
        <v>4367</v>
      </c>
      <c r="FED3" t="s">
        <v>4368</v>
      </c>
      <c r="FEE3" t="s">
        <v>4369</v>
      </c>
      <c r="FEF3" t="s">
        <v>4370</v>
      </c>
      <c r="FEG3" t="s">
        <v>4371</v>
      </c>
      <c r="FEH3" t="s">
        <v>4372</v>
      </c>
      <c r="FEI3" t="s">
        <v>4373</v>
      </c>
      <c r="FEJ3" t="s">
        <v>4374</v>
      </c>
      <c r="FEK3" t="s">
        <v>4375</v>
      </c>
      <c r="FEL3" t="s">
        <v>4376</v>
      </c>
      <c r="FEM3" t="s">
        <v>4377</v>
      </c>
      <c r="FEN3" t="s">
        <v>4378</v>
      </c>
      <c r="FEO3" t="s">
        <v>4379</v>
      </c>
      <c r="FEP3" t="s">
        <v>4380</v>
      </c>
      <c r="FEQ3" t="s">
        <v>4381</v>
      </c>
      <c r="FER3" t="s">
        <v>4382</v>
      </c>
      <c r="FES3" t="s">
        <v>4383</v>
      </c>
      <c r="FET3" t="s">
        <v>4384</v>
      </c>
      <c r="FEU3" t="s">
        <v>4385</v>
      </c>
      <c r="FEV3" t="s">
        <v>4386</v>
      </c>
      <c r="FEW3" t="s">
        <v>4387</v>
      </c>
      <c r="FEX3" t="s">
        <v>4388</v>
      </c>
      <c r="FEY3" t="s">
        <v>4389</v>
      </c>
      <c r="FEZ3" t="s">
        <v>4390</v>
      </c>
      <c r="FFA3" t="s">
        <v>4391</v>
      </c>
      <c r="FFB3" t="s">
        <v>4392</v>
      </c>
      <c r="FFC3" t="s">
        <v>4393</v>
      </c>
      <c r="FFD3" t="s">
        <v>4394</v>
      </c>
      <c r="FFE3" t="s">
        <v>4395</v>
      </c>
      <c r="FFF3" t="s">
        <v>4396</v>
      </c>
      <c r="FFG3" t="s">
        <v>4397</v>
      </c>
      <c r="FFH3" t="s">
        <v>4398</v>
      </c>
      <c r="FFI3" t="s">
        <v>4399</v>
      </c>
      <c r="FFJ3" t="s">
        <v>4400</v>
      </c>
      <c r="FFK3" t="s">
        <v>4401</v>
      </c>
      <c r="FFL3" t="s">
        <v>4402</v>
      </c>
      <c r="FFM3" t="s">
        <v>4403</v>
      </c>
      <c r="FFN3" t="s">
        <v>4404</v>
      </c>
      <c r="FFO3" t="s">
        <v>4405</v>
      </c>
      <c r="FFP3" t="s">
        <v>4406</v>
      </c>
      <c r="FFQ3" t="s">
        <v>4407</v>
      </c>
      <c r="FFR3" t="s">
        <v>4408</v>
      </c>
      <c r="FFS3" t="s">
        <v>4409</v>
      </c>
      <c r="FFT3" t="s">
        <v>4410</v>
      </c>
      <c r="FFU3" t="s">
        <v>4411</v>
      </c>
      <c r="FFV3" t="s">
        <v>4412</v>
      </c>
      <c r="FFW3" t="s">
        <v>4413</v>
      </c>
      <c r="FFX3" t="s">
        <v>4414</v>
      </c>
      <c r="FFY3" t="s">
        <v>4415</v>
      </c>
      <c r="FFZ3" t="s">
        <v>4416</v>
      </c>
      <c r="FGA3" t="s">
        <v>4417</v>
      </c>
      <c r="FGB3" t="s">
        <v>4418</v>
      </c>
      <c r="FGC3" t="s">
        <v>4419</v>
      </c>
      <c r="FGD3" t="s">
        <v>4420</v>
      </c>
      <c r="FGE3" t="s">
        <v>4421</v>
      </c>
      <c r="FGF3" t="s">
        <v>4422</v>
      </c>
      <c r="FGG3" t="s">
        <v>4423</v>
      </c>
      <c r="FGH3" t="s">
        <v>4424</v>
      </c>
      <c r="FGI3" t="s">
        <v>4425</v>
      </c>
      <c r="FGJ3" t="s">
        <v>4426</v>
      </c>
      <c r="FGK3" t="s">
        <v>4427</v>
      </c>
      <c r="FGL3" t="s">
        <v>4428</v>
      </c>
      <c r="FGM3" t="s">
        <v>4429</v>
      </c>
      <c r="FGN3" t="s">
        <v>4430</v>
      </c>
      <c r="FGO3" t="s">
        <v>4431</v>
      </c>
      <c r="FGP3" t="s">
        <v>4432</v>
      </c>
      <c r="FGQ3" t="s">
        <v>4433</v>
      </c>
      <c r="FGR3" t="s">
        <v>4434</v>
      </c>
      <c r="FGS3" t="s">
        <v>4435</v>
      </c>
      <c r="FGT3" t="s">
        <v>4436</v>
      </c>
      <c r="FGU3" t="s">
        <v>4437</v>
      </c>
      <c r="FGV3" t="s">
        <v>4438</v>
      </c>
      <c r="FGW3" t="s">
        <v>4439</v>
      </c>
      <c r="FGX3" t="s">
        <v>4440</v>
      </c>
      <c r="FGY3" t="s">
        <v>4441</v>
      </c>
      <c r="FGZ3" t="s">
        <v>4442</v>
      </c>
      <c r="FHA3" t="s">
        <v>4443</v>
      </c>
      <c r="FHB3" t="s">
        <v>4444</v>
      </c>
      <c r="FHC3" t="s">
        <v>4445</v>
      </c>
      <c r="FHD3" t="s">
        <v>4446</v>
      </c>
      <c r="FHE3" t="s">
        <v>4447</v>
      </c>
      <c r="FHF3" t="s">
        <v>4448</v>
      </c>
      <c r="FHG3" t="s">
        <v>4449</v>
      </c>
      <c r="FHH3" t="s">
        <v>4450</v>
      </c>
      <c r="FHI3" t="s">
        <v>4451</v>
      </c>
      <c r="FHJ3" t="s">
        <v>4452</v>
      </c>
      <c r="FHK3" t="s">
        <v>4453</v>
      </c>
      <c r="FHL3" t="s">
        <v>4454</v>
      </c>
      <c r="FHM3" t="s">
        <v>4455</v>
      </c>
      <c r="FHN3" t="s">
        <v>4456</v>
      </c>
      <c r="FHO3" t="s">
        <v>4457</v>
      </c>
      <c r="FHP3" t="s">
        <v>4458</v>
      </c>
      <c r="FHQ3" t="s">
        <v>4459</v>
      </c>
      <c r="FHR3" t="s">
        <v>4460</v>
      </c>
      <c r="FHS3" t="s">
        <v>4461</v>
      </c>
      <c r="FHT3" t="s">
        <v>4462</v>
      </c>
      <c r="FHU3" t="s">
        <v>4463</v>
      </c>
      <c r="FHV3" t="s">
        <v>4464</v>
      </c>
      <c r="FHW3" t="s">
        <v>4465</v>
      </c>
      <c r="FHX3" t="s">
        <v>4466</v>
      </c>
      <c r="FHY3" t="s">
        <v>4467</v>
      </c>
      <c r="FHZ3" t="s">
        <v>4468</v>
      </c>
      <c r="FIA3" t="s">
        <v>4469</v>
      </c>
      <c r="FIB3" t="s">
        <v>4470</v>
      </c>
      <c r="FIC3" t="s">
        <v>4471</v>
      </c>
      <c r="FID3" t="s">
        <v>4472</v>
      </c>
      <c r="FIE3" t="s">
        <v>4473</v>
      </c>
      <c r="FIF3" t="s">
        <v>4474</v>
      </c>
      <c r="FIG3" t="s">
        <v>4475</v>
      </c>
      <c r="FIH3" t="s">
        <v>4476</v>
      </c>
      <c r="FII3" t="s">
        <v>4477</v>
      </c>
      <c r="FIJ3" t="s">
        <v>4478</v>
      </c>
      <c r="FIK3" t="s">
        <v>4479</v>
      </c>
      <c r="FIL3" t="s">
        <v>4480</v>
      </c>
      <c r="FIM3" t="s">
        <v>4481</v>
      </c>
      <c r="FIN3" t="s">
        <v>4482</v>
      </c>
      <c r="FIO3" t="s">
        <v>4483</v>
      </c>
      <c r="FIP3" t="s">
        <v>4484</v>
      </c>
      <c r="FIQ3" t="s">
        <v>4485</v>
      </c>
      <c r="FIR3" t="s">
        <v>4486</v>
      </c>
      <c r="FIS3" t="s">
        <v>4487</v>
      </c>
      <c r="FIT3" t="s">
        <v>4488</v>
      </c>
      <c r="FIU3" t="s">
        <v>4489</v>
      </c>
      <c r="FIV3" t="s">
        <v>4490</v>
      </c>
      <c r="FIW3" t="s">
        <v>4491</v>
      </c>
      <c r="FIX3" t="s">
        <v>4492</v>
      </c>
      <c r="FIY3" t="s">
        <v>4493</v>
      </c>
      <c r="FIZ3" t="s">
        <v>4494</v>
      </c>
      <c r="FJA3" t="s">
        <v>4495</v>
      </c>
      <c r="FJB3" t="s">
        <v>4496</v>
      </c>
      <c r="FJC3" t="s">
        <v>4497</v>
      </c>
      <c r="FJD3" t="s">
        <v>4498</v>
      </c>
      <c r="FJE3" t="s">
        <v>4499</v>
      </c>
      <c r="FJF3" t="s">
        <v>4500</v>
      </c>
      <c r="FJG3" t="s">
        <v>4501</v>
      </c>
      <c r="FJH3" t="s">
        <v>4502</v>
      </c>
      <c r="FJI3" t="s">
        <v>4503</v>
      </c>
      <c r="FJJ3" t="s">
        <v>4504</v>
      </c>
      <c r="FJK3" t="s">
        <v>4505</v>
      </c>
      <c r="FJL3" t="s">
        <v>4506</v>
      </c>
      <c r="FJM3" t="s">
        <v>4507</v>
      </c>
      <c r="FJN3" t="s">
        <v>4508</v>
      </c>
      <c r="FJO3" t="s">
        <v>4509</v>
      </c>
      <c r="FJP3" t="s">
        <v>4510</v>
      </c>
      <c r="FJQ3" t="s">
        <v>4511</v>
      </c>
      <c r="FJR3" t="s">
        <v>4512</v>
      </c>
      <c r="FJS3" t="s">
        <v>4513</v>
      </c>
      <c r="FJT3" t="s">
        <v>4514</v>
      </c>
      <c r="FJU3" t="s">
        <v>4515</v>
      </c>
      <c r="FJV3" t="s">
        <v>4516</v>
      </c>
      <c r="FJW3" t="s">
        <v>4517</v>
      </c>
      <c r="FJX3" t="s">
        <v>4518</v>
      </c>
      <c r="FJY3" t="s">
        <v>4519</v>
      </c>
      <c r="FJZ3" t="s">
        <v>4520</v>
      </c>
      <c r="FKA3" t="s">
        <v>4521</v>
      </c>
      <c r="FKB3" t="s">
        <v>4522</v>
      </c>
      <c r="FKC3" t="s">
        <v>4523</v>
      </c>
      <c r="FKD3" t="s">
        <v>4524</v>
      </c>
      <c r="FKE3" t="s">
        <v>4525</v>
      </c>
      <c r="FKF3" t="s">
        <v>4526</v>
      </c>
      <c r="FKG3" t="s">
        <v>4527</v>
      </c>
      <c r="FKH3" t="s">
        <v>4528</v>
      </c>
      <c r="FKI3" t="s">
        <v>4529</v>
      </c>
      <c r="FKJ3" t="s">
        <v>4530</v>
      </c>
      <c r="FKK3" t="s">
        <v>4531</v>
      </c>
      <c r="FKL3" t="s">
        <v>4532</v>
      </c>
      <c r="FKM3" t="s">
        <v>4533</v>
      </c>
      <c r="FKN3" t="s">
        <v>4534</v>
      </c>
      <c r="FKO3" t="s">
        <v>4535</v>
      </c>
      <c r="FKP3" t="s">
        <v>4536</v>
      </c>
      <c r="FKQ3" t="s">
        <v>4537</v>
      </c>
      <c r="FKR3" t="s">
        <v>4538</v>
      </c>
      <c r="FKS3" t="s">
        <v>4539</v>
      </c>
      <c r="FKT3" t="s">
        <v>4540</v>
      </c>
      <c r="FKU3" t="s">
        <v>4541</v>
      </c>
      <c r="FKV3" t="s">
        <v>4542</v>
      </c>
      <c r="FKW3" t="s">
        <v>4543</v>
      </c>
      <c r="FKX3" t="s">
        <v>4544</v>
      </c>
      <c r="FKY3" t="s">
        <v>4545</v>
      </c>
      <c r="FKZ3" t="s">
        <v>4546</v>
      </c>
      <c r="FLA3" t="s">
        <v>4547</v>
      </c>
      <c r="FLB3" t="s">
        <v>4548</v>
      </c>
      <c r="FLC3" t="s">
        <v>4549</v>
      </c>
      <c r="FLD3" t="s">
        <v>4550</v>
      </c>
      <c r="FLE3" t="s">
        <v>4551</v>
      </c>
      <c r="FLF3" t="s">
        <v>4552</v>
      </c>
      <c r="FLG3" t="s">
        <v>4553</v>
      </c>
      <c r="FLH3" t="s">
        <v>4554</v>
      </c>
      <c r="FLI3" t="s">
        <v>4555</v>
      </c>
      <c r="FLJ3" t="s">
        <v>4556</v>
      </c>
      <c r="FLK3" t="s">
        <v>4557</v>
      </c>
      <c r="FLL3" t="s">
        <v>4558</v>
      </c>
      <c r="FLM3" t="s">
        <v>4559</v>
      </c>
      <c r="FLN3" t="s">
        <v>4560</v>
      </c>
      <c r="FLO3" t="s">
        <v>4561</v>
      </c>
      <c r="FLP3" t="s">
        <v>4562</v>
      </c>
      <c r="FLQ3" t="s">
        <v>4563</v>
      </c>
      <c r="FLR3" t="s">
        <v>4564</v>
      </c>
      <c r="FLS3" t="s">
        <v>4565</v>
      </c>
      <c r="FLT3" t="s">
        <v>4566</v>
      </c>
      <c r="FLU3" t="s">
        <v>4567</v>
      </c>
      <c r="FLV3" t="s">
        <v>4568</v>
      </c>
      <c r="FLW3" t="s">
        <v>4569</v>
      </c>
      <c r="FLX3" t="s">
        <v>4570</v>
      </c>
      <c r="FLY3" t="s">
        <v>4571</v>
      </c>
      <c r="FLZ3" t="s">
        <v>4572</v>
      </c>
      <c r="FMA3" t="s">
        <v>4573</v>
      </c>
      <c r="FMB3" t="s">
        <v>4574</v>
      </c>
      <c r="FMC3" t="s">
        <v>4575</v>
      </c>
      <c r="FMD3" t="s">
        <v>4576</v>
      </c>
      <c r="FME3" t="s">
        <v>4577</v>
      </c>
      <c r="FMF3" t="s">
        <v>4578</v>
      </c>
      <c r="FMG3" t="s">
        <v>4579</v>
      </c>
      <c r="FMH3" t="s">
        <v>4580</v>
      </c>
      <c r="FMI3" t="s">
        <v>4581</v>
      </c>
      <c r="FMJ3" t="s">
        <v>4582</v>
      </c>
      <c r="FMK3" t="s">
        <v>4583</v>
      </c>
      <c r="FML3" t="s">
        <v>4584</v>
      </c>
      <c r="FMM3" t="s">
        <v>4585</v>
      </c>
      <c r="FMN3" t="s">
        <v>4586</v>
      </c>
      <c r="FMO3" t="s">
        <v>4587</v>
      </c>
      <c r="FMP3" t="s">
        <v>4588</v>
      </c>
      <c r="FMQ3" t="s">
        <v>4589</v>
      </c>
      <c r="FMR3" t="s">
        <v>4590</v>
      </c>
      <c r="FMS3" t="s">
        <v>4591</v>
      </c>
      <c r="FMT3" t="s">
        <v>4592</v>
      </c>
      <c r="FMU3" t="s">
        <v>4593</v>
      </c>
      <c r="FMV3" t="s">
        <v>4594</v>
      </c>
      <c r="FMW3" t="s">
        <v>4595</v>
      </c>
      <c r="FMX3" t="s">
        <v>4596</v>
      </c>
      <c r="FMY3" t="s">
        <v>4597</v>
      </c>
      <c r="FMZ3" t="s">
        <v>4598</v>
      </c>
      <c r="FNA3" t="s">
        <v>4599</v>
      </c>
      <c r="FNB3" t="s">
        <v>4600</v>
      </c>
      <c r="FNC3" t="s">
        <v>4601</v>
      </c>
      <c r="FND3" t="s">
        <v>4602</v>
      </c>
      <c r="FNE3" t="s">
        <v>4603</v>
      </c>
      <c r="FNF3" t="s">
        <v>4604</v>
      </c>
      <c r="FNG3" t="s">
        <v>4605</v>
      </c>
      <c r="FNH3" t="s">
        <v>4606</v>
      </c>
      <c r="FNI3" t="s">
        <v>4607</v>
      </c>
      <c r="FNJ3" t="s">
        <v>4608</v>
      </c>
      <c r="FNK3" t="s">
        <v>4609</v>
      </c>
      <c r="FNL3" t="s">
        <v>4610</v>
      </c>
      <c r="FNM3" t="s">
        <v>4611</v>
      </c>
      <c r="FNN3" t="s">
        <v>4612</v>
      </c>
      <c r="FNO3" t="s">
        <v>4613</v>
      </c>
      <c r="FNP3" t="s">
        <v>4614</v>
      </c>
      <c r="FNQ3" t="s">
        <v>4615</v>
      </c>
      <c r="FNR3" t="s">
        <v>4616</v>
      </c>
      <c r="FNS3" t="s">
        <v>4617</v>
      </c>
      <c r="FNT3" t="s">
        <v>4618</v>
      </c>
      <c r="FNU3" t="s">
        <v>4619</v>
      </c>
      <c r="FNV3" t="s">
        <v>4620</v>
      </c>
      <c r="FNW3" t="s">
        <v>4621</v>
      </c>
      <c r="FNX3" t="s">
        <v>4622</v>
      </c>
      <c r="FNY3" t="s">
        <v>4623</v>
      </c>
      <c r="FNZ3" t="s">
        <v>4624</v>
      </c>
      <c r="FOA3" t="s">
        <v>4625</v>
      </c>
      <c r="FOB3" t="s">
        <v>4626</v>
      </c>
      <c r="FOC3" t="s">
        <v>4627</v>
      </c>
      <c r="FOD3" t="s">
        <v>4628</v>
      </c>
      <c r="FOE3" t="s">
        <v>4629</v>
      </c>
      <c r="FOF3" t="s">
        <v>4630</v>
      </c>
      <c r="FOG3" t="s">
        <v>4631</v>
      </c>
      <c r="FOH3" t="s">
        <v>4632</v>
      </c>
      <c r="FOI3" t="s">
        <v>4633</v>
      </c>
      <c r="FOJ3" t="s">
        <v>4634</v>
      </c>
      <c r="FOK3" t="s">
        <v>4635</v>
      </c>
      <c r="FOL3" t="s">
        <v>4636</v>
      </c>
      <c r="FOM3" t="s">
        <v>4637</v>
      </c>
      <c r="FON3" t="s">
        <v>4638</v>
      </c>
      <c r="FOO3" t="s">
        <v>4639</v>
      </c>
      <c r="FOP3" t="s">
        <v>4640</v>
      </c>
      <c r="FOQ3" t="s">
        <v>4641</v>
      </c>
      <c r="FOR3" t="s">
        <v>4642</v>
      </c>
      <c r="FOS3" t="s">
        <v>4643</v>
      </c>
      <c r="FOT3" t="s">
        <v>4644</v>
      </c>
      <c r="FOU3" t="s">
        <v>4645</v>
      </c>
      <c r="FOV3" t="s">
        <v>4646</v>
      </c>
      <c r="FOW3" t="s">
        <v>4647</v>
      </c>
      <c r="FOX3" t="s">
        <v>4648</v>
      </c>
      <c r="FOY3" t="s">
        <v>4649</v>
      </c>
      <c r="FOZ3" t="s">
        <v>4650</v>
      </c>
      <c r="FPA3" t="s">
        <v>4651</v>
      </c>
      <c r="FPB3" t="s">
        <v>4652</v>
      </c>
      <c r="FPC3" t="s">
        <v>4653</v>
      </c>
      <c r="FPD3" t="s">
        <v>4654</v>
      </c>
      <c r="FPE3" t="s">
        <v>4655</v>
      </c>
      <c r="FPF3" t="s">
        <v>4656</v>
      </c>
      <c r="FPG3" t="s">
        <v>4657</v>
      </c>
      <c r="FPH3" t="s">
        <v>4658</v>
      </c>
      <c r="FPI3" t="s">
        <v>4659</v>
      </c>
      <c r="FPJ3" t="s">
        <v>4660</v>
      </c>
      <c r="FPK3" t="s">
        <v>4661</v>
      </c>
      <c r="FPL3" t="s">
        <v>4662</v>
      </c>
      <c r="FPM3" t="s">
        <v>4663</v>
      </c>
      <c r="FPN3" t="s">
        <v>4664</v>
      </c>
      <c r="FPO3" t="s">
        <v>4665</v>
      </c>
      <c r="FPP3" t="s">
        <v>4666</v>
      </c>
      <c r="FPQ3" t="s">
        <v>4667</v>
      </c>
      <c r="FPR3" t="s">
        <v>4668</v>
      </c>
      <c r="FPS3" t="s">
        <v>4669</v>
      </c>
      <c r="FPT3" t="s">
        <v>4670</v>
      </c>
      <c r="FPU3" t="s">
        <v>4671</v>
      </c>
      <c r="FPV3" t="s">
        <v>4672</v>
      </c>
      <c r="FPW3" t="s">
        <v>4673</v>
      </c>
      <c r="FPX3" t="s">
        <v>4674</v>
      </c>
      <c r="FPY3" t="s">
        <v>4675</v>
      </c>
      <c r="FPZ3" t="s">
        <v>4676</v>
      </c>
      <c r="FQA3" t="s">
        <v>4677</v>
      </c>
      <c r="FQB3" t="s">
        <v>4678</v>
      </c>
      <c r="FQC3" t="s">
        <v>4679</v>
      </c>
      <c r="FQD3" t="s">
        <v>4680</v>
      </c>
      <c r="FQE3" t="s">
        <v>4681</v>
      </c>
      <c r="FQF3" t="s">
        <v>4682</v>
      </c>
      <c r="FQG3" t="s">
        <v>4683</v>
      </c>
      <c r="FQH3" t="s">
        <v>4684</v>
      </c>
      <c r="FQI3" t="s">
        <v>4685</v>
      </c>
      <c r="FQJ3" t="s">
        <v>4686</v>
      </c>
      <c r="FQK3" t="s">
        <v>4687</v>
      </c>
      <c r="FQL3" t="s">
        <v>4688</v>
      </c>
      <c r="FQM3" t="s">
        <v>4689</v>
      </c>
      <c r="FQN3" t="s">
        <v>4690</v>
      </c>
      <c r="FQO3" t="s">
        <v>4691</v>
      </c>
      <c r="FQP3" t="s">
        <v>4692</v>
      </c>
      <c r="FQQ3" t="s">
        <v>4693</v>
      </c>
      <c r="FQR3" t="s">
        <v>4694</v>
      </c>
      <c r="FQS3" t="s">
        <v>4695</v>
      </c>
      <c r="FQT3" t="s">
        <v>4696</v>
      </c>
      <c r="FQU3" t="s">
        <v>4697</v>
      </c>
      <c r="FQV3" t="s">
        <v>4698</v>
      </c>
      <c r="FQW3" t="s">
        <v>4699</v>
      </c>
      <c r="FQX3" t="s">
        <v>4700</v>
      </c>
      <c r="FQY3" t="s">
        <v>4701</v>
      </c>
      <c r="FQZ3" t="s">
        <v>4702</v>
      </c>
      <c r="FRA3" t="s">
        <v>4703</v>
      </c>
      <c r="FRB3" t="s">
        <v>4704</v>
      </c>
      <c r="FRC3" t="s">
        <v>4705</v>
      </c>
      <c r="FRD3" t="s">
        <v>4706</v>
      </c>
      <c r="FRE3" t="s">
        <v>4707</v>
      </c>
      <c r="FRF3" t="s">
        <v>4708</v>
      </c>
      <c r="FRG3" t="s">
        <v>4709</v>
      </c>
      <c r="FRH3" t="s">
        <v>4710</v>
      </c>
      <c r="FRI3" t="s">
        <v>4711</v>
      </c>
      <c r="FRJ3" t="s">
        <v>4712</v>
      </c>
      <c r="FRK3" t="s">
        <v>4713</v>
      </c>
      <c r="FRL3" t="s">
        <v>4714</v>
      </c>
      <c r="FRM3" t="s">
        <v>4715</v>
      </c>
      <c r="FRN3" t="s">
        <v>4716</v>
      </c>
      <c r="FRO3" t="s">
        <v>4717</v>
      </c>
      <c r="FRP3" t="s">
        <v>4718</v>
      </c>
      <c r="FRQ3" t="s">
        <v>4719</v>
      </c>
      <c r="FRR3" t="s">
        <v>4720</v>
      </c>
      <c r="FRS3" t="s">
        <v>4721</v>
      </c>
      <c r="FRT3" t="s">
        <v>4722</v>
      </c>
      <c r="FRU3" t="s">
        <v>4723</v>
      </c>
      <c r="FRV3" t="s">
        <v>4724</v>
      </c>
      <c r="FRW3" t="s">
        <v>4725</v>
      </c>
      <c r="FRX3" t="s">
        <v>4726</v>
      </c>
      <c r="FRY3" t="s">
        <v>4727</v>
      </c>
      <c r="FRZ3" t="s">
        <v>4728</v>
      </c>
      <c r="FSA3" t="s">
        <v>4729</v>
      </c>
      <c r="FSB3" t="s">
        <v>4730</v>
      </c>
      <c r="FSC3" t="s">
        <v>4731</v>
      </c>
      <c r="FSD3" t="s">
        <v>4732</v>
      </c>
      <c r="FSE3" t="s">
        <v>4733</v>
      </c>
      <c r="FSF3" t="s">
        <v>4734</v>
      </c>
      <c r="FSG3" t="s">
        <v>4735</v>
      </c>
      <c r="FSH3" t="s">
        <v>4736</v>
      </c>
      <c r="FSI3" t="s">
        <v>4737</v>
      </c>
      <c r="FSJ3" t="s">
        <v>4738</v>
      </c>
      <c r="FSK3" t="s">
        <v>4739</v>
      </c>
      <c r="FSL3" t="s">
        <v>4740</v>
      </c>
      <c r="FSM3" t="s">
        <v>4741</v>
      </c>
      <c r="FSN3" t="s">
        <v>4742</v>
      </c>
      <c r="FSO3" t="s">
        <v>4743</v>
      </c>
      <c r="FSP3" t="s">
        <v>4744</v>
      </c>
      <c r="FSQ3" t="s">
        <v>4745</v>
      </c>
      <c r="FSR3" t="s">
        <v>4746</v>
      </c>
      <c r="FSS3" t="s">
        <v>4747</v>
      </c>
      <c r="FST3" t="s">
        <v>4748</v>
      </c>
      <c r="FSU3" t="s">
        <v>4749</v>
      </c>
      <c r="FSV3" t="s">
        <v>4750</v>
      </c>
      <c r="FSW3" t="s">
        <v>4751</v>
      </c>
      <c r="FSX3" t="s">
        <v>4752</v>
      </c>
      <c r="FSY3" t="s">
        <v>4753</v>
      </c>
      <c r="FSZ3" t="s">
        <v>4754</v>
      </c>
      <c r="FTA3" t="s">
        <v>4755</v>
      </c>
      <c r="FTB3" t="s">
        <v>4756</v>
      </c>
      <c r="FTC3" t="s">
        <v>4757</v>
      </c>
      <c r="FTD3" t="s">
        <v>4758</v>
      </c>
      <c r="FTE3" t="s">
        <v>4759</v>
      </c>
      <c r="FTF3" t="s">
        <v>4760</v>
      </c>
      <c r="FTG3" t="s">
        <v>4761</v>
      </c>
      <c r="FTH3" t="s">
        <v>4762</v>
      </c>
      <c r="FTI3" t="s">
        <v>4763</v>
      </c>
      <c r="FTJ3" t="s">
        <v>4764</v>
      </c>
      <c r="FTK3" t="s">
        <v>4765</v>
      </c>
      <c r="FTL3" t="s">
        <v>4766</v>
      </c>
      <c r="FTM3" t="s">
        <v>4767</v>
      </c>
      <c r="FTN3" t="s">
        <v>4768</v>
      </c>
      <c r="FTO3" t="s">
        <v>4769</v>
      </c>
      <c r="FTP3" t="s">
        <v>4770</v>
      </c>
      <c r="FTQ3" t="s">
        <v>4771</v>
      </c>
      <c r="FTR3" t="s">
        <v>4772</v>
      </c>
      <c r="FTS3" t="s">
        <v>4773</v>
      </c>
      <c r="FTT3" t="s">
        <v>4774</v>
      </c>
      <c r="FTU3" t="s">
        <v>4775</v>
      </c>
      <c r="FTV3" t="s">
        <v>4776</v>
      </c>
      <c r="FTW3" t="s">
        <v>4777</v>
      </c>
      <c r="FTX3" t="s">
        <v>4778</v>
      </c>
      <c r="FTY3" t="s">
        <v>4779</v>
      </c>
      <c r="FTZ3" t="s">
        <v>4780</v>
      </c>
      <c r="FUA3" t="s">
        <v>4781</v>
      </c>
      <c r="FUB3" t="s">
        <v>4782</v>
      </c>
      <c r="FUC3" t="s">
        <v>4783</v>
      </c>
      <c r="FUD3" t="s">
        <v>4784</v>
      </c>
      <c r="FUE3" t="s">
        <v>4785</v>
      </c>
      <c r="FUF3" t="s">
        <v>4786</v>
      </c>
      <c r="FUG3" t="s">
        <v>4787</v>
      </c>
      <c r="FUH3" t="s">
        <v>4788</v>
      </c>
      <c r="FUI3" t="s">
        <v>4789</v>
      </c>
      <c r="FUJ3" t="s">
        <v>4790</v>
      </c>
      <c r="FUK3" t="s">
        <v>4791</v>
      </c>
      <c r="FUL3" t="s">
        <v>4792</v>
      </c>
      <c r="FUM3" t="s">
        <v>4793</v>
      </c>
      <c r="FUN3" t="s">
        <v>4794</v>
      </c>
      <c r="FUO3" t="s">
        <v>4795</v>
      </c>
      <c r="FUP3" t="s">
        <v>4796</v>
      </c>
      <c r="FUQ3" t="s">
        <v>4797</v>
      </c>
      <c r="FUR3" t="s">
        <v>4798</v>
      </c>
      <c r="FUS3" t="s">
        <v>4799</v>
      </c>
      <c r="FUT3" t="s">
        <v>4800</v>
      </c>
      <c r="FUU3" t="s">
        <v>4801</v>
      </c>
      <c r="FUV3" t="s">
        <v>4802</v>
      </c>
      <c r="FUW3" t="s">
        <v>4803</v>
      </c>
      <c r="FUX3" t="s">
        <v>4804</v>
      </c>
      <c r="FUY3" t="s">
        <v>4805</v>
      </c>
      <c r="FUZ3" t="s">
        <v>4806</v>
      </c>
      <c r="FVA3" t="s">
        <v>4807</v>
      </c>
      <c r="FVB3" t="s">
        <v>4808</v>
      </c>
      <c r="FVC3" t="s">
        <v>4809</v>
      </c>
      <c r="FVD3" t="s">
        <v>4810</v>
      </c>
      <c r="FVE3" t="s">
        <v>4811</v>
      </c>
      <c r="FVF3" t="s">
        <v>4812</v>
      </c>
      <c r="FVG3" t="s">
        <v>4813</v>
      </c>
      <c r="FVH3" t="s">
        <v>4814</v>
      </c>
      <c r="FVI3" t="s">
        <v>4815</v>
      </c>
      <c r="FVJ3" t="s">
        <v>4816</v>
      </c>
      <c r="FVK3" t="s">
        <v>4817</v>
      </c>
      <c r="FVL3" t="s">
        <v>4818</v>
      </c>
      <c r="FVM3" t="s">
        <v>4819</v>
      </c>
      <c r="FVN3" t="s">
        <v>4820</v>
      </c>
      <c r="FVO3" t="s">
        <v>4821</v>
      </c>
      <c r="FVP3" t="s">
        <v>4822</v>
      </c>
      <c r="FVQ3" t="s">
        <v>4823</v>
      </c>
      <c r="FVR3" t="s">
        <v>4824</v>
      </c>
      <c r="FVS3" t="s">
        <v>4825</v>
      </c>
      <c r="FVT3" t="s">
        <v>4826</v>
      </c>
      <c r="FVU3" t="s">
        <v>4827</v>
      </c>
      <c r="FVV3" t="s">
        <v>4828</v>
      </c>
      <c r="FVW3" t="s">
        <v>4829</v>
      </c>
      <c r="FVX3" t="s">
        <v>4830</v>
      </c>
      <c r="FVY3" t="s">
        <v>4831</v>
      </c>
      <c r="FVZ3" t="s">
        <v>4832</v>
      </c>
      <c r="FWA3" t="s">
        <v>4833</v>
      </c>
      <c r="FWB3" t="s">
        <v>4834</v>
      </c>
      <c r="FWC3" t="s">
        <v>4835</v>
      </c>
      <c r="FWD3" t="s">
        <v>4836</v>
      </c>
      <c r="FWE3" t="s">
        <v>4837</v>
      </c>
      <c r="FWF3" t="s">
        <v>4838</v>
      </c>
      <c r="FWG3" t="s">
        <v>4839</v>
      </c>
      <c r="FWH3" t="s">
        <v>4840</v>
      </c>
      <c r="FWI3" t="s">
        <v>4841</v>
      </c>
      <c r="FWJ3" t="s">
        <v>4842</v>
      </c>
      <c r="FWK3" t="s">
        <v>4843</v>
      </c>
      <c r="FWL3" t="s">
        <v>4844</v>
      </c>
      <c r="FWM3" t="s">
        <v>4845</v>
      </c>
      <c r="FWN3" t="s">
        <v>4846</v>
      </c>
      <c r="FWO3" t="s">
        <v>4847</v>
      </c>
      <c r="FWP3" t="s">
        <v>4848</v>
      </c>
      <c r="FWQ3" t="s">
        <v>4849</v>
      </c>
      <c r="FWR3" t="s">
        <v>4850</v>
      </c>
      <c r="FWS3" t="s">
        <v>4851</v>
      </c>
      <c r="FWT3" t="s">
        <v>4852</v>
      </c>
      <c r="FWU3" t="s">
        <v>4853</v>
      </c>
      <c r="FWV3" t="s">
        <v>4854</v>
      </c>
      <c r="FWW3" t="s">
        <v>4855</v>
      </c>
      <c r="FWX3" t="s">
        <v>4856</v>
      </c>
      <c r="FWY3" t="s">
        <v>4857</v>
      </c>
      <c r="FWZ3" t="s">
        <v>4858</v>
      </c>
      <c r="FXA3" t="s">
        <v>4859</v>
      </c>
      <c r="FXB3" t="s">
        <v>4860</v>
      </c>
      <c r="FXC3" t="s">
        <v>4861</v>
      </c>
      <c r="FXD3" t="s">
        <v>4862</v>
      </c>
      <c r="FXE3" t="s">
        <v>4863</v>
      </c>
      <c r="FXF3" t="s">
        <v>4864</v>
      </c>
      <c r="FXG3" t="s">
        <v>4865</v>
      </c>
      <c r="FXH3" t="s">
        <v>4866</v>
      </c>
      <c r="FXI3" t="s">
        <v>4867</v>
      </c>
      <c r="FXJ3" t="s">
        <v>4868</v>
      </c>
      <c r="FXK3" t="s">
        <v>4869</v>
      </c>
      <c r="FXL3" t="s">
        <v>4870</v>
      </c>
      <c r="FXM3" t="s">
        <v>4871</v>
      </c>
      <c r="FXN3" t="s">
        <v>4872</v>
      </c>
      <c r="FXO3" t="s">
        <v>4873</v>
      </c>
      <c r="FXP3" t="s">
        <v>4874</v>
      </c>
      <c r="FXQ3" t="s">
        <v>4875</v>
      </c>
      <c r="FXR3" t="s">
        <v>4876</v>
      </c>
      <c r="FXS3" t="s">
        <v>4877</v>
      </c>
      <c r="FXT3" t="s">
        <v>4878</v>
      </c>
      <c r="FXU3" t="s">
        <v>4879</v>
      </c>
      <c r="FXV3" t="s">
        <v>4880</v>
      </c>
      <c r="FXW3" t="s">
        <v>4881</v>
      </c>
      <c r="FXX3" t="s">
        <v>4882</v>
      </c>
      <c r="FXY3" t="s">
        <v>4883</v>
      </c>
      <c r="FXZ3" t="s">
        <v>4884</v>
      </c>
      <c r="FYA3" t="s">
        <v>4885</v>
      </c>
      <c r="FYB3" t="s">
        <v>4886</v>
      </c>
      <c r="FYC3" t="s">
        <v>4887</v>
      </c>
      <c r="FYD3" t="s">
        <v>4888</v>
      </c>
      <c r="FYE3" t="s">
        <v>4889</v>
      </c>
      <c r="FYF3" t="s">
        <v>4890</v>
      </c>
      <c r="FYG3" t="s">
        <v>4891</v>
      </c>
      <c r="FYH3" t="s">
        <v>4892</v>
      </c>
      <c r="FYI3" t="s">
        <v>4893</v>
      </c>
      <c r="FYJ3" t="s">
        <v>4894</v>
      </c>
      <c r="FYK3" t="s">
        <v>4895</v>
      </c>
      <c r="FYL3" t="s">
        <v>4896</v>
      </c>
      <c r="FYM3" t="s">
        <v>4897</v>
      </c>
      <c r="FYN3" t="s">
        <v>4898</v>
      </c>
      <c r="FYO3" t="s">
        <v>4899</v>
      </c>
      <c r="FYP3" t="s">
        <v>4900</v>
      </c>
      <c r="FYQ3" t="s">
        <v>4901</v>
      </c>
      <c r="FYR3" t="s">
        <v>4902</v>
      </c>
      <c r="FYS3" t="s">
        <v>4903</v>
      </c>
      <c r="FYT3" t="s">
        <v>4904</v>
      </c>
      <c r="FYU3" t="s">
        <v>4905</v>
      </c>
      <c r="FYV3" t="s">
        <v>4906</v>
      </c>
      <c r="FYW3" t="s">
        <v>4907</v>
      </c>
      <c r="FYX3" t="s">
        <v>4908</v>
      </c>
      <c r="FYY3" t="s">
        <v>4909</v>
      </c>
      <c r="FYZ3" t="s">
        <v>4910</v>
      </c>
      <c r="FZA3" t="s">
        <v>4911</v>
      </c>
      <c r="FZB3" t="s">
        <v>4912</v>
      </c>
      <c r="FZC3" t="s">
        <v>4913</v>
      </c>
      <c r="FZD3" t="s">
        <v>4914</v>
      </c>
      <c r="FZE3" t="s">
        <v>4915</v>
      </c>
      <c r="FZF3" t="s">
        <v>4916</v>
      </c>
      <c r="FZG3" t="s">
        <v>4917</v>
      </c>
      <c r="FZH3" t="s">
        <v>4918</v>
      </c>
      <c r="FZI3" t="s">
        <v>4919</v>
      </c>
      <c r="FZJ3" t="s">
        <v>4920</v>
      </c>
      <c r="FZK3" t="s">
        <v>4921</v>
      </c>
      <c r="FZL3" t="s">
        <v>4922</v>
      </c>
      <c r="FZM3" t="s">
        <v>4923</v>
      </c>
      <c r="FZN3" t="s">
        <v>4924</v>
      </c>
      <c r="FZO3" t="s">
        <v>4925</v>
      </c>
      <c r="FZP3" t="s">
        <v>4926</v>
      </c>
      <c r="FZQ3" t="s">
        <v>4927</v>
      </c>
      <c r="FZR3" t="s">
        <v>4928</v>
      </c>
      <c r="FZS3" t="s">
        <v>4929</v>
      </c>
      <c r="FZT3" t="s">
        <v>4930</v>
      </c>
      <c r="FZU3" t="s">
        <v>4931</v>
      </c>
      <c r="FZV3" t="s">
        <v>4932</v>
      </c>
      <c r="FZW3" t="s">
        <v>4933</v>
      </c>
      <c r="FZX3" t="s">
        <v>4934</v>
      </c>
      <c r="FZY3" t="s">
        <v>4935</v>
      </c>
      <c r="FZZ3" t="s">
        <v>4936</v>
      </c>
      <c r="GAA3" t="s">
        <v>4937</v>
      </c>
      <c r="GAB3" t="s">
        <v>4938</v>
      </c>
      <c r="GAC3" t="s">
        <v>4939</v>
      </c>
      <c r="GAD3" t="s">
        <v>4940</v>
      </c>
      <c r="GAE3" t="s">
        <v>4941</v>
      </c>
      <c r="GAF3" t="s">
        <v>4942</v>
      </c>
      <c r="GAG3" t="s">
        <v>4943</v>
      </c>
      <c r="GAH3" t="s">
        <v>4944</v>
      </c>
      <c r="GAI3" t="s">
        <v>4945</v>
      </c>
      <c r="GAJ3" t="s">
        <v>4946</v>
      </c>
      <c r="GAK3" t="s">
        <v>4947</v>
      </c>
      <c r="GAL3" t="s">
        <v>4948</v>
      </c>
      <c r="GAM3" t="s">
        <v>4949</v>
      </c>
      <c r="GAN3" t="s">
        <v>4950</v>
      </c>
      <c r="GAO3" t="s">
        <v>4951</v>
      </c>
      <c r="GAP3" t="s">
        <v>4952</v>
      </c>
      <c r="GAQ3" t="s">
        <v>4953</v>
      </c>
      <c r="GAR3" t="s">
        <v>4954</v>
      </c>
      <c r="GAS3" t="s">
        <v>4955</v>
      </c>
      <c r="GAT3" t="s">
        <v>4956</v>
      </c>
      <c r="GAU3" t="s">
        <v>4957</v>
      </c>
      <c r="GAV3" t="s">
        <v>4958</v>
      </c>
      <c r="GAW3" t="s">
        <v>4959</v>
      </c>
      <c r="GAX3" t="s">
        <v>4960</v>
      </c>
      <c r="GAY3" t="s">
        <v>4961</v>
      </c>
      <c r="GAZ3" t="s">
        <v>4962</v>
      </c>
      <c r="GBA3" t="s">
        <v>4963</v>
      </c>
      <c r="GBB3" t="s">
        <v>4964</v>
      </c>
      <c r="GBC3" t="s">
        <v>4965</v>
      </c>
      <c r="GBD3" t="s">
        <v>4966</v>
      </c>
      <c r="GBE3" t="s">
        <v>4967</v>
      </c>
      <c r="GBF3" t="s">
        <v>4968</v>
      </c>
      <c r="GBG3" t="s">
        <v>4969</v>
      </c>
      <c r="GBH3" t="s">
        <v>4970</v>
      </c>
      <c r="GBI3" t="s">
        <v>4971</v>
      </c>
      <c r="GBJ3" t="s">
        <v>4972</v>
      </c>
      <c r="GBK3" t="s">
        <v>4973</v>
      </c>
      <c r="GBL3" t="s">
        <v>4974</v>
      </c>
      <c r="GBM3" t="s">
        <v>4975</v>
      </c>
      <c r="GBN3" t="s">
        <v>4976</v>
      </c>
      <c r="GBO3" t="s">
        <v>4977</v>
      </c>
      <c r="GBP3" t="s">
        <v>4978</v>
      </c>
      <c r="GBQ3" t="s">
        <v>4979</v>
      </c>
      <c r="GBR3" t="s">
        <v>4980</v>
      </c>
      <c r="GBS3" t="s">
        <v>4981</v>
      </c>
      <c r="GBT3" t="s">
        <v>4982</v>
      </c>
      <c r="GBU3" t="s">
        <v>4983</v>
      </c>
      <c r="GBV3" t="s">
        <v>4984</v>
      </c>
      <c r="GBW3" t="s">
        <v>4985</v>
      </c>
      <c r="GBX3" t="s">
        <v>4986</v>
      </c>
      <c r="GBY3" t="s">
        <v>4987</v>
      </c>
      <c r="GBZ3" t="s">
        <v>4988</v>
      </c>
      <c r="GCA3" t="s">
        <v>4989</v>
      </c>
      <c r="GCB3" t="s">
        <v>4990</v>
      </c>
      <c r="GCC3" t="s">
        <v>4991</v>
      </c>
      <c r="GCD3" t="s">
        <v>4992</v>
      </c>
      <c r="GCE3" t="s">
        <v>4993</v>
      </c>
      <c r="GCF3" t="s">
        <v>4994</v>
      </c>
      <c r="GCG3" t="s">
        <v>4995</v>
      </c>
      <c r="GCH3" t="s">
        <v>4996</v>
      </c>
      <c r="GCI3" t="s">
        <v>4997</v>
      </c>
      <c r="GCJ3" t="s">
        <v>4998</v>
      </c>
      <c r="GCK3" t="s">
        <v>4999</v>
      </c>
      <c r="GCL3" t="s">
        <v>5000</v>
      </c>
      <c r="GCM3" t="s">
        <v>5001</v>
      </c>
      <c r="GCN3" t="s">
        <v>5002</v>
      </c>
      <c r="GCO3" t="s">
        <v>5003</v>
      </c>
      <c r="GCP3" t="s">
        <v>5004</v>
      </c>
      <c r="GCQ3" t="s">
        <v>5005</v>
      </c>
      <c r="GCR3" t="s">
        <v>5006</v>
      </c>
      <c r="GCS3" t="s">
        <v>5007</v>
      </c>
      <c r="GCT3" t="s">
        <v>5008</v>
      </c>
      <c r="GCU3" t="s">
        <v>5009</v>
      </c>
      <c r="GCV3" t="s">
        <v>5010</v>
      </c>
      <c r="GCW3" t="s">
        <v>5011</v>
      </c>
      <c r="GCX3" t="s">
        <v>5012</v>
      </c>
      <c r="GCY3" t="s">
        <v>5013</v>
      </c>
      <c r="GCZ3" t="s">
        <v>5014</v>
      </c>
      <c r="GDA3" t="s">
        <v>5015</v>
      </c>
      <c r="GDB3" t="s">
        <v>5016</v>
      </c>
      <c r="GDC3" t="s">
        <v>5017</v>
      </c>
      <c r="GDD3" t="s">
        <v>5018</v>
      </c>
      <c r="GDE3" t="s">
        <v>5019</v>
      </c>
      <c r="GDF3" t="s">
        <v>5020</v>
      </c>
      <c r="GDG3" t="s">
        <v>5021</v>
      </c>
      <c r="GDH3" t="s">
        <v>5022</v>
      </c>
      <c r="GDI3" t="s">
        <v>5023</v>
      </c>
      <c r="GDJ3" t="s">
        <v>5024</v>
      </c>
      <c r="GDK3" t="s">
        <v>5025</v>
      </c>
      <c r="GDL3" t="s">
        <v>5026</v>
      </c>
      <c r="GDM3" t="s">
        <v>5027</v>
      </c>
      <c r="GDN3" t="s">
        <v>5028</v>
      </c>
      <c r="GDO3" t="s">
        <v>5029</v>
      </c>
      <c r="GDP3" t="s">
        <v>5030</v>
      </c>
      <c r="GDQ3" t="s">
        <v>5031</v>
      </c>
      <c r="GDR3" t="s">
        <v>5032</v>
      </c>
      <c r="GDS3" t="s">
        <v>5033</v>
      </c>
      <c r="GDT3" t="s">
        <v>5034</v>
      </c>
      <c r="GDU3" t="s">
        <v>5035</v>
      </c>
      <c r="GDV3" t="s">
        <v>5036</v>
      </c>
      <c r="GDW3" t="s">
        <v>5037</v>
      </c>
      <c r="GDX3" t="s">
        <v>5038</v>
      </c>
      <c r="GDY3" t="s">
        <v>5039</v>
      </c>
      <c r="GDZ3" t="s">
        <v>5040</v>
      </c>
      <c r="GEA3" t="s">
        <v>5041</v>
      </c>
      <c r="GEB3" t="s">
        <v>5042</v>
      </c>
      <c r="GEC3" t="s">
        <v>5043</v>
      </c>
      <c r="GED3" t="s">
        <v>5044</v>
      </c>
      <c r="GEE3" t="s">
        <v>5045</v>
      </c>
      <c r="GEF3" t="s">
        <v>5046</v>
      </c>
      <c r="GEG3" t="s">
        <v>5047</v>
      </c>
      <c r="GEH3" t="s">
        <v>5048</v>
      </c>
      <c r="GEI3" t="s">
        <v>5049</v>
      </c>
      <c r="GEJ3" t="s">
        <v>5050</v>
      </c>
      <c r="GEK3" t="s">
        <v>5051</v>
      </c>
      <c r="GEL3" t="s">
        <v>5052</v>
      </c>
      <c r="GEM3" t="s">
        <v>5053</v>
      </c>
      <c r="GEN3" t="s">
        <v>5054</v>
      </c>
      <c r="GEO3" t="s">
        <v>5055</v>
      </c>
      <c r="GEP3" t="s">
        <v>5056</v>
      </c>
      <c r="GEQ3" t="s">
        <v>5057</v>
      </c>
      <c r="GER3" t="s">
        <v>5058</v>
      </c>
      <c r="GES3" t="s">
        <v>5059</v>
      </c>
      <c r="GET3" t="s">
        <v>5060</v>
      </c>
      <c r="GEU3" t="s">
        <v>5061</v>
      </c>
      <c r="GEV3" t="s">
        <v>5062</v>
      </c>
      <c r="GEW3" t="s">
        <v>5063</v>
      </c>
      <c r="GEX3" t="s">
        <v>5064</v>
      </c>
      <c r="GEY3" t="s">
        <v>5065</v>
      </c>
      <c r="GEZ3" t="s">
        <v>5066</v>
      </c>
      <c r="GFA3" t="s">
        <v>5067</v>
      </c>
      <c r="GFB3" t="s">
        <v>5068</v>
      </c>
      <c r="GFC3" t="s">
        <v>5069</v>
      </c>
      <c r="GFD3" t="s">
        <v>5070</v>
      </c>
      <c r="GFE3" t="s">
        <v>5071</v>
      </c>
      <c r="GFF3" t="s">
        <v>5072</v>
      </c>
      <c r="GFG3" t="s">
        <v>5073</v>
      </c>
      <c r="GFH3" t="s">
        <v>5074</v>
      </c>
      <c r="GFI3" t="s">
        <v>5075</v>
      </c>
      <c r="GFJ3" t="s">
        <v>5076</v>
      </c>
      <c r="GFK3" t="s">
        <v>5077</v>
      </c>
      <c r="GFL3" t="s">
        <v>5078</v>
      </c>
      <c r="GFM3" t="s">
        <v>5079</v>
      </c>
      <c r="GFN3" t="s">
        <v>5080</v>
      </c>
      <c r="GFO3" t="s">
        <v>5081</v>
      </c>
      <c r="GFP3" t="s">
        <v>5082</v>
      </c>
      <c r="GFQ3" t="s">
        <v>5083</v>
      </c>
      <c r="GFR3" t="s">
        <v>5084</v>
      </c>
      <c r="GFS3" t="s">
        <v>5085</v>
      </c>
      <c r="GFT3" t="s">
        <v>5086</v>
      </c>
      <c r="GFU3" t="s">
        <v>5087</v>
      </c>
      <c r="GFV3" t="s">
        <v>5088</v>
      </c>
      <c r="GFW3" t="s">
        <v>5089</v>
      </c>
      <c r="GFX3" t="s">
        <v>5090</v>
      </c>
      <c r="GFY3" t="s">
        <v>5091</v>
      </c>
      <c r="GFZ3" t="s">
        <v>5092</v>
      </c>
      <c r="GGA3" t="s">
        <v>5093</v>
      </c>
      <c r="GGB3" t="s">
        <v>5094</v>
      </c>
      <c r="GGC3" t="s">
        <v>5095</v>
      </c>
      <c r="GGD3" t="s">
        <v>5096</v>
      </c>
      <c r="GGE3" t="s">
        <v>5097</v>
      </c>
      <c r="GGF3" t="s">
        <v>5098</v>
      </c>
      <c r="GGG3" t="s">
        <v>5099</v>
      </c>
      <c r="GGH3" t="s">
        <v>5100</v>
      </c>
      <c r="GGI3" t="s">
        <v>5101</v>
      </c>
      <c r="GGJ3" t="s">
        <v>5102</v>
      </c>
      <c r="GGK3" t="s">
        <v>5103</v>
      </c>
      <c r="GGL3" t="s">
        <v>5104</v>
      </c>
      <c r="GGM3" t="s">
        <v>5105</v>
      </c>
      <c r="GGN3" t="s">
        <v>5106</v>
      </c>
      <c r="GGO3" t="s">
        <v>5107</v>
      </c>
      <c r="GGP3" t="s">
        <v>5108</v>
      </c>
      <c r="GGQ3" t="s">
        <v>5109</v>
      </c>
      <c r="GGR3" t="s">
        <v>5110</v>
      </c>
      <c r="GGS3" t="s">
        <v>5111</v>
      </c>
      <c r="GGT3" t="s">
        <v>5112</v>
      </c>
      <c r="GGU3" t="s">
        <v>5113</v>
      </c>
      <c r="GGV3" t="s">
        <v>5114</v>
      </c>
      <c r="GGW3" t="s">
        <v>5115</v>
      </c>
      <c r="GGX3" t="s">
        <v>5116</v>
      </c>
      <c r="GGY3" t="s">
        <v>5117</v>
      </c>
      <c r="GGZ3" t="s">
        <v>5118</v>
      </c>
      <c r="GHA3" t="s">
        <v>5119</v>
      </c>
      <c r="GHB3" t="s">
        <v>5120</v>
      </c>
      <c r="GHC3" t="s">
        <v>5121</v>
      </c>
      <c r="GHD3" t="s">
        <v>5122</v>
      </c>
      <c r="GHE3" t="s">
        <v>5123</v>
      </c>
      <c r="GHF3" t="s">
        <v>5124</v>
      </c>
      <c r="GHG3" t="s">
        <v>5125</v>
      </c>
      <c r="GHH3" t="s">
        <v>5126</v>
      </c>
      <c r="GHI3" t="s">
        <v>5127</v>
      </c>
      <c r="GHJ3" t="s">
        <v>5128</v>
      </c>
      <c r="GHK3" t="s">
        <v>5129</v>
      </c>
      <c r="GHL3" t="s">
        <v>5130</v>
      </c>
      <c r="GHM3" t="s">
        <v>5131</v>
      </c>
      <c r="GHN3" t="s">
        <v>5132</v>
      </c>
      <c r="GHO3" t="s">
        <v>5133</v>
      </c>
      <c r="GHP3" t="s">
        <v>5134</v>
      </c>
      <c r="GHQ3" t="s">
        <v>5135</v>
      </c>
      <c r="GHR3" t="s">
        <v>5136</v>
      </c>
      <c r="GHS3" t="s">
        <v>5137</v>
      </c>
      <c r="GHT3" t="s">
        <v>5138</v>
      </c>
      <c r="GHU3" t="s">
        <v>5139</v>
      </c>
      <c r="GHV3" t="s">
        <v>5140</v>
      </c>
      <c r="GHW3" t="s">
        <v>5141</v>
      </c>
      <c r="GHX3" t="s">
        <v>5142</v>
      </c>
      <c r="GHY3" t="s">
        <v>5143</v>
      </c>
      <c r="GHZ3" t="s">
        <v>5144</v>
      </c>
      <c r="GIA3" t="s">
        <v>5145</v>
      </c>
      <c r="GIB3" t="s">
        <v>5146</v>
      </c>
      <c r="GIC3" t="s">
        <v>5147</v>
      </c>
      <c r="GID3" t="s">
        <v>5148</v>
      </c>
      <c r="GIE3" t="s">
        <v>5149</v>
      </c>
      <c r="GIF3" t="s">
        <v>5150</v>
      </c>
      <c r="GIG3" t="s">
        <v>5151</v>
      </c>
      <c r="GIH3" t="s">
        <v>5152</v>
      </c>
      <c r="GII3" t="s">
        <v>5153</v>
      </c>
      <c r="GIJ3" t="s">
        <v>5154</v>
      </c>
      <c r="GIK3" t="s">
        <v>5155</v>
      </c>
      <c r="GIL3" t="s">
        <v>5156</v>
      </c>
      <c r="GIM3" t="s">
        <v>5157</v>
      </c>
      <c r="GIN3" t="s">
        <v>5158</v>
      </c>
      <c r="GIO3" t="s">
        <v>5159</v>
      </c>
      <c r="GIP3" t="s">
        <v>5160</v>
      </c>
      <c r="GIQ3" t="s">
        <v>5161</v>
      </c>
      <c r="GIR3" t="s">
        <v>5162</v>
      </c>
      <c r="GIS3" t="s">
        <v>5163</v>
      </c>
      <c r="GIT3" t="s">
        <v>5164</v>
      </c>
      <c r="GIU3" t="s">
        <v>5165</v>
      </c>
      <c r="GIV3" t="s">
        <v>5166</v>
      </c>
      <c r="GIW3" t="s">
        <v>5167</v>
      </c>
      <c r="GIX3" t="s">
        <v>5168</v>
      </c>
      <c r="GIY3" t="s">
        <v>5169</v>
      </c>
      <c r="GIZ3" t="s">
        <v>5170</v>
      </c>
      <c r="GJA3" t="s">
        <v>5171</v>
      </c>
      <c r="GJB3" t="s">
        <v>5172</v>
      </c>
      <c r="GJC3" t="s">
        <v>5173</v>
      </c>
      <c r="GJD3" t="s">
        <v>5174</v>
      </c>
      <c r="GJE3" t="s">
        <v>5175</v>
      </c>
      <c r="GJF3" t="s">
        <v>5176</v>
      </c>
      <c r="GJG3" t="s">
        <v>5177</v>
      </c>
      <c r="GJH3" t="s">
        <v>5178</v>
      </c>
      <c r="GJI3" t="s">
        <v>5179</v>
      </c>
      <c r="GJJ3" t="s">
        <v>5180</v>
      </c>
      <c r="GJK3" t="s">
        <v>5181</v>
      </c>
      <c r="GJL3" t="s">
        <v>5182</v>
      </c>
      <c r="GJM3" t="s">
        <v>5183</v>
      </c>
      <c r="GJN3" t="s">
        <v>5184</v>
      </c>
      <c r="GJO3" t="s">
        <v>5185</v>
      </c>
      <c r="GJP3" t="s">
        <v>5186</v>
      </c>
      <c r="GJQ3" t="s">
        <v>5187</v>
      </c>
      <c r="GJR3" t="s">
        <v>5188</v>
      </c>
      <c r="GJS3" t="s">
        <v>5189</v>
      </c>
      <c r="GJT3" t="s">
        <v>5190</v>
      </c>
      <c r="GJU3" t="s">
        <v>5191</v>
      </c>
      <c r="GJV3" t="s">
        <v>5192</v>
      </c>
      <c r="GJW3" t="s">
        <v>5193</v>
      </c>
      <c r="GJX3" t="s">
        <v>5194</v>
      </c>
      <c r="GJY3" t="s">
        <v>5195</v>
      </c>
      <c r="GJZ3" t="s">
        <v>5196</v>
      </c>
      <c r="GKA3" t="s">
        <v>5197</v>
      </c>
      <c r="GKB3" t="s">
        <v>5198</v>
      </c>
      <c r="GKC3" t="s">
        <v>5199</v>
      </c>
      <c r="GKD3" t="s">
        <v>5200</v>
      </c>
      <c r="GKE3" t="s">
        <v>5201</v>
      </c>
      <c r="GKF3" t="s">
        <v>5202</v>
      </c>
      <c r="GKG3" t="s">
        <v>5203</v>
      </c>
      <c r="GKH3" t="s">
        <v>5204</v>
      </c>
      <c r="GKI3" t="s">
        <v>5205</v>
      </c>
      <c r="GKJ3" t="s">
        <v>5206</v>
      </c>
      <c r="GKK3" t="s">
        <v>5207</v>
      </c>
      <c r="GKL3" t="s">
        <v>5208</v>
      </c>
      <c r="GKM3" t="s">
        <v>5209</v>
      </c>
      <c r="GKN3" t="s">
        <v>5210</v>
      </c>
      <c r="GKO3" t="s">
        <v>5211</v>
      </c>
      <c r="GKP3" t="s">
        <v>5212</v>
      </c>
      <c r="GKQ3" t="s">
        <v>5213</v>
      </c>
      <c r="GKR3" t="s">
        <v>5214</v>
      </c>
      <c r="GKS3" t="s">
        <v>5215</v>
      </c>
      <c r="GKT3" t="s">
        <v>5216</v>
      </c>
      <c r="GKU3" t="s">
        <v>5217</v>
      </c>
      <c r="GKV3" t="s">
        <v>5218</v>
      </c>
      <c r="GKW3" t="s">
        <v>5219</v>
      </c>
      <c r="GKX3" t="s">
        <v>5220</v>
      </c>
      <c r="GKY3" t="s">
        <v>5221</v>
      </c>
      <c r="GKZ3" t="s">
        <v>5222</v>
      </c>
      <c r="GLA3" t="s">
        <v>5223</v>
      </c>
      <c r="GLB3" t="s">
        <v>5224</v>
      </c>
      <c r="GLC3" t="s">
        <v>5225</v>
      </c>
      <c r="GLD3" t="s">
        <v>5226</v>
      </c>
      <c r="GLE3" t="s">
        <v>5227</v>
      </c>
      <c r="GLF3" t="s">
        <v>5228</v>
      </c>
      <c r="GLG3" t="s">
        <v>5229</v>
      </c>
      <c r="GLH3" t="s">
        <v>5230</v>
      </c>
      <c r="GLI3" t="s">
        <v>5231</v>
      </c>
      <c r="GLJ3" t="s">
        <v>5232</v>
      </c>
      <c r="GLK3" t="s">
        <v>5233</v>
      </c>
      <c r="GLL3" t="s">
        <v>5234</v>
      </c>
      <c r="GLM3" t="s">
        <v>5235</v>
      </c>
      <c r="GLN3" t="s">
        <v>5236</v>
      </c>
      <c r="GLO3" t="s">
        <v>5237</v>
      </c>
      <c r="GLP3" t="s">
        <v>5238</v>
      </c>
      <c r="GLQ3" t="s">
        <v>5239</v>
      </c>
      <c r="GLR3" t="s">
        <v>5240</v>
      </c>
      <c r="GLS3" t="s">
        <v>5241</v>
      </c>
      <c r="GLT3" t="s">
        <v>5242</v>
      </c>
      <c r="GLU3" t="s">
        <v>5243</v>
      </c>
      <c r="GLV3" t="s">
        <v>5244</v>
      </c>
      <c r="GLW3" t="s">
        <v>5245</v>
      </c>
      <c r="GLX3" t="s">
        <v>5246</v>
      </c>
      <c r="GLY3" t="s">
        <v>5247</v>
      </c>
      <c r="GLZ3" t="s">
        <v>5248</v>
      </c>
      <c r="GMA3" t="s">
        <v>5249</v>
      </c>
      <c r="GMB3" t="s">
        <v>5250</v>
      </c>
      <c r="GMC3" t="s">
        <v>5251</v>
      </c>
      <c r="GMD3" t="s">
        <v>5252</v>
      </c>
      <c r="GME3" t="s">
        <v>5253</v>
      </c>
      <c r="GMF3" t="s">
        <v>5254</v>
      </c>
      <c r="GMG3" t="s">
        <v>5255</v>
      </c>
      <c r="GMH3" t="s">
        <v>5256</v>
      </c>
      <c r="GMI3" t="s">
        <v>5257</v>
      </c>
      <c r="GMJ3" t="s">
        <v>5258</v>
      </c>
      <c r="GMK3" t="s">
        <v>5259</v>
      </c>
      <c r="GML3" t="s">
        <v>5260</v>
      </c>
      <c r="GMM3" t="s">
        <v>5261</v>
      </c>
      <c r="GMN3" t="s">
        <v>5262</v>
      </c>
      <c r="GMO3" t="s">
        <v>5263</v>
      </c>
      <c r="GMP3" t="s">
        <v>5264</v>
      </c>
      <c r="GMQ3" t="s">
        <v>5265</v>
      </c>
      <c r="GMR3" t="s">
        <v>5266</v>
      </c>
      <c r="GMS3" t="s">
        <v>5267</v>
      </c>
      <c r="GMT3" t="s">
        <v>5268</v>
      </c>
      <c r="GMU3" t="s">
        <v>5269</v>
      </c>
      <c r="GMV3" t="s">
        <v>5270</v>
      </c>
      <c r="GMW3" t="s">
        <v>5271</v>
      </c>
      <c r="GMX3" t="s">
        <v>5272</v>
      </c>
      <c r="GMY3" t="s">
        <v>5273</v>
      </c>
      <c r="GMZ3" t="s">
        <v>5274</v>
      </c>
      <c r="GNA3" t="s">
        <v>5275</v>
      </c>
      <c r="GNB3" t="s">
        <v>5276</v>
      </c>
      <c r="GNC3" t="s">
        <v>5277</v>
      </c>
      <c r="GND3" t="s">
        <v>5278</v>
      </c>
      <c r="GNE3" t="s">
        <v>5279</v>
      </c>
      <c r="GNF3" t="s">
        <v>5280</v>
      </c>
      <c r="GNG3" t="s">
        <v>5281</v>
      </c>
      <c r="GNH3" t="s">
        <v>5282</v>
      </c>
      <c r="GNI3" t="s">
        <v>5283</v>
      </c>
      <c r="GNJ3" t="s">
        <v>5284</v>
      </c>
      <c r="GNK3" t="s">
        <v>5285</v>
      </c>
      <c r="GNL3" t="s">
        <v>5286</v>
      </c>
      <c r="GNM3" t="s">
        <v>5287</v>
      </c>
      <c r="GNN3" t="s">
        <v>5288</v>
      </c>
      <c r="GNO3" t="s">
        <v>5289</v>
      </c>
      <c r="GNP3" t="s">
        <v>5290</v>
      </c>
      <c r="GNQ3" t="s">
        <v>5291</v>
      </c>
      <c r="GNR3" t="s">
        <v>5292</v>
      </c>
      <c r="GNS3" t="s">
        <v>5293</v>
      </c>
      <c r="GNT3" t="s">
        <v>5294</v>
      </c>
      <c r="GNU3" t="s">
        <v>5295</v>
      </c>
      <c r="GNV3" t="s">
        <v>5296</v>
      </c>
      <c r="GNW3" t="s">
        <v>5297</v>
      </c>
      <c r="GNX3" t="s">
        <v>5298</v>
      </c>
      <c r="GNY3" t="s">
        <v>5299</v>
      </c>
      <c r="GNZ3" t="s">
        <v>5300</v>
      </c>
      <c r="GOA3" t="s">
        <v>5301</v>
      </c>
      <c r="GOB3" t="s">
        <v>5302</v>
      </c>
      <c r="GOC3" t="s">
        <v>5303</v>
      </c>
      <c r="GOD3" t="s">
        <v>5304</v>
      </c>
      <c r="GOE3" t="s">
        <v>5305</v>
      </c>
      <c r="GOF3" t="s">
        <v>5306</v>
      </c>
      <c r="GOG3" t="s">
        <v>5307</v>
      </c>
      <c r="GOH3" t="s">
        <v>5308</v>
      </c>
      <c r="GOI3" t="s">
        <v>5309</v>
      </c>
      <c r="GOJ3" t="s">
        <v>5310</v>
      </c>
      <c r="GOK3" t="s">
        <v>5311</v>
      </c>
      <c r="GOL3" t="s">
        <v>5312</v>
      </c>
      <c r="GOM3" t="s">
        <v>5313</v>
      </c>
      <c r="GON3" t="s">
        <v>5314</v>
      </c>
      <c r="GOO3" t="s">
        <v>5315</v>
      </c>
      <c r="GOP3" t="s">
        <v>5316</v>
      </c>
      <c r="GOQ3" t="s">
        <v>5317</v>
      </c>
      <c r="GOR3" t="s">
        <v>5318</v>
      </c>
      <c r="GOS3" t="s">
        <v>5319</v>
      </c>
      <c r="GOT3" t="s">
        <v>5320</v>
      </c>
      <c r="GOU3" t="s">
        <v>5321</v>
      </c>
      <c r="GOV3" t="s">
        <v>5322</v>
      </c>
      <c r="GOW3" t="s">
        <v>5323</v>
      </c>
      <c r="GOX3" t="s">
        <v>5324</v>
      </c>
      <c r="GOY3" t="s">
        <v>5325</v>
      </c>
      <c r="GOZ3" t="s">
        <v>5326</v>
      </c>
      <c r="GPA3" t="s">
        <v>5327</v>
      </c>
      <c r="GPB3" t="s">
        <v>5328</v>
      </c>
      <c r="GPC3" t="s">
        <v>5329</v>
      </c>
      <c r="GPD3" t="s">
        <v>5330</v>
      </c>
      <c r="GPE3" t="s">
        <v>5331</v>
      </c>
      <c r="GPF3" t="s">
        <v>5332</v>
      </c>
      <c r="GPG3" t="s">
        <v>5333</v>
      </c>
      <c r="GPH3" t="s">
        <v>5334</v>
      </c>
      <c r="GPI3" t="s">
        <v>5335</v>
      </c>
      <c r="GPJ3" t="s">
        <v>5336</v>
      </c>
      <c r="GPK3" t="s">
        <v>5337</v>
      </c>
      <c r="GPL3" t="s">
        <v>5338</v>
      </c>
      <c r="GPM3" t="s">
        <v>5339</v>
      </c>
      <c r="GPN3" t="s">
        <v>5340</v>
      </c>
      <c r="GPO3" t="s">
        <v>5341</v>
      </c>
      <c r="GPP3" t="s">
        <v>5342</v>
      </c>
      <c r="GPQ3" t="s">
        <v>5343</v>
      </c>
      <c r="GPR3" t="s">
        <v>5344</v>
      </c>
      <c r="GPS3" t="s">
        <v>5345</v>
      </c>
      <c r="GPT3" t="s">
        <v>5346</v>
      </c>
      <c r="GPU3" t="s">
        <v>5347</v>
      </c>
      <c r="GPV3" t="s">
        <v>5348</v>
      </c>
      <c r="GPW3" t="s">
        <v>5349</v>
      </c>
      <c r="GPX3" t="s">
        <v>5350</v>
      </c>
      <c r="GPY3" t="s">
        <v>5351</v>
      </c>
      <c r="GPZ3" t="s">
        <v>5352</v>
      </c>
      <c r="GQA3" t="s">
        <v>5353</v>
      </c>
      <c r="GQB3" t="s">
        <v>5354</v>
      </c>
      <c r="GQC3" t="s">
        <v>5355</v>
      </c>
      <c r="GQD3" t="s">
        <v>5356</v>
      </c>
      <c r="GQE3" t="s">
        <v>5357</v>
      </c>
      <c r="GQF3" t="s">
        <v>5358</v>
      </c>
      <c r="GQG3" t="s">
        <v>5359</v>
      </c>
      <c r="GQH3" t="s">
        <v>5360</v>
      </c>
      <c r="GQI3" t="s">
        <v>5361</v>
      </c>
      <c r="GQJ3" t="s">
        <v>5362</v>
      </c>
      <c r="GQK3" t="s">
        <v>5363</v>
      </c>
      <c r="GQL3" t="s">
        <v>5364</v>
      </c>
      <c r="GQM3" t="s">
        <v>5365</v>
      </c>
      <c r="GQN3" t="s">
        <v>5366</v>
      </c>
      <c r="GQO3" t="s">
        <v>5367</v>
      </c>
      <c r="GQP3" t="s">
        <v>5368</v>
      </c>
      <c r="GQQ3" t="s">
        <v>5369</v>
      </c>
      <c r="GQR3" t="s">
        <v>5370</v>
      </c>
      <c r="GQS3" t="s">
        <v>5371</v>
      </c>
      <c r="GQT3" t="s">
        <v>5372</v>
      </c>
      <c r="GQU3" t="s">
        <v>5373</v>
      </c>
      <c r="GQV3" t="s">
        <v>5374</v>
      </c>
      <c r="GQW3" t="s">
        <v>5375</v>
      </c>
      <c r="GQX3" t="s">
        <v>5376</v>
      </c>
      <c r="GQY3" t="s">
        <v>5377</v>
      </c>
      <c r="GQZ3" t="s">
        <v>5378</v>
      </c>
      <c r="GRA3" t="s">
        <v>5379</v>
      </c>
      <c r="GRB3" t="s">
        <v>5380</v>
      </c>
      <c r="GRC3" t="s">
        <v>5381</v>
      </c>
      <c r="GRD3" t="s">
        <v>5382</v>
      </c>
      <c r="GRE3" t="s">
        <v>5383</v>
      </c>
      <c r="GRF3" t="s">
        <v>5384</v>
      </c>
      <c r="GRG3" t="s">
        <v>5385</v>
      </c>
      <c r="GRH3" t="s">
        <v>5386</v>
      </c>
      <c r="GRI3" t="s">
        <v>5387</v>
      </c>
      <c r="GRJ3" t="s">
        <v>5388</v>
      </c>
      <c r="GRK3" t="s">
        <v>5389</v>
      </c>
      <c r="GRL3" t="s">
        <v>5390</v>
      </c>
      <c r="GRM3" t="s">
        <v>5391</v>
      </c>
      <c r="GRN3" t="s">
        <v>5392</v>
      </c>
      <c r="GRO3" t="s">
        <v>5393</v>
      </c>
      <c r="GRP3" t="s">
        <v>5394</v>
      </c>
      <c r="GRQ3" t="s">
        <v>5395</v>
      </c>
      <c r="GRR3" t="s">
        <v>5396</v>
      </c>
      <c r="GRS3" t="s">
        <v>5397</v>
      </c>
      <c r="GRT3" t="s">
        <v>5398</v>
      </c>
      <c r="GRU3" t="s">
        <v>5399</v>
      </c>
      <c r="GRV3" t="s">
        <v>5400</v>
      </c>
      <c r="GRW3" t="s">
        <v>5401</v>
      </c>
      <c r="GRX3" t="s">
        <v>5402</v>
      </c>
      <c r="GRY3" t="s">
        <v>5403</v>
      </c>
      <c r="GRZ3" t="s">
        <v>5404</v>
      </c>
      <c r="GSA3" t="s">
        <v>5405</v>
      </c>
      <c r="GSB3" t="s">
        <v>5406</v>
      </c>
      <c r="GSC3" t="s">
        <v>5407</v>
      </c>
      <c r="GSD3" t="s">
        <v>5408</v>
      </c>
      <c r="GSE3" t="s">
        <v>5409</v>
      </c>
      <c r="GSF3" t="s">
        <v>5410</v>
      </c>
      <c r="GSG3" t="s">
        <v>5411</v>
      </c>
      <c r="GSH3" t="s">
        <v>5412</v>
      </c>
      <c r="GSI3" t="s">
        <v>5413</v>
      </c>
      <c r="GSJ3" t="s">
        <v>5414</v>
      </c>
      <c r="GSK3" t="s">
        <v>5415</v>
      </c>
      <c r="GSL3" t="s">
        <v>5416</v>
      </c>
      <c r="GSM3" t="s">
        <v>5417</v>
      </c>
      <c r="GSN3" t="s">
        <v>5418</v>
      </c>
      <c r="GSO3" t="s">
        <v>5419</v>
      </c>
      <c r="GSP3" t="s">
        <v>5420</v>
      </c>
      <c r="GSQ3" t="s">
        <v>5421</v>
      </c>
      <c r="GSR3" t="s">
        <v>5422</v>
      </c>
      <c r="GSS3" t="s">
        <v>5423</v>
      </c>
      <c r="GST3" t="s">
        <v>5424</v>
      </c>
      <c r="GSU3" t="s">
        <v>5425</v>
      </c>
      <c r="GSV3" t="s">
        <v>5426</v>
      </c>
      <c r="GSW3" t="s">
        <v>5427</v>
      </c>
      <c r="GSX3" t="s">
        <v>5428</v>
      </c>
      <c r="GSY3" t="s">
        <v>5429</v>
      </c>
      <c r="GSZ3" t="s">
        <v>5430</v>
      </c>
      <c r="GTA3" t="s">
        <v>5431</v>
      </c>
      <c r="GTB3" t="s">
        <v>5432</v>
      </c>
      <c r="GTC3" t="s">
        <v>5433</v>
      </c>
      <c r="GTD3" t="s">
        <v>5434</v>
      </c>
      <c r="GTE3" t="s">
        <v>5435</v>
      </c>
      <c r="GTF3" t="s">
        <v>5436</v>
      </c>
      <c r="GTG3" t="s">
        <v>5437</v>
      </c>
      <c r="GTH3" t="s">
        <v>5438</v>
      </c>
      <c r="GTI3" t="s">
        <v>5439</v>
      </c>
      <c r="GTJ3" t="s">
        <v>5440</v>
      </c>
      <c r="GTK3" t="s">
        <v>5441</v>
      </c>
      <c r="GTL3" t="s">
        <v>5442</v>
      </c>
      <c r="GTM3" t="s">
        <v>5443</v>
      </c>
      <c r="GTN3" t="s">
        <v>5444</v>
      </c>
      <c r="GTO3" t="s">
        <v>5445</v>
      </c>
      <c r="GTP3" t="s">
        <v>5446</v>
      </c>
      <c r="GTQ3" t="s">
        <v>5447</v>
      </c>
      <c r="GTR3" t="s">
        <v>5448</v>
      </c>
      <c r="GTS3" t="s">
        <v>5449</v>
      </c>
      <c r="GTT3" t="s">
        <v>5450</v>
      </c>
      <c r="GTU3" t="s">
        <v>5451</v>
      </c>
      <c r="GTV3" t="s">
        <v>5452</v>
      </c>
      <c r="GTW3" t="s">
        <v>5453</v>
      </c>
      <c r="GTX3" t="s">
        <v>5454</v>
      </c>
      <c r="GTY3" t="s">
        <v>5455</v>
      </c>
      <c r="GTZ3" t="s">
        <v>5456</v>
      </c>
      <c r="GUA3" t="s">
        <v>5457</v>
      </c>
      <c r="GUB3" t="s">
        <v>5458</v>
      </c>
      <c r="GUC3" t="s">
        <v>5459</v>
      </c>
      <c r="GUD3" t="s">
        <v>5460</v>
      </c>
      <c r="GUE3" t="s">
        <v>5461</v>
      </c>
      <c r="GUF3" t="s">
        <v>5462</v>
      </c>
      <c r="GUG3" t="s">
        <v>5463</v>
      </c>
      <c r="GUH3" t="s">
        <v>5464</v>
      </c>
      <c r="GUI3" t="s">
        <v>5465</v>
      </c>
      <c r="GUJ3" t="s">
        <v>5466</v>
      </c>
      <c r="GUK3" t="s">
        <v>5467</v>
      </c>
      <c r="GUL3" t="s">
        <v>5468</v>
      </c>
      <c r="GUM3" t="s">
        <v>5469</v>
      </c>
      <c r="GUN3" t="s">
        <v>5470</v>
      </c>
      <c r="GUO3" t="s">
        <v>5471</v>
      </c>
      <c r="GUP3" t="s">
        <v>5472</v>
      </c>
      <c r="GUQ3" t="s">
        <v>5473</v>
      </c>
      <c r="GUR3" t="s">
        <v>5474</v>
      </c>
      <c r="GUS3" t="s">
        <v>5475</v>
      </c>
      <c r="GUT3" t="s">
        <v>5476</v>
      </c>
      <c r="GUU3" t="s">
        <v>5477</v>
      </c>
      <c r="GUV3" t="s">
        <v>5478</v>
      </c>
      <c r="GUW3" t="s">
        <v>5479</v>
      </c>
      <c r="GUX3" t="s">
        <v>5480</v>
      </c>
      <c r="GUY3" t="s">
        <v>5481</v>
      </c>
      <c r="GUZ3" t="s">
        <v>5482</v>
      </c>
      <c r="GVA3" t="s">
        <v>5483</v>
      </c>
      <c r="GVB3" t="s">
        <v>5484</v>
      </c>
      <c r="GVC3" t="s">
        <v>5485</v>
      </c>
      <c r="GVD3" t="s">
        <v>5486</v>
      </c>
      <c r="GVE3" t="s">
        <v>5487</v>
      </c>
      <c r="GVF3" t="s">
        <v>5488</v>
      </c>
      <c r="GVG3" t="s">
        <v>5489</v>
      </c>
      <c r="GVH3" t="s">
        <v>5490</v>
      </c>
      <c r="GVI3" t="s">
        <v>5491</v>
      </c>
      <c r="GVJ3" t="s">
        <v>5492</v>
      </c>
      <c r="GVK3" t="s">
        <v>5493</v>
      </c>
      <c r="GVL3" t="s">
        <v>5494</v>
      </c>
      <c r="GVM3" t="s">
        <v>5495</v>
      </c>
      <c r="GVN3" t="s">
        <v>5496</v>
      </c>
      <c r="GVO3" t="s">
        <v>5497</v>
      </c>
      <c r="GVP3" t="s">
        <v>5498</v>
      </c>
      <c r="GVQ3" t="s">
        <v>5499</v>
      </c>
      <c r="GVR3" t="s">
        <v>5500</v>
      </c>
      <c r="GVS3" t="s">
        <v>5501</v>
      </c>
      <c r="GVT3" t="s">
        <v>5502</v>
      </c>
      <c r="GVU3" t="s">
        <v>5503</v>
      </c>
      <c r="GVV3" t="s">
        <v>5504</v>
      </c>
      <c r="GVW3" t="s">
        <v>5505</v>
      </c>
      <c r="GVX3" t="s">
        <v>5506</v>
      </c>
      <c r="GVY3" t="s">
        <v>5507</v>
      </c>
      <c r="GVZ3" t="s">
        <v>5508</v>
      </c>
      <c r="GWA3" t="s">
        <v>5509</v>
      </c>
      <c r="GWB3" t="s">
        <v>5510</v>
      </c>
      <c r="GWC3" t="s">
        <v>5511</v>
      </c>
      <c r="GWD3" t="s">
        <v>5512</v>
      </c>
      <c r="GWE3" t="s">
        <v>5513</v>
      </c>
      <c r="GWF3" t="s">
        <v>5514</v>
      </c>
      <c r="GWG3" t="s">
        <v>5515</v>
      </c>
      <c r="GWH3" t="s">
        <v>5516</v>
      </c>
      <c r="GWI3" t="s">
        <v>5517</v>
      </c>
      <c r="GWJ3" t="s">
        <v>5518</v>
      </c>
      <c r="GWK3" t="s">
        <v>5519</v>
      </c>
      <c r="GWL3" t="s">
        <v>5520</v>
      </c>
      <c r="GWM3" t="s">
        <v>5521</v>
      </c>
      <c r="GWN3" t="s">
        <v>5522</v>
      </c>
      <c r="GWO3" t="s">
        <v>5523</v>
      </c>
      <c r="GWP3" t="s">
        <v>5524</v>
      </c>
      <c r="GWQ3" t="s">
        <v>5525</v>
      </c>
      <c r="GWR3" t="s">
        <v>5526</v>
      </c>
      <c r="GWS3" t="s">
        <v>5527</v>
      </c>
      <c r="GWT3" t="s">
        <v>5528</v>
      </c>
      <c r="GWU3" t="s">
        <v>5529</v>
      </c>
      <c r="GWV3" t="s">
        <v>5530</v>
      </c>
      <c r="GWW3" t="s">
        <v>5531</v>
      </c>
      <c r="GWX3" t="s">
        <v>5532</v>
      </c>
      <c r="GWY3" t="s">
        <v>5533</v>
      </c>
      <c r="GWZ3" t="s">
        <v>5534</v>
      </c>
      <c r="GXA3" t="s">
        <v>5535</v>
      </c>
      <c r="GXB3" t="s">
        <v>5536</v>
      </c>
      <c r="GXC3" t="s">
        <v>5537</v>
      </c>
      <c r="GXD3" t="s">
        <v>5538</v>
      </c>
      <c r="GXE3" t="s">
        <v>5539</v>
      </c>
      <c r="GXF3" t="s">
        <v>5540</v>
      </c>
      <c r="GXG3" t="s">
        <v>5541</v>
      </c>
      <c r="GXH3" t="s">
        <v>5542</v>
      </c>
      <c r="GXI3" t="s">
        <v>5543</v>
      </c>
      <c r="GXJ3" t="s">
        <v>5544</v>
      </c>
      <c r="GXK3" t="s">
        <v>5545</v>
      </c>
      <c r="GXL3" t="s">
        <v>5546</v>
      </c>
      <c r="GXM3" t="s">
        <v>5547</v>
      </c>
      <c r="GXN3" t="s">
        <v>5548</v>
      </c>
      <c r="GXO3" t="s">
        <v>5549</v>
      </c>
      <c r="GXP3" t="s">
        <v>5550</v>
      </c>
      <c r="GXQ3" t="s">
        <v>5551</v>
      </c>
      <c r="GXR3" t="s">
        <v>5552</v>
      </c>
      <c r="GXS3" t="s">
        <v>5553</v>
      </c>
      <c r="GXT3" t="s">
        <v>5554</v>
      </c>
      <c r="GXU3" t="s">
        <v>5555</v>
      </c>
      <c r="GXV3" t="s">
        <v>5556</v>
      </c>
      <c r="GXW3" t="s">
        <v>5557</v>
      </c>
      <c r="GXX3" t="s">
        <v>5558</v>
      </c>
      <c r="GXY3" t="s">
        <v>5559</v>
      </c>
      <c r="GXZ3" t="s">
        <v>5560</v>
      </c>
      <c r="GYA3" t="s">
        <v>5561</v>
      </c>
      <c r="GYB3" t="s">
        <v>5562</v>
      </c>
      <c r="GYC3" t="s">
        <v>5563</v>
      </c>
      <c r="GYD3" t="s">
        <v>5564</v>
      </c>
      <c r="GYE3" t="s">
        <v>5565</v>
      </c>
      <c r="GYF3" t="s">
        <v>5566</v>
      </c>
      <c r="GYG3" t="s">
        <v>5567</v>
      </c>
      <c r="GYH3" t="s">
        <v>5568</v>
      </c>
      <c r="GYI3" t="s">
        <v>5569</v>
      </c>
      <c r="GYJ3" t="s">
        <v>5570</v>
      </c>
      <c r="GYK3" t="s">
        <v>5571</v>
      </c>
      <c r="GYL3" t="s">
        <v>5572</v>
      </c>
      <c r="GYM3" t="s">
        <v>5573</v>
      </c>
      <c r="GYN3" t="s">
        <v>5574</v>
      </c>
      <c r="GYO3" t="s">
        <v>5575</v>
      </c>
      <c r="GYP3" t="s">
        <v>5576</v>
      </c>
      <c r="GYQ3" t="s">
        <v>5577</v>
      </c>
      <c r="GYR3" t="s">
        <v>5578</v>
      </c>
      <c r="GYS3" t="s">
        <v>5579</v>
      </c>
      <c r="GYT3" t="s">
        <v>5580</v>
      </c>
      <c r="GYU3" t="s">
        <v>5581</v>
      </c>
      <c r="GYV3" t="s">
        <v>5582</v>
      </c>
      <c r="GYW3" t="s">
        <v>5583</v>
      </c>
      <c r="GYX3" t="s">
        <v>5584</v>
      </c>
      <c r="GYY3" t="s">
        <v>5585</v>
      </c>
      <c r="GYZ3" t="s">
        <v>5586</v>
      </c>
      <c r="GZA3" t="s">
        <v>5587</v>
      </c>
      <c r="GZB3" t="s">
        <v>5588</v>
      </c>
      <c r="GZC3" t="s">
        <v>5589</v>
      </c>
      <c r="GZD3" t="s">
        <v>5590</v>
      </c>
      <c r="GZE3" t="s">
        <v>5591</v>
      </c>
      <c r="GZF3" t="s">
        <v>5592</v>
      </c>
      <c r="GZG3" t="s">
        <v>5593</v>
      </c>
      <c r="GZH3" t="s">
        <v>5594</v>
      </c>
      <c r="GZI3" t="s">
        <v>5595</v>
      </c>
      <c r="GZJ3" t="s">
        <v>5596</v>
      </c>
      <c r="GZK3" t="s">
        <v>5597</v>
      </c>
      <c r="GZL3" t="s">
        <v>5598</v>
      </c>
      <c r="GZM3" t="s">
        <v>5599</v>
      </c>
      <c r="GZN3" t="s">
        <v>5600</v>
      </c>
      <c r="GZO3" t="s">
        <v>5601</v>
      </c>
      <c r="GZP3" t="s">
        <v>5602</v>
      </c>
      <c r="GZQ3" t="s">
        <v>5603</v>
      </c>
      <c r="GZR3" t="s">
        <v>5604</v>
      </c>
      <c r="GZS3" t="s">
        <v>5605</v>
      </c>
      <c r="GZT3" t="s">
        <v>5606</v>
      </c>
      <c r="GZU3" t="s">
        <v>5607</v>
      </c>
      <c r="GZV3" t="s">
        <v>5608</v>
      </c>
      <c r="GZW3" t="s">
        <v>5609</v>
      </c>
      <c r="GZX3" t="s">
        <v>5610</v>
      </c>
      <c r="GZY3" t="s">
        <v>5611</v>
      </c>
      <c r="GZZ3" t="s">
        <v>5612</v>
      </c>
      <c r="HAA3" t="s">
        <v>5613</v>
      </c>
      <c r="HAB3" t="s">
        <v>5614</v>
      </c>
      <c r="HAC3" t="s">
        <v>5615</v>
      </c>
      <c r="HAD3" t="s">
        <v>5616</v>
      </c>
      <c r="HAE3" t="s">
        <v>5617</v>
      </c>
      <c r="HAF3" t="s">
        <v>5618</v>
      </c>
      <c r="HAG3" t="s">
        <v>5619</v>
      </c>
      <c r="HAH3" t="s">
        <v>5620</v>
      </c>
      <c r="HAI3" t="s">
        <v>5621</v>
      </c>
      <c r="HAJ3" t="s">
        <v>5622</v>
      </c>
      <c r="HAK3" t="s">
        <v>5623</v>
      </c>
      <c r="HAL3" t="s">
        <v>5624</v>
      </c>
      <c r="HAM3" t="s">
        <v>5625</v>
      </c>
      <c r="HAN3" t="s">
        <v>5626</v>
      </c>
      <c r="HAO3" t="s">
        <v>5627</v>
      </c>
      <c r="HAP3" t="s">
        <v>5628</v>
      </c>
      <c r="HAQ3" t="s">
        <v>5629</v>
      </c>
      <c r="HAR3" t="s">
        <v>5630</v>
      </c>
      <c r="HAS3" t="s">
        <v>5631</v>
      </c>
      <c r="HAT3" t="s">
        <v>5632</v>
      </c>
      <c r="HAU3" t="s">
        <v>5633</v>
      </c>
      <c r="HAV3" t="s">
        <v>5634</v>
      </c>
      <c r="HAW3" t="s">
        <v>5635</v>
      </c>
      <c r="HAX3" t="s">
        <v>5636</v>
      </c>
      <c r="HAY3" t="s">
        <v>5637</v>
      </c>
      <c r="HAZ3" t="s">
        <v>5638</v>
      </c>
      <c r="HBA3" t="s">
        <v>5639</v>
      </c>
      <c r="HBB3" t="s">
        <v>5640</v>
      </c>
      <c r="HBC3" t="s">
        <v>5641</v>
      </c>
      <c r="HBD3" t="s">
        <v>5642</v>
      </c>
      <c r="HBE3" t="s">
        <v>5643</v>
      </c>
      <c r="HBF3" t="s">
        <v>5644</v>
      </c>
      <c r="HBG3" t="s">
        <v>5645</v>
      </c>
      <c r="HBH3" t="s">
        <v>5646</v>
      </c>
      <c r="HBI3" t="s">
        <v>5647</v>
      </c>
      <c r="HBJ3" t="s">
        <v>5648</v>
      </c>
      <c r="HBK3" t="s">
        <v>5649</v>
      </c>
      <c r="HBL3" t="s">
        <v>5650</v>
      </c>
      <c r="HBM3" t="s">
        <v>5651</v>
      </c>
      <c r="HBN3" t="s">
        <v>5652</v>
      </c>
      <c r="HBO3" t="s">
        <v>5653</v>
      </c>
      <c r="HBP3" t="s">
        <v>5654</v>
      </c>
      <c r="HBQ3" t="s">
        <v>5655</v>
      </c>
      <c r="HBR3" t="s">
        <v>5656</v>
      </c>
      <c r="HBS3" t="s">
        <v>5657</v>
      </c>
      <c r="HBT3" t="s">
        <v>5658</v>
      </c>
      <c r="HBU3" t="s">
        <v>5659</v>
      </c>
      <c r="HBV3" t="s">
        <v>5660</v>
      </c>
      <c r="HBW3" t="s">
        <v>5661</v>
      </c>
      <c r="HBX3" t="s">
        <v>5662</v>
      </c>
      <c r="HBY3" t="s">
        <v>5663</v>
      </c>
      <c r="HBZ3" t="s">
        <v>5664</v>
      </c>
      <c r="HCA3" t="s">
        <v>5665</v>
      </c>
      <c r="HCB3" t="s">
        <v>5666</v>
      </c>
      <c r="HCC3" t="s">
        <v>5667</v>
      </c>
      <c r="HCD3" t="s">
        <v>5668</v>
      </c>
      <c r="HCE3" t="s">
        <v>5669</v>
      </c>
      <c r="HCF3" t="s">
        <v>5670</v>
      </c>
      <c r="HCG3" t="s">
        <v>5671</v>
      </c>
      <c r="HCH3" t="s">
        <v>5672</v>
      </c>
      <c r="HCI3" t="s">
        <v>5673</v>
      </c>
      <c r="HCJ3" t="s">
        <v>5674</v>
      </c>
      <c r="HCK3" t="s">
        <v>5675</v>
      </c>
      <c r="HCL3" t="s">
        <v>5676</v>
      </c>
      <c r="HCM3" t="s">
        <v>5677</v>
      </c>
      <c r="HCN3" t="s">
        <v>5678</v>
      </c>
      <c r="HCO3" t="s">
        <v>5679</v>
      </c>
      <c r="HCP3" t="s">
        <v>5680</v>
      </c>
      <c r="HCQ3" t="s">
        <v>5681</v>
      </c>
      <c r="HCR3" t="s">
        <v>5682</v>
      </c>
      <c r="HCS3" t="s">
        <v>5683</v>
      </c>
      <c r="HCT3" t="s">
        <v>5684</v>
      </c>
      <c r="HCU3" t="s">
        <v>5685</v>
      </c>
      <c r="HCV3" t="s">
        <v>5686</v>
      </c>
      <c r="HCW3" t="s">
        <v>5687</v>
      </c>
      <c r="HCX3" t="s">
        <v>5688</v>
      </c>
      <c r="HCY3" t="s">
        <v>5689</v>
      </c>
      <c r="HCZ3" t="s">
        <v>5690</v>
      </c>
      <c r="HDA3" t="s">
        <v>5691</v>
      </c>
      <c r="HDB3" t="s">
        <v>5692</v>
      </c>
      <c r="HDC3" t="s">
        <v>5693</v>
      </c>
      <c r="HDD3" t="s">
        <v>5694</v>
      </c>
      <c r="HDE3" t="s">
        <v>5695</v>
      </c>
      <c r="HDF3" t="s">
        <v>5696</v>
      </c>
      <c r="HDG3" t="s">
        <v>5697</v>
      </c>
      <c r="HDH3" t="s">
        <v>5698</v>
      </c>
      <c r="HDI3" t="s">
        <v>5699</v>
      </c>
      <c r="HDJ3" t="s">
        <v>5700</v>
      </c>
      <c r="HDK3" t="s">
        <v>5701</v>
      </c>
      <c r="HDL3" t="s">
        <v>5702</v>
      </c>
      <c r="HDM3" t="s">
        <v>5703</v>
      </c>
      <c r="HDN3" t="s">
        <v>5704</v>
      </c>
      <c r="HDO3" t="s">
        <v>5705</v>
      </c>
      <c r="HDP3" t="s">
        <v>5706</v>
      </c>
      <c r="HDQ3" t="s">
        <v>5707</v>
      </c>
      <c r="HDR3" t="s">
        <v>5708</v>
      </c>
      <c r="HDS3" t="s">
        <v>5709</v>
      </c>
      <c r="HDT3" t="s">
        <v>5710</v>
      </c>
      <c r="HDU3" t="s">
        <v>5711</v>
      </c>
      <c r="HDV3" t="s">
        <v>5712</v>
      </c>
      <c r="HDW3" t="s">
        <v>5713</v>
      </c>
      <c r="HDX3" t="s">
        <v>5714</v>
      </c>
      <c r="HDY3" t="s">
        <v>5715</v>
      </c>
      <c r="HDZ3" t="s">
        <v>5716</v>
      </c>
      <c r="HEA3" t="s">
        <v>5717</v>
      </c>
      <c r="HEB3" t="s">
        <v>5718</v>
      </c>
      <c r="HEC3" t="s">
        <v>5719</v>
      </c>
      <c r="HED3" t="s">
        <v>5720</v>
      </c>
      <c r="HEE3" t="s">
        <v>5721</v>
      </c>
      <c r="HEF3" t="s">
        <v>5722</v>
      </c>
      <c r="HEG3" t="s">
        <v>5723</v>
      </c>
      <c r="HEH3" t="s">
        <v>5724</v>
      </c>
      <c r="HEI3" t="s">
        <v>5725</v>
      </c>
      <c r="HEJ3" t="s">
        <v>5726</v>
      </c>
      <c r="HEK3" t="s">
        <v>5727</v>
      </c>
      <c r="HEL3" t="s">
        <v>5728</v>
      </c>
      <c r="HEM3" t="s">
        <v>5729</v>
      </c>
      <c r="HEN3" t="s">
        <v>5730</v>
      </c>
      <c r="HEO3" t="s">
        <v>5731</v>
      </c>
      <c r="HEP3" t="s">
        <v>5732</v>
      </c>
      <c r="HEQ3" t="s">
        <v>5733</v>
      </c>
      <c r="HER3" t="s">
        <v>5734</v>
      </c>
      <c r="HES3" t="s">
        <v>5735</v>
      </c>
      <c r="HET3" t="s">
        <v>5736</v>
      </c>
      <c r="HEU3" t="s">
        <v>5737</v>
      </c>
      <c r="HEV3" t="s">
        <v>5738</v>
      </c>
      <c r="HEW3" t="s">
        <v>5739</v>
      </c>
      <c r="HEX3" t="s">
        <v>5740</v>
      </c>
      <c r="HEY3" t="s">
        <v>5741</v>
      </c>
      <c r="HEZ3" t="s">
        <v>5742</v>
      </c>
      <c r="HFA3" t="s">
        <v>5743</v>
      </c>
      <c r="HFB3" t="s">
        <v>5744</v>
      </c>
      <c r="HFC3" t="s">
        <v>5745</v>
      </c>
      <c r="HFD3" t="s">
        <v>5746</v>
      </c>
      <c r="HFE3" t="s">
        <v>5747</v>
      </c>
      <c r="HFF3" t="s">
        <v>5748</v>
      </c>
      <c r="HFG3" t="s">
        <v>5749</v>
      </c>
      <c r="HFH3" t="s">
        <v>5750</v>
      </c>
      <c r="HFI3" t="s">
        <v>5751</v>
      </c>
      <c r="HFJ3" t="s">
        <v>5752</v>
      </c>
      <c r="HFK3" t="s">
        <v>5753</v>
      </c>
      <c r="HFL3" t="s">
        <v>5754</v>
      </c>
      <c r="HFM3" t="s">
        <v>5755</v>
      </c>
      <c r="HFN3" t="s">
        <v>5756</v>
      </c>
      <c r="HFO3" t="s">
        <v>5757</v>
      </c>
      <c r="HFP3" t="s">
        <v>5758</v>
      </c>
      <c r="HFQ3" t="s">
        <v>5759</v>
      </c>
      <c r="HFR3" t="s">
        <v>5760</v>
      </c>
      <c r="HFS3" t="s">
        <v>5761</v>
      </c>
      <c r="HFT3" t="s">
        <v>5762</v>
      </c>
      <c r="HFU3" t="s">
        <v>5763</v>
      </c>
      <c r="HFV3" t="s">
        <v>5764</v>
      </c>
      <c r="HFW3" t="s">
        <v>5765</v>
      </c>
      <c r="HFX3" t="s">
        <v>5766</v>
      </c>
      <c r="HFY3" t="s">
        <v>5767</v>
      </c>
      <c r="HFZ3" t="s">
        <v>5768</v>
      </c>
      <c r="HGA3" t="s">
        <v>5769</v>
      </c>
      <c r="HGB3" t="s">
        <v>5770</v>
      </c>
      <c r="HGC3" t="s">
        <v>5771</v>
      </c>
      <c r="HGD3" t="s">
        <v>5772</v>
      </c>
      <c r="HGE3" t="s">
        <v>5773</v>
      </c>
      <c r="HGF3" t="s">
        <v>5774</v>
      </c>
      <c r="HGG3" t="s">
        <v>5775</v>
      </c>
      <c r="HGH3" t="s">
        <v>5776</v>
      </c>
      <c r="HGI3" t="s">
        <v>5777</v>
      </c>
      <c r="HGJ3" t="s">
        <v>5778</v>
      </c>
      <c r="HGK3" t="s">
        <v>5779</v>
      </c>
      <c r="HGL3" t="s">
        <v>5780</v>
      </c>
      <c r="HGM3" t="s">
        <v>5781</v>
      </c>
      <c r="HGN3" t="s">
        <v>5782</v>
      </c>
      <c r="HGO3" t="s">
        <v>5783</v>
      </c>
      <c r="HGP3" t="s">
        <v>5784</v>
      </c>
      <c r="HGQ3" t="s">
        <v>5785</v>
      </c>
      <c r="HGR3" t="s">
        <v>5786</v>
      </c>
      <c r="HGS3" t="s">
        <v>5787</v>
      </c>
      <c r="HGT3" t="s">
        <v>5788</v>
      </c>
      <c r="HGU3" t="s">
        <v>5789</v>
      </c>
      <c r="HGV3" t="s">
        <v>5790</v>
      </c>
      <c r="HGW3" t="s">
        <v>5791</v>
      </c>
      <c r="HGX3" t="s">
        <v>5792</v>
      </c>
      <c r="HGY3" t="s">
        <v>5793</v>
      </c>
      <c r="HGZ3" t="s">
        <v>5794</v>
      </c>
      <c r="HHA3" t="s">
        <v>5795</v>
      </c>
      <c r="HHB3" t="s">
        <v>5796</v>
      </c>
      <c r="HHC3" t="s">
        <v>5797</v>
      </c>
      <c r="HHD3" t="s">
        <v>5798</v>
      </c>
      <c r="HHE3" t="s">
        <v>5799</v>
      </c>
      <c r="HHF3" t="s">
        <v>5800</v>
      </c>
      <c r="HHG3" t="s">
        <v>5801</v>
      </c>
      <c r="HHH3" t="s">
        <v>5802</v>
      </c>
      <c r="HHI3" t="s">
        <v>5803</v>
      </c>
      <c r="HHJ3" t="s">
        <v>5804</v>
      </c>
      <c r="HHK3" t="s">
        <v>5805</v>
      </c>
      <c r="HHL3" t="s">
        <v>5806</v>
      </c>
      <c r="HHM3" t="s">
        <v>5807</v>
      </c>
      <c r="HHN3" t="s">
        <v>5808</v>
      </c>
      <c r="HHO3" t="s">
        <v>5809</v>
      </c>
      <c r="HHP3" t="s">
        <v>5810</v>
      </c>
      <c r="HHQ3" t="s">
        <v>5811</v>
      </c>
      <c r="HHR3" t="s">
        <v>5812</v>
      </c>
      <c r="HHS3" t="s">
        <v>5813</v>
      </c>
      <c r="HHT3" t="s">
        <v>5814</v>
      </c>
      <c r="HHU3" t="s">
        <v>5815</v>
      </c>
      <c r="HHV3" t="s">
        <v>5816</v>
      </c>
      <c r="HHW3" t="s">
        <v>5817</v>
      </c>
      <c r="HHX3" t="s">
        <v>5818</v>
      </c>
      <c r="HHY3" t="s">
        <v>5819</v>
      </c>
      <c r="HHZ3" t="s">
        <v>5820</v>
      </c>
      <c r="HIA3" t="s">
        <v>5821</v>
      </c>
      <c r="HIB3" t="s">
        <v>5822</v>
      </c>
      <c r="HIC3" t="s">
        <v>5823</v>
      </c>
      <c r="HID3" t="s">
        <v>5824</v>
      </c>
      <c r="HIE3" t="s">
        <v>5825</v>
      </c>
      <c r="HIF3" t="s">
        <v>5826</v>
      </c>
      <c r="HIG3" t="s">
        <v>5827</v>
      </c>
      <c r="HIH3" t="s">
        <v>5828</v>
      </c>
      <c r="HII3" t="s">
        <v>5829</v>
      </c>
      <c r="HIJ3" t="s">
        <v>5830</v>
      </c>
      <c r="HIK3" t="s">
        <v>5831</v>
      </c>
      <c r="HIL3" t="s">
        <v>5832</v>
      </c>
      <c r="HIM3" t="s">
        <v>5833</v>
      </c>
      <c r="HIN3" t="s">
        <v>5834</v>
      </c>
      <c r="HIO3" t="s">
        <v>5835</v>
      </c>
      <c r="HIP3" t="s">
        <v>5836</v>
      </c>
      <c r="HIQ3" t="s">
        <v>5837</v>
      </c>
      <c r="HIR3" t="s">
        <v>5838</v>
      </c>
      <c r="HIS3" t="s">
        <v>5839</v>
      </c>
      <c r="HIT3" t="s">
        <v>5840</v>
      </c>
      <c r="HIU3" t="s">
        <v>5841</v>
      </c>
      <c r="HIV3" t="s">
        <v>5842</v>
      </c>
      <c r="HIW3" t="s">
        <v>5843</v>
      </c>
      <c r="HIX3" t="s">
        <v>5844</v>
      </c>
      <c r="HIY3" t="s">
        <v>5845</v>
      </c>
      <c r="HIZ3" t="s">
        <v>5846</v>
      </c>
      <c r="HJA3" t="s">
        <v>5847</v>
      </c>
      <c r="HJB3" t="s">
        <v>5848</v>
      </c>
      <c r="HJC3" t="s">
        <v>5849</v>
      </c>
      <c r="HJD3" t="s">
        <v>5850</v>
      </c>
      <c r="HJE3" t="s">
        <v>5851</v>
      </c>
      <c r="HJF3" t="s">
        <v>5852</v>
      </c>
      <c r="HJG3" t="s">
        <v>5853</v>
      </c>
      <c r="HJH3" t="s">
        <v>5854</v>
      </c>
      <c r="HJI3" t="s">
        <v>5855</v>
      </c>
      <c r="HJJ3" t="s">
        <v>5856</v>
      </c>
      <c r="HJK3" t="s">
        <v>5857</v>
      </c>
      <c r="HJL3" t="s">
        <v>5858</v>
      </c>
      <c r="HJM3" t="s">
        <v>5859</v>
      </c>
      <c r="HJN3" t="s">
        <v>5860</v>
      </c>
      <c r="HJO3" t="s">
        <v>5861</v>
      </c>
      <c r="HJP3" t="s">
        <v>5862</v>
      </c>
      <c r="HJQ3" t="s">
        <v>5863</v>
      </c>
      <c r="HJR3" t="s">
        <v>5864</v>
      </c>
      <c r="HJS3" t="s">
        <v>5865</v>
      </c>
      <c r="HJT3" t="s">
        <v>5866</v>
      </c>
      <c r="HJU3" t="s">
        <v>5867</v>
      </c>
      <c r="HJV3" t="s">
        <v>5868</v>
      </c>
      <c r="HJW3" t="s">
        <v>5869</v>
      </c>
      <c r="HJX3" t="s">
        <v>5870</v>
      </c>
      <c r="HJY3" t="s">
        <v>5871</v>
      </c>
      <c r="HJZ3" t="s">
        <v>5872</v>
      </c>
      <c r="HKA3" t="s">
        <v>5873</v>
      </c>
      <c r="HKB3" t="s">
        <v>5874</v>
      </c>
      <c r="HKC3" t="s">
        <v>5875</v>
      </c>
      <c r="HKD3" t="s">
        <v>5876</v>
      </c>
      <c r="HKE3" t="s">
        <v>5877</v>
      </c>
      <c r="HKF3" t="s">
        <v>5878</v>
      </c>
      <c r="HKG3" t="s">
        <v>5879</v>
      </c>
      <c r="HKH3" t="s">
        <v>5880</v>
      </c>
      <c r="HKI3" t="s">
        <v>5881</v>
      </c>
      <c r="HKJ3" t="s">
        <v>5882</v>
      </c>
      <c r="HKK3" t="s">
        <v>5883</v>
      </c>
      <c r="HKL3" t="s">
        <v>5884</v>
      </c>
      <c r="HKM3" t="s">
        <v>5885</v>
      </c>
      <c r="HKN3" t="s">
        <v>5886</v>
      </c>
      <c r="HKO3" t="s">
        <v>5887</v>
      </c>
      <c r="HKP3" t="s">
        <v>5888</v>
      </c>
      <c r="HKQ3" t="s">
        <v>5889</v>
      </c>
      <c r="HKR3" t="s">
        <v>5890</v>
      </c>
      <c r="HKS3" t="s">
        <v>5891</v>
      </c>
      <c r="HKT3" t="s">
        <v>5892</v>
      </c>
      <c r="HKU3" t="s">
        <v>5893</v>
      </c>
      <c r="HKV3" t="s">
        <v>5894</v>
      </c>
      <c r="HKW3" t="s">
        <v>5895</v>
      </c>
      <c r="HKX3" t="s">
        <v>5896</v>
      </c>
      <c r="HKY3" t="s">
        <v>5897</v>
      </c>
      <c r="HKZ3" t="s">
        <v>5898</v>
      </c>
      <c r="HLA3" t="s">
        <v>5899</v>
      </c>
      <c r="HLB3" t="s">
        <v>5900</v>
      </c>
      <c r="HLC3" t="s">
        <v>5901</v>
      </c>
      <c r="HLD3" t="s">
        <v>5902</v>
      </c>
      <c r="HLE3" t="s">
        <v>5903</v>
      </c>
      <c r="HLF3" t="s">
        <v>5904</v>
      </c>
      <c r="HLG3" t="s">
        <v>5905</v>
      </c>
      <c r="HLH3" t="s">
        <v>5906</v>
      </c>
      <c r="HLI3" t="s">
        <v>5907</v>
      </c>
      <c r="HLJ3" t="s">
        <v>5908</v>
      </c>
      <c r="HLK3" t="s">
        <v>5909</v>
      </c>
      <c r="HLL3" t="s">
        <v>5910</v>
      </c>
      <c r="HLM3" t="s">
        <v>5911</v>
      </c>
      <c r="HLN3" t="s">
        <v>5912</v>
      </c>
      <c r="HLO3" t="s">
        <v>5913</v>
      </c>
      <c r="HLP3" t="s">
        <v>5914</v>
      </c>
      <c r="HLQ3" t="s">
        <v>5915</v>
      </c>
      <c r="HLR3" t="s">
        <v>5916</v>
      </c>
      <c r="HLS3" t="s">
        <v>5917</v>
      </c>
      <c r="HLT3" t="s">
        <v>5918</v>
      </c>
      <c r="HLU3" t="s">
        <v>5919</v>
      </c>
      <c r="HLV3" t="s">
        <v>5920</v>
      </c>
      <c r="HLW3" t="s">
        <v>5921</v>
      </c>
      <c r="HLX3" t="s">
        <v>5922</v>
      </c>
      <c r="HLY3" t="s">
        <v>5923</v>
      </c>
      <c r="HLZ3" t="s">
        <v>5924</v>
      </c>
      <c r="HMA3" t="s">
        <v>5925</v>
      </c>
      <c r="HMB3" t="s">
        <v>5926</v>
      </c>
      <c r="HMC3" t="s">
        <v>5927</v>
      </c>
      <c r="HMD3" t="s">
        <v>5928</v>
      </c>
      <c r="HME3" t="s">
        <v>5929</v>
      </c>
      <c r="HMF3" t="s">
        <v>5930</v>
      </c>
      <c r="HMG3" t="s">
        <v>5931</v>
      </c>
      <c r="HMH3" t="s">
        <v>5932</v>
      </c>
      <c r="HMI3" t="s">
        <v>5933</v>
      </c>
      <c r="HMJ3" t="s">
        <v>5934</v>
      </c>
      <c r="HMK3" t="s">
        <v>5935</v>
      </c>
      <c r="HML3" t="s">
        <v>5936</v>
      </c>
      <c r="HMM3" t="s">
        <v>5937</v>
      </c>
      <c r="HMN3" t="s">
        <v>5938</v>
      </c>
      <c r="HMO3" t="s">
        <v>5939</v>
      </c>
      <c r="HMP3" t="s">
        <v>5940</v>
      </c>
      <c r="HMQ3" t="s">
        <v>5941</v>
      </c>
      <c r="HMR3" t="s">
        <v>5942</v>
      </c>
      <c r="HMS3" t="s">
        <v>5943</v>
      </c>
      <c r="HMT3" t="s">
        <v>5944</v>
      </c>
      <c r="HMU3" t="s">
        <v>5945</v>
      </c>
      <c r="HMV3" t="s">
        <v>5946</v>
      </c>
      <c r="HMW3" t="s">
        <v>5947</v>
      </c>
      <c r="HMX3" t="s">
        <v>5948</v>
      </c>
      <c r="HMY3" t="s">
        <v>5949</v>
      </c>
      <c r="HMZ3" t="s">
        <v>5950</v>
      </c>
      <c r="HNA3" t="s">
        <v>5951</v>
      </c>
      <c r="HNB3" t="s">
        <v>5952</v>
      </c>
      <c r="HNC3" t="s">
        <v>5953</v>
      </c>
      <c r="HND3" t="s">
        <v>5954</v>
      </c>
      <c r="HNE3" t="s">
        <v>5955</v>
      </c>
      <c r="HNF3" t="s">
        <v>5956</v>
      </c>
      <c r="HNG3" t="s">
        <v>5957</v>
      </c>
      <c r="HNH3" t="s">
        <v>5958</v>
      </c>
      <c r="HNI3" t="s">
        <v>5959</v>
      </c>
      <c r="HNJ3" t="s">
        <v>5960</v>
      </c>
      <c r="HNK3" t="s">
        <v>5961</v>
      </c>
      <c r="HNL3" t="s">
        <v>5962</v>
      </c>
      <c r="HNM3" t="s">
        <v>5963</v>
      </c>
      <c r="HNN3" t="s">
        <v>5964</v>
      </c>
      <c r="HNO3" t="s">
        <v>5965</v>
      </c>
      <c r="HNP3" t="s">
        <v>5966</v>
      </c>
      <c r="HNQ3" t="s">
        <v>5967</v>
      </c>
      <c r="HNR3" t="s">
        <v>5968</v>
      </c>
      <c r="HNS3" t="s">
        <v>5969</v>
      </c>
      <c r="HNT3" t="s">
        <v>5970</v>
      </c>
      <c r="HNU3" t="s">
        <v>5971</v>
      </c>
      <c r="HNV3" t="s">
        <v>5972</v>
      </c>
      <c r="HNW3" t="s">
        <v>5973</v>
      </c>
      <c r="HNX3" t="s">
        <v>5974</v>
      </c>
      <c r="HNY3" t="s">
        <v>5975</v>
      </c>
      <c r="HNZ3" t="s">
        <v>5976</v>
      </c>
      <c r="HOA3" t="s">
        <v>5977</v>
      </c>
      <c r="HOB3" t="s">
        <v>5978</v>
      </c>
      <c r="HOC3" t="s">
        <v>5979</v>
      </c>
      <c r="HOD3" t="s">
        <v>5980</v>
      </c>
      <c r="HOE3" t="s">
        <v>5981</v>
      </c>
      <c r="HOF3" t="s">
        <v>5982</v>
      </c>
      <c r="HOG3" t="s">
        <v>5983</v>
      </c>
      <c r="HOH3" t="s">
        <v>5984</v>
      </c>
      <c r="HOI3" t="s">
        <v>5985</v>
      </c>
      <c r="HOJ3" t="s">
        <v>5986</v>
      </c>
      <c r="HOK3" t="s">
        <v>5987</v>
      </c>
      <c r="HOL3" t="s">
        <v>5988</v>
      </c>
      <c r="HOM3" t="s">
        <v>5989</v>
      </c>
      <c r="HON3" t="s">
        <v>5990</v>
      </c>
      <c r="HOO3" t="s">
        <v>5991</v>
      </c>
      <c r="HOP3" t="s">
        <v>5992</v>
      </c>
      <c r="HOQ3" t="s">
        <v>5993</v>
      </c>
      <c r="HOR3" t="s">
        <v>5994</v>
      </c>
      <c r="HOS3" t="s">
        <v>5995</v>
      </c>
      <c r="HOT3" t="s">
        <v>5996</v>
      </c>
      <c r="HOU3" t="s">
        <v>5997</v>
      </c>
      <c r="HOV3" t="s">
        <v>5998</v>
      </c>
      <c r="HOW3" t="s">
        <v>5999</v>
      </c>
      <c r="HOX3" t="s">
        <v>6000</v>
      </c>
      <c r="HOY3" t="s">
        <v>6001</v>
      </c>
      <c r="HOZ3" t="s">
        <v>6002</v>
      </c>
      <c r="HPA3" t="s">
        <v>6003</v>
      </c>
      <c r="HPB3" t="s">
        <v>6004</v>
      </c>
      <c r="HPC3" t="s">
        <v>6005</v>
      </c>
      <c r="HPD3" t="s">
        <v>6006</v>
      </c>
      <c r="HPE3" t="s">
        <v>6007</v>
      </c>
      <c r="HPF3" t="s">
        <v>6008</v>
      </c>
      <c r="HPG3" t="s">
        <v>6009</v>
      </c>
      <c r="HPH3" t="s">
        <v>6010</v>
      </c>
      <c r="HPI3" t="s">
        <v>6011</v>
      </c>
      <c r="HPJ3" t="s">
        <v>6012</v>
      </c>
      <c r="HPK3" t="s">
        <v>6013</v>
      </c>
      <c r="HPL3" t="s">
        <v>6014</v>
      </c>
      <c r="HPM3" t="s">
        <v>6015</v>
      </c>
      <c r="HPN3" t="s">
        <v>6016</v>
      </c>
      <c r="HPO3" t="s">
        <v>6017</v>
      </c>
      <c r="HPP3" t="s">
        <v>6018</v>
      </c>
      <c r="HPQ3" t="s">
        <v>6019</v>
      </c>
      <c r="HPR3" t="s">
        <v>6020</v>
      </c>
      <c r="HPS3" t="s">
        <v>6021</v>
      </c>
      <c r="HPT3" t="s">
        <v>6022</v>
      </c>
      <c r="HPU3" t="s">
        <v>6023</v>
      </c>
      <c r="HPV3" t="s">
        <v>6024</v>
      </c>
      <c r="HPW3" t="s">
        <v>6025</v>
      </c>
      <c r="HPX3" t="s">
        <v>6026</v>
      </c>
      <c r="HPY3" t="s">
        <v>6027</v>
      </c>
      <c r="HPZ3" t="s">
        <v>6028</v>
      </c>
      <c r="HQA3" t="s">
        <v>6029</v>
      </c>
      <c r="HQB3" t="s">
        <v>6030</v>
      </c>
      <c r="HQC3" t="s">
        <v>6031</v>
      </c>
      <c r="HQD3" t="s">
        <v>6032</v>
      </c>
      <c r="HQE3" t="s">
        <v>6033</v>
      </c>
      <c r="HQF3" t="s">
        <v>6034</v>
      </c>
      <c r="HQG3" t="s">
        <v>6035</v>
      </c>
      <c r="HQH3" t="s">
        <v>6036</v>
      </c>
      <c r="HQI3" t="s">
        <v>6037</v>
      </c>
      <c r="HQJ3" t="s">
        <v>6038</v>
      </c>
      <c r="HQK3" t="s">
        <v>6039</v>
      </c>
      <c r="HQL3" t="s">
        <v>6040</v>
      </c>
      <c r="HQM3" t="s">
        <v>6041</v>
      </c>
      <c r="HQN3" t="s">
        <v>6042</v>
      </c>
      <c r="HQO3" t="s">
        <v>6043</v>
      </c>
      <c r="HQP3" t="s">
        <v>6044</v>
      </c>
      <c r="HQQ3" t="s">
        <v>6045</v>
      </c>
      <c r="HQR3" t="s">
        <v>6046</v>
      </c>
      <c r="HQS3" t="s">
        <v>6047</v>
      </c>
      <c r="HQT3" t="s">
        <v>6048</v>
      </c>
      <c r="HQU3" t="s">
        <v>6049</v>
      </c>
      <c r="HQV3" t="s">
        <v>6050</v>
      </c>
      <c r="HQW3" t="s">
        <v>6051</v>
      </c>
      <c r="HQX3" t="s">
        <v>6052</v>
      </c>
      <c r="HQY3" t="s">
        <v>6053</v>
      </c>
      <c r="HQZ3" t="s">
        <v>6054</v>
      </c>
      <c r="HRA3" t="s">
        <v>6055</v>
      </c>
      <c r="HRB3" t="s">
        <v>6056</v>
      </c>
      <c r="HRC3" t="s">
        <v>6057</v>
      </c>
      <c r="HRD3" t="s">
        <v>6058</v>
      </c>
      <c r="HRE3" t="s">
        <v>6059</v>
      </c>
      <c r="HRF3" t="s">
        <v>6060</v>
      </c>
      <c r="HRG3" t="s">
        <v>6061</v>
      </c>
      <c r="HRH3" t="s">
        <v>6062</v>
      </c>
      <c r="HRI3" t="s">
        <v>6063</v>
      </c>
      <c r="HRJ3" t="s">
        <v>6064</v>
      </c>
      <c r="HRK3" t="s">
        <v>6065</v>
      </c>
      <c r="HRL3" t="s">
        <v>6066</v>
      </c>
      <c r="HRM3" t="s">
        <v>6067</v>
      </c>
      <c r="HRN3" t="s">
        <v>6068</v>
      </c>
      <c r="HRO3" t="s">
        <v>6069</v>
      </c>
      <c r="HRP3" t="s">
        <v>6070</v>
      </c>
      <c r="HRQ3" t="s">
        <v>6071</v>
      </c>
      <c r="HRR3" t="s">
        <v>6072</v>
      </c>
      <c r="HRS3" t="s">
        <v>6073</v>
      </c>
      <c r="HRT3" t="s">
        <v>6074</v>
      </c>
      <c r="HRU3" t="s">
        <v>6075</v>
      </c>
      <c r="HRV3" t="s">
        <v>6076</v>
      </c>
      <c r="HRW3" t="s">
        <v>6077</v>
      </c>
      <c r="HRX3" t="s">
        <v>6078</v>
      </c>
      <c r="HRY3" t="s">
        <v>6079</v>
      </c>
      <c r="HRZ3" t="s">
        <v>6080</v>
      </c>
      <c r="HSA3" t="s">
        <v>6081</v>
      </c>
      <c r="HSB3" t="s">
        <v>6082</v>
      </c>
      <c r="HSC3" t="s">
        <v>6083</v>
      </c>
      <c r="HSD3" t="s">
        <v>6084</v>
      </c>
      <c r="HSE3" t="s">
        <v>6085</v>
      </c>
      <c r="HSF3" t="s">
        <v>6086</v>
      </c>
      <c r="HSG3" t="s">
        <v>6087</v>
      </c>
      <c r="HSH3" t="s">
        <v>6088</v>
      </c>
      <c r="HSI3" t="s">
        <v>6089</v>
      </c>
      <c r="HSJ3" t="s">
        <v>6090</v>
      </c>
      <c r="HSK3" t="s">
        <v>6091</v>
      </c>
      <c r="HSL3" t="s">
        <v>6092</v>
      </c>
      <c r="HSM3" t="s">
        <v>6093</v>
      </c>
      <c r="HSN3" t="s">
        <v>6094</v>
      </c>
      <c r="HSO3" t="s">
        <v>6095</v>
      </c>
      <c r="HSP3" t="s">
        <v>6096</v>
      </c>
      <c r="HSQ3" t="s">
        <v>6097</v>
      </c>
      <c r="HSR3" t="s">
        <v>6098</v>
      </c>
      <c r="HSS3" t="s">
        <v>6099</v>
      </c>
      <c r="HST3" t="s">
        <v>6100</v>
      </c>
      <c r="HSU3" t="s">
        <v>6101</v>
      </c>
      <c r="HSV3" t="s">
        <v>6102</v>
      </c>
      <c r="HSW3" t="s">
        <v>6103</v>
      </c>
      <c r="HSX3" t="s">
        <v>6104</v>
      </c>
      <c r="HSY3" t="s">
        <v>6105</v>
      </c>
      <c r="HSZ3" t="s">
        <v>6106</v>
      </c>
      <c r="HTA3" t="s">
        <v>6107</v>
      </c>
      <c r="HTB3" t="s">
        <v>6108</v>
      </c>
      <c r="HTC3" t="s">
        <v>6109</v>
      </c>
      <c r="HTD3" t="s">
        <v>6110</v>
      </c>
      <c r="HTE3" t="s">
        <v>6111</v>
      </c>
      <c r="HTF3" t="s">
        <v>6112</v>
      </c>
      <c r="HTG3" t="s">
        <v>6113</v>
      </c>
      <c r="HTH3" t="s">
        <v>6114</v>
      </c>
      <c r="HTI3" t="s">
        <v>6115</v>
      </c>
      <c r="HTJ3" t="s">
        <v>6116</v>
      </c>
      <c r="HTK3" t="s">
        <v>6117</v>
      </c>
      <c r="HTL3" t="s">
        <v>6118</v>
      </c>
      <c r="HTM3" t="s">
        <v>6119</v>
      </c>
      <c r="HTN3" t="s">
        <v>6120</v>
      </c>
      <c r="HTO3" t="s">
        <v>6121</v>
      </c>
      <c r="HTP3" t="s">
        <v>6122</v>
      </c>
      <c r="HTQ3" t="s">
        <v>6123</v>
      </c>
      <c r="HTR3" t="s">
        <v>6124</v>
      </c>
      <c r="HTS3" t="s">
        <v>6125</v>
      </c>
      <c r="HTT3" t="s">
        <v>6126</v>
      </c>
      <c r="HTU3" t="s">
        <v>6127</v>
      </c>
      <c r="HTV3" t="s">
        <v>6128</v>
      </c>
      <c r="HTW3" t="s">
        <v>6129</v>
      </c>
      <c r="HTX3" t="s">
        <v>6130</v>
      </c>
      <c r="HTY3" t="s">
        <v>6131</v>
      </c>
      <c r="HTZ3" t="s">
        <v>6132</v>
      </c>
      <c r="HUA3" t="s">
        <v>6133</v>
      </c>
      <c r="HUB3" t="s">
        <v>6134</v>
      </c>
      <c r="HUC3" t="s">
        <v>6135</v>
      </c>
      <c r="HUD3" t="s">
        <v>6136</v>
      </c>
      <c r="HUE3" t="s">
        <v>6137</v>
      </c>
      <c r="HUF3" t="s">
        <v>6138</v>
      </c>
      <c r="HUG3" t="s">
        <v>6139</v>
      </c>
      <c r="HUH3" t="s">
        <v>6140</v>
      </c>
      <c r="HUI3" t="s">
        <v>6141</v>
      </c>
      <c r="HUJ3" t="s">
        <v>6142</v>
      </c>
      <c r="HUK3" t="s">
        <v>6143</v>
      </c>
      <c r="HUL3" t="s">
        <v>6144</v>
      </c>
      <c r="HUM3" t="s">
        <v>6145</v>
      </c>
      <c r="HUN3" t="s">
        <v>6146</v>
      </c>
      <c r="HUO3" t="s">
        <v>6147</v>
      </c>
      <c r="HUP3" t="s">
        <v>6148</v>
      </c>
      <c r="HUQ3" t="s">
        <v>6149</v>
      </c>
      <c r="HUR3" t="s">
        <v>6150</v>
      </c>
      <c r="HUS3" t="s">
        <v>6151</v>
      </c>
      <c r="HUT3" t="s">
        <v>6152</v>
      </c>
      <c r="HUU3" t="s">
        <v>6153</v>
      </c>
      <c r="HUV3" t="s">
        <v>6154</v>
      </c>
      <c r="HUW3" t="s">
        <v>6155</v>
      </c>
      <c r="HUX3" t="s">
        <v>6156</v>
      </c>
      <c r="HUY3" t="s">
        <v>6157</v>
      </c>
      <c r="HUZ3" t="s">
        <v>6158</v>
      </c>
      <c r="HVA3" t="s">
        <v>6159</v>
      </c>
      <c r="HVB3" t="s">
        <v>6160</v>
      </c>
      <c r="HVC3" t="s">
        <v>6161</v>
      </c>
      <c r="HVD3" t="s">
        <v>6162</v>
      </c>
      <c r="HVE3" t="s">
        <v>6163</v>
      </c>
      <c r="HVF3" t="s">
        <v>6164</v>
      </c>
      <c r="HVG3" t="s">
        <v>6165</v>
      </c>
      <c r="HVH3" t="s">
        <v>6166</v>
      </c>
      <c r="HVI3" t="s">
        <v>6167</v>
      </c>
      <c r="HVJ3" t="s">
        <v>6168</v>
      </c>
      <c r="HVK3" t="s">
        <v>6169</v>
      </c>
      <c r="HVL3" t="s">
        <v>6170</v>
      </c>
      <c r="HVM3" t="s">
        <v>6171</v>
      </c>
      <c r="HVN3" t="s">
        <v>6172</v>
      </c>
      <c r="HVO3" t="s">
        <v>6173</v>
      </c>
      <c r="HVP3" t="s">
        <v>6174</v>
      </c>
      <c r="HVQ3" t="s">
        <v>6175</v>
      </c>
      <c r="HVR3" t="s">
        <v>6176</v>
      </c>
      <c r="HVS3" t="s">
        <v>6177</v>
      </c>
      <c r="HVT3" t="s">
        <v>6178</v>
      </c>
      <c r="HVU3" t="s">
        <v>6179</v>
      </c>
      <c r="HVV3" t="s">
        <v>6180</v>
      </c>
      <c r="HVW3" t="s">
        <v>6181</v>
      </c>
      <c r="HVX3" t="s">
        <v>6182</v>
      </c>
      <c r="HVY3" t="s">
        <v>6183</v>
      </c>
      <c r="HVZ3" t="s">
        <v>6184</v>
      </c>
      <c r="HWA3" t="s">
        <v>6185</v>
      </c>
      <c r="HWB3" t="s">
        <v>6186</v>
      </c>
      <c r="HWC3" t="s">
        <v>6187</v>
      </c>
      <c r="HWD3" t="s">
        <v>6188</v>
      </c>
      <c r="HWE3" t="s">
        <v>6189</v>
      </c>
      <c r="HWF3" t="s">
        <v>6190</v>
      </c>
      <c r="HWG3" t="s">
        <v>6191</v>
      </c>
      <c r="HWH3" t="s">
        <v>6192</v>
      </c>
      <c r="HWI3" t="s">
        <v>6193</v>
      </c>
      <c r="HWJ3" t="s">
        <v>6194</v>
      </c>
      <c r="HWK3" t="s">
        <v>6195</v>
      </c>
      <c r="HWL3" t="s">
        <v>6196</v>
      </c>
      <c r="HWM3" t="s">
        <v>6197</v>
      </c>
      <c r="HWN3" t="s">
        <v>6198</v>
      </c>
      <c r="HWO3" t="s">
        <v>6199</v>
      </c>
      <c r="HWP3" t="s">
        <v>6200</v>
      </c>
      <c r="HWQ3" t="s">
        <v>6201</v>
      </c>
      <c r="HWR3" t="s">
        <v>6202</v>
      </c>
      <c r="HWS3" t="s">
        <v>6203</v>
      </c>
      <c r="HWT3" t="s">
        <v>6204</v>
      </c>
      <c r="HWU3" t="s">
        <v>6205</v>
      </c>
      <c r="HWV3" t="s">
        <v>6206</v>
      </c>
      <c r="HWW3" t="s">
        <v>6207</v>
      </c>
      <c r="HWX3" t="s">
        <v>6208</v>
      </c>
      <c r="HWY3" t="s">
        <v>6209</v>
      </c>
      <c r="HWZ3" t="s">
        <v>6210</v>
      </c>
      <c r="HXA3" t="s">
        <v>6211</v>
      </c>
      <c r="HXB3" t="s">
        <v>6212</v>
      </c>
      <c r="HXC3" t="s">
        <v>6213</v>
      </c>
      <c r="HXD3" t="s">
        <v>6214</v>
      </c>
      <c r="HXE3" t="s">
        <v>6215</v>
      </c>
      <c r="HXF3" t="s">
        <v>6216</v>
      </c>
      <c r="HXG3" t="s">
        <v>6217</v>
      </c>
      <c r="HXH3" t="s">
        <v>6218</v>
      </c>
      <c r="HXI3" t="s">
        <v>6219</v>
      </c>
      <c r="HXJ3" t="s">
        <v>6220</v>
      </c>
      <c r="HXK3" t="s">
        <v>6221</v>
      </c>
      <c r="HXL3" t="s">
        <v>6222</v>
      </c>
      <c r="HXM3" t="s">
        <v>6223</v>
      </c>
      <c r="HXN3" t="s">
        <v>6224</v>
      </c>
      <c r="HXO3" t="s">
        <v>6225</v>
      </c>
      <c r="HXP3" t="s">
        <v>6226</v>
      </c>
      <c r="HXQ3" t="s">
        <v>6227</v>
      </c>
      <c r="HXR3" t="s">
        <v>6228</v>
      </c>
      <c r="HXS3" t="s">
        <v>6229</v>
      </c>
      <c r="HXT3" t="s">
        <v>6230</v>
      </c>
      <c r="HXU3" t="s">
        <v>6231</v>
      </c>
      <c r="HXV3" t="s">
        <v>6232</v>
      </c>
      <c r="HXW3" t="s">
        <v>6233</v>
      </c>
      <c r="HXX3" t="s">
        <v>6234</v>
      </c>
      <c r="HXY3" t="s">
        <v>6235</v>
      </c>
      <c r="HXZ3" t="s">
        <v>6236</v>
      </c>
      <c r="HYA3" t="s">
        <v>6237</v>
      </c>
      <c r="HYB3" t="s">
        <v>6238</v>
      </c>
      <c r="HYC3" t="s">
        <v>6239</v>
      </c>
      <c r="HYD3" t="s">
        <v>6240</v>
      </c>
      <c r="HYE3" t="s">
        <v>6241</v>
      </c>
      <c r="HYF3" t="s">
        <v>6242</v>
      </c>
      <c r="HYG3" t="s">
        <v>6243</v>
      </c>
      <c r="HYH3" t="s">
        <v>6244</v>
      </c>
      <c r="HYI3" t="s">
        <v>6245</v>
      </c>
      <c r="HYJ3" t="s">
        <v>6246</v>
      </c>
      <c r="HYK3" t="s">
        <v>6247</v>
      </c>
      <c r="HYL3" t="s">
        <v>6248</v>
      </c>
      <c r="HYM3" t="s">
        <v>6249</v>
      </c>
      <c r="HYN3" t="s">
        <v>6250</v>
      </c>
      <c r="HYO3" t="s">
        <v>6251</v>
      </c>
      <c r="HYP3" t="s">
        <v>6252</v>
      </c>
      <c r="HYQ3" t="s">
        <v>6253</v>
      </c>
      <c r="HYR3" t="s">
        <v>6254</v>
      </c>
      <c r="HYS3" t="s">
        <v>6255</v>
      </c>
      <c r="HYT3" t="s">
        <v>6256</v>
      </c>
      <c r="HYU3" t="s">
        <v>6257</v>
      </c>
      <c r="HYV3" t="s">
        <v>6258</v>
      </c>
      <c r="HYW3" t="s">
        <v>6259</v>
      </c>
      <c r="HYX3" t="s">
        <v>6260</v>
      </c>
      <c r="HYY3" t="s">
        <v>6261</v>
      </c>
      <c r="HYZ3" t="s">
        <v>6262</v>
      </c>
      <c r="HZA3" t="s">
        <v>6263</v>
      </c>
      <c r="HZB3" t="s">
        <v>6264</v>
      </c>
      <c r="HZC3" t="s">
        <v>6265</v>
      </c>
      <c r="HZD3" t="s">
        <v>6266</v>
      </c>
      <c r="HZE3" t="s">
        <v>6267</v>
      </c>
      <c r="HZF3" t="s">
        <v>6268</v>
      </c>
      <c r="HZG3" t="s">
        <v>6269</v>
      </c>
      <c r="HZH3" t="s">
        <v>6270</v>
      </c>
      <c r="HZI3" t="s">
        <v>6271</v>
      </c>
      <c r="HZJ3" t="s">
        <v>6272</v>
      </c>
      <c r="HZK3" t="s">
        <v>6273</v>
      </c>
      <c r="HZL3" t="s">
        <v>6274</v>
      </c>
      <c r="HZM3" t="s">
        <v>6275</v>
      </c>
      <c r="HZN3" t="s">
        <v>6276</v>
      </c>
      <c r="HZO3" t="s">
        <v>6277</v>
      </c>
      <c r="HZP3" t="s">
        <v>6278</v>
      </c>
      <c r="HZQ3" t="s">
        <v>6279</v>
      </c>
      <c r="HZR3" t="s">
        <v>6280</v>
      </c>
      <c r="HZS3" t="s">
        <v>6281</v>
      </c>
      <c r="HZT3" t="s">
        <v>6282</v>
      </c>
      <c r="HZU3" t="s">
        <v>6283</v>
      </c>
      <c r="HZV3" t="s">
        <v>6284</v>
      </c>
      <c r="HZW3" t="s">
        <v>6285</v>
      </c>
      <c r="HZX3" t="s">
        <v>6286</v>
      </c>
      <c r="HZY3" t="s">
        <v>6287</v>
      </c>
      <c r="HZZ3" t="s">
        <v>6288</v>
      </c>
      <c r="IAA3" t="s">
        <v>6289</v>
      </c>
      <c r="IAB3" t="s">
        <v>6290</v>
      </c>
      <c r="IAC3" t="s">
        <v>6291</v>
      </c>
      <c r="IAD3" t="s">
        <v>6292</v>
      </c>
      <c r="IAE3" t="s">
        <v>6293</v>
      </c>
      <c r="IAF3" t="s">
        <v>6294</v>
      </c>
      <c r="IAG3" t="s">
        <v>6295</v>
      </c>
      <c r="IAH3" t="s">
        <v>6296</v>
      </c>
      <c r="IAI3" t="s">
        <v>6297</v>
      </c>
      <c r="IAJ3" t="s">
        <v>6298</v>
      </c>
      <c r="IAK3" t="s">
        <v>6299</v>
      </c>
      <c r="IAL3" t="s">
        <v>6300</v>
      </c>
      <c r="IAM3" t="s">
        <v>6301</v>
      </c>
      <c r="IAN3" t="s">
        <v>6302</v>
      </c>
      <c r="IAO3" t="s">
        <v>6303</v>
      </c>
      <c r="IAP3" t="s">
        <v>6304</v>
      </c>
      <c r="IAQ3" t="s">
        <v>6305</v>
      </c>
      <c r="IAR3" t="s">
        <v>6306</v>
      </c>
      <c r="IAS3" t="s">
        <v>6307</v>
      </c>
      <c r="IAT3" t="s">
        <v>6308</v>
      </c>
      <c r="IAU3" t="s">
        <v>6309</v>
      </c>
      <c r="IAV3" t="s">
        <v>6310</v>
      </c>
      <c r="IAW3" t="s">
        <v>6311</v>
      </c>
      <c r="IAX3" t="s">
        <v>6312</v>
      </c>
      <c r="IAY3" t="s">
        <v>6313</v>
      </c>
      <c r="IAZ3" t="s">
        <v>6314</v>
      </c>
      <c r="IBA3" t="s">
        <v>6315</v>
      </c>
      <c r="IBB3" t="s">
        <v>6316</v>
      </c>
      <c r="IBC3" t="s">
        <v>6317</v>
      </c>
      <c r="IBD3" t="s">
        <v>6318</v>
      </c>
      <c r="IBE3" t="s">
        <v>6319</v>
      </c>
      <c r="IBF3" t="s">
        <v>6320</v>
      </c>
      <c r="IBG3" t="s">
        <v>6321</v>
      </c>
      <c r="IBH3" t="s">
        <v>6322</v>
      </c>
      <c r="IBI3" t="s">
        <v>6323</v>
      </c>
      <c r="IBJ3" t="s">
        <v>6324</v>
      </c>
      <c r="IBK3" t="s">
        <v>6325</v>
      </c>
      <c r="IBL3" t="s">
        <v>6326</v>
      </c>
      <c r="IBM3" t="s">
        <v>6327</v>
      </c>
      <c r="IBN3" t="s">
        <v>6328</v>
      </c>
      <c r="IBO3" t="s">
        <v>6329</v>
      </c>
      <c r="IBP3" t="s">
        <v>6330</v>
      </c>
      <c r="IBQ3" t="s">
        <v>6331</v>
      </c>
      <c r="IBR3" t="s">
        <v>6332</v>
      </c>
      <c r="IBS3" t="s">
        <v>6333</v>
      </c>
      <c r="IBT3" t="s">
        <v>6334</v>
      </c>
      <c r="IBU3" t="s">
        <v>6335</v>
      </c>
      <c r="IBV3" t="s">
        <v>6336</v>
      </c>
      <c r="IBW3" t="s">
        <v>6337</v>
      </c>
      <c r="IBX3" t="s">
        <v>6338</v>
      </c>
      <c r="IBY3" t="s">
        <v>6339</v>
      </c>
      <c r="IBZ3" t="s">
        <v>6340</v>
      </c>
      <c r="ICA3" t="s">
        <v>6341</v>
      </c>
      <c r="ICB3" t="s">
        <v>6342</v>
      </c>
      <c r="ICC3" t="s">
        <v>6343</v>
      </c>
      <c r="ICD3" t="s">
        <v>6344</v>
      </c>
      <c r="ICE3" t="s">
        <v>6345</v>
      </c>
      <c r="ICF3" t="s">
        <v>6346</v>
      </c>
      <c r="ICG3" t="s">
        <v>6347</v>
      </c>
      <c r="ICH3" t="s">
        <v>6348</v>
      </c>
      <c r="ICI3" t="s">
        <v>6349</v>
      </c>
      <c r="ICJ3" t="s">
        <v>6350</v>
      </c>
      <c r="ICK3" t="s">
        <v>6351</v>
      </c>
      <c r="ICL3" t="s">
        <v>6352</v>
      </c>
      <c r="ICM3" t="s">
        <v>6353</v>
      </c>
      <c r="ICN3" t="s">
        <v>6354</v>
      </c>
      <c r="ICO3" t="s">
        <v>6355</v>
      </c>
      <c r="ICP3" t="s">
        <v>6356</v>
      </c>
      <c r="ICQ3" t="s">
        <v>6357</v>
      </c>
      <c r="ICR3" t="s">
        <v>6358</v>
      </c>
      <c r="ICS3" t="s">
        <v>6359</v>
      </c>
      <c r="ICT3" t="s">
        <v>6360</v>
      </c>
      <c r="ICU3" t="s">
        <v>6361</v>
      </c>
      <c r="ICV3" t="s">
        <v>6362</v>
      </c>
      <c r="ICW3" t="s">
        <v>6363</v>
      </c>
      <c r="ICX3" t="s">
        <v>6364</v>
      </c>
      <c r="ICY3" t="s">
        <v>6365</v>
      </c>
      <c r="ICZ3" t="s">
        <v>6366</v>
      </c>
      <c r="IDA3" t="s">
        <v>6367</v>
      </c>
      <c r="IDB3" t="s">
        <v>6368</v>
      </c>
      <c r="IDC3" t="s">
        <v>6369</v>
      </c>
      <c r="IDD3" t="s">
        <v>6370</v>
      </c>
      <c r="IDE3" t="s">
        <v>6371</v>
      </c>
      <c r="IDF3" t="s">
        <v>6372</v>
      </c>
      <c r="IDG3" t="s">
        <v>6373</v>
      </c>
      <c r="IDH3" t="s">
        <v>6374</v>
      </c>
      <c r="IDI3" t="s">
        <v>6375</v>
      </c>
      <c r="IDJ3" t="s">
        <v>6376</v>
      </c>
      <c r="IDK3" t="s">
        <v>6377</v>
      </c>
      <c r="IDL3" t="s">
        <v>6378</v>
      </c>
      <c r="IDM3" t="s">
        <v>6379</v>
      </c>
      <c r="IDN3" t="s">
        <v>6380</v>
      </c>
      <c r="IDO3" t="s">
        <v>6381</v>
      </c>
      <c r="IDP3" t="s">
        <v>6382</v>
      </c>
      <c r="IDQ3" t="s">
        <v>6383</v>
      </c>
      <c r="IDR3" t="s">
        <v>6384</v>
      </c>
      <c r="IDS3" t="s">
        <v>6385</v>
      </c>
      <c r="IDT3" t="s">
        <v>6386</v>
      </c>
      <c r="IDU3" t="s">
        <v>6387</v>
      </c>
      <c r="IDV3" t="s">
        <v>6388</v>
      </c>
      <c r="IDW3" t="s">
        <v>6389</v>
      </c>
      <c r="IDX3" t="s">
        <v>6390</v>
      </c>
      <c r="IDY3" t="s">
        <v>6391</v>
      </c>
      <c r="IDZ3" t="s">
        <v>6392</v>
      </c>
      <c r="IEA3" t="s">
        <v>6393</v>
      </c>
      <c r="IEB3" t="s">
        <v>6394</v>
      </c>
      <c r="IEC3" t="s">
        <v>6395</v>
      </c>
      <c r="IED3" t="s">
        <v>6396</v>
      </c>
      <c r="IEE3" t="s">
        <v>6397</v>
      </c>
      <c r="IEF3" t="s">
        <v>6398</v>
      </c>
      <c r="IEG3" t="s">
        <v>6399</v>
      </c>
      <c r="IEH3" t="s">
        <v>6400</v>
      </c>
      <c r="IEI3" t="s">
        <v>6401</v>
      </c>
      <c r="IEJ3" t="s">
        <v>6402</v>
      </c>
      <c r="IEK3" t="s">
        <v>6403</v>
      </c>
      <c r="IEL3" t="s">
        <v>6404</v>
      </c>
      <c r="IEM3" t="s">
        <v>6405</v>
      </c>
      <c r="IEN3" t="s">
        <v>6406</v>
      </c>
      <c r="IEO3" t="s">
        <v>6407</v>
      </c>
      <c r="IEP3" t="s">
        <v>6408</v>
      </c>
      <c r="IEQ3" t="s">
        <v>6409</v>
      </c>
      <c r="IER3" t="s">
        <v>6410</v>
      </c>
      <c r="IES3" t="s">
        <v>6411</v>
      </c>
      <c r="IET3" t="s">
        <v>6412</v>
      </c>
      <c r="IEU3" t="s">
        <v>6413</v>
      </c>
      <c r="IEV3" t="s">
        <v>6414</v>
      </c>
      <c r="IEW3" t="s">
        <v>6415</v>
      </c>
      <c r="IEX3" t="s">
        <v>6416</v>
      </c>
      <c r="IEY3" t="s">
        <v>6417</v>
      </c>
      <c r="IEZ3" t="s">
        <v>6418</v>
      </c>
      <c r="IFA3" t="s">
        <v>6419</v>
      </c>
      <c r="IFB3" t="s">
        <v>6420</v>
      </c>
      <c r="IFC3" t="s">
        <v>6421</v>
      </c>
      <c r="IFD3" t="s">
        <v>6422</v>
      </c>
      <c r="IFE3" t="s">
        <v>6423</v>
      </c>
      <c r="IFF3" t="s">
        <v>6424</v>
      </c>
      <c r="IFG3" t="s">
        <v>6425</v>
      </c>
      <c r="IFH3" t="s">
        <v>6426</v>
      </c>
      <c r="IFI3" t="s">
        <v>6427</v>
      </c>
      <c r="IFJ3" t="s">
        <v>6428</v>
      </c>
      <c r="IFK3" t="s">
        <v>6429</v>
      </c>
      <c r="IFL3" t="s">
        <v>6430</v>
      </c>
      <c r="IFM3" t="s">
        <v>6431</v>
      </c>
      <c r="IFN3" t="s">
        <v>6432</v>
      </c>
      <c r="IFO3" t="s">
        <v>6433</v>
      </c>
      <c r="IFP3" t="s">
        <v>6434</v>
      </c>
      <c r="IFQ3" t="s">
        <v>6435</v>
      </c>
      <c r="IFR3" t="s">
        <v>6436</v>
      </c>
      <c r="IFS3" t="s">
        <v>6437</v>
      </c>
      <c r="IFT3" t="s">
        <v>6438</v>
      </c>
      <c r="IFU3" t="s">
        <v>6439</v>
      </c>
      <c r="IFV3" t="s">
        <v>6440</v>
      </c>
      <c r="IFW3" t="s">
        <v>6441</v>
      </c>
      <c r="IFX3" t="s">
        <v>6442</v>
      </c>
      <c r="IFY3" t="s">
        <v>6443</v>
      </c>
      <c r="IFZ3" t="s">
        <v>6444</v>
      </c>
      <c r="IGA3" t="s">
        <v>6445</v>
      </c>
      <c r="IGB3" t="s">
        <v>6446</v>
      </c>
      <c r="IGC3" t="s">
        <v>6447</v>
      </c>
      <c r="IGD3" t="s">
        <v>6448</v>
      </c>
      <c r="IGE3" t="s">
        <v>6449</v>
      </c>
      <c r="IGF3" t="s">
        <v>6450</v>
      </c>
      <c r="IGG3" t="s">
        <v>6451</v>
      </c>
      <c r="IGH3" t="s">
        <v>6452</v>
      </c>
      <c r="IGI3" t="s">
        <v>6453</v>
      </c>
      <c r="IGJ3" t="s">
        <v>6454</v>
      </c>
      <c r="IGK3" t="s">
        <v>6455</v>
      </c>
      <c r="IGL3" t="s">
        <v>6456</v>
      </c>
      <c r="IGM3" t="s">
        <v>6457</v>
      </c>
      <c r="IGN3" t="s">
        <v>6458</v>
      </c>
      <c r="IGO3" t="s">
        <v>6459</v>
      </c>
      <c r="IGP3" t="s">
        <v>6460</v>
      </c>
      <c r="IGQ3" t="s">
        <v>6461</v>
      </c>
      <c r="IGR3" t="s">
        <v>6462</v>
      </c>
      <c r="IGS3" t="s">
        <v>6463</v>
      </c>
      <c r="IGT3" t="s">
        <v>6464</v>
      </c>
      <c r="IGU3" t="s">
        <v>6465</v>
      </c>
      <c r="IGV3" t="s">
        <v>6466</v>
      </c>
      <c r="IGW3" t="s">
        <v>6467</v>
      </c>
      <c r="IGX3" t="s">
        <v>6468</v>
      </c>
      <c r="IGY3" t="s">
        <v>6469</v>
      </c>
      <c r="IGZ3" t="s">
        <v>6470</v>
      </c>
      <c r="IHA3" t="s">
        <v>6471</v>
      </c>
      <c r="IHB3" t="s">
        <v>6472</v>
      </c>
      <c r="IHC3" t="s">
        <v>6473</v>
      </c>
      <c r="IHD3" t="s">
        <v>6474</v>
      </c>
      <c r="IHE3" t="s">
        <v>6475</v>
      </c>
      <c r="IHF3" t="s">
        <v>6476</v>
      </c>
      <c r="IHG3" t="s">
        <v>6477</v>
      </c>
      <c r="IHH3" t="s">
        <v>6478</v>
      </c>
      <c r="IHI3" t="s">
        <v>6479</v>
      </c>
      <c r="IHJ3" t="s">
        <v>6480</v>
      </c>
      <c r="IHK3" t="s">
        <v>6481</v>
      </c>
      <c r="IHL3" t="s">
        <v>6482</v>
      </c>
      <c r="IHM3" t="s">
        <v>6483</v>
      </c>
      <c r="IHN3" t="s">
        <v>6484</v>
      </c>
      <c r="IHO3" t="s">
        <v>6485</v>
      </c>
      <c r="IHP3" t="s">
        <v>6486</v>
      </c>
      <c r="IHQ3" t="s">
        <v>6487</v>
      </c>
      <c r="IHR3" t="s">
        <v>6488</v>
      </c>
      <c r="IHS3" t="s">
        <v>6489</v>
      </c>
      <c r="IHT3" t="s">
        <v>6490</v>
      </c>
      <c r="IHU3" t="s">
        <v>6491</v>
      </c>
      <c r="IHV3" t="s">
        <v>6492</v>
      </c>
      <c r="IHW3" t="s">
        <v>6493</v>
      </c>
      <c r="IHX3" t="s">
        <v>6494</v>
      </c>
      <c r="IHY3" t="s">
        <v>6495</v>
      </c>
      <c r="IHZ3" t="s">
        <v>6496</v>
      </c>
      <c r="IIA3" t="s">
        <v>6497</v>
      </c>
      <c r="IIB3" t="s">
        <v>6498</v>
      </c>
      <c r="IIC3" t="s">
        <v>6499</v>
      </c>
      <c r="IID3" t="s">
        <v>6500</v>
      </c>
      <c r="IIE3" t="s">
        <v>6501</v>
      </c>
      <c r="IIF3" t="s">
        <v>6502</v>
      </c>
      <c r="IIG3" t="s">
        <v>6503</v>
      </c>
      <c r="IIH3" t="s">
        <v>6504</v>
      </c>
      <c r="III3" t="s">
        <v>6505</v>
      </c>
      <c r="IIJ3" t="s">
        <v>6506</v>
      </c>
      <c r="IIK3" t="s">
        <v>6507</v>
      </c>
      <c r="IIL3" t="s">
        <v>6508</v>
      </c>
      <c r="IIM3" t="s">
        <v>6509</v>
      </c>
      <c r="IIN3" t="s">
        <v>6510</v>
      </c>
      <c r="IIO3" t="s">
        <v>6511</v>
      </c>
      <c r="IIP3" t="s">
        <v>6512</v>
      </c>
      <c r="IIQ3" t="s">
        <v>6513</v>
      </c>
      <c r="IIR3" t="s">
        <v>6514</v>
      </c>
      <c r="IIS3" t="s">
        <v>6515</v>
      </c>
      <c r="IIT3" t="s">
        <v>6516</v>
      </c>
      <c r="IIU3" t="s">
        <v>6517</v>
      </c>
      <c r="IIV3" t="s">
        <v>6518</v>
      </c>
      <c r="IIW3" t="s">
        <v>6519</v>
      </c>
      <c r="IIX3" t="s">
        <v>6520</v>
      </c>
      <c r="IIY3" t="s">
        <v>6521</v>
      </c>
      <c r="IIZ3" t="s">
        <v>6522</v>
      </c>
      <c r="IJA3" t="s">
        <v>6523</v>
      </c>
      <c r="IJB3" t="s">
        <v>6524</v>
      </c>
      <c r="IJC3" t="s">
        <v>6525</v>
      </c>
      <c r="IJD3" t="s">
        <v>6526</v>
      </c>
      <c r="IJE3" t="s">
        <v>6527</v>
      </c>
      <c r="IJF3" t="s">
        <v>6528</v>
      </c>
      <c r="IJG3" t="s">
        <v>6529</v>
      </c>
      <c r="IJH3" t="s">
        <v>6530</v>
      </c>
      <c r="IJI3" t="s">
        <v>6531</v>
      </c>
      <c r="IJJ3" t="s">
        <v>6532</v>
      </c>
      <c r="IJK3" t="s">
        <v>6533</v>
      </c>
      <c r="IJL3" t="s">
        <v>6534</v>
      </c>
      <c r="IJM3" t="s">
        <v>6535</v>
      </c>
      <c r="IJN3" t="s">
        <v>6536</v>
      </c>
      <c r="IJO3" t="s">
        <v>6537</v>
      </c>
      <c r="IJP3" t="s">
        <v>6538</v>
      </c>
      <c r="IJQ3" t="s">
        <v>6539</v>
      </c>
      <c r="IJR3" t="s">
        <v>6540</v>
      </c>
      <c r="IJS3" t="s">
        <v>6541</v>
      </c>
      <c r="IJT3" t="s">
        <v>6542</v>
      </c>
      <c r="IJU3" t="s">
        <v>6543</v>
      </c>
      <c r="IJV3" t="s">
        <v>6544</v>
      </c>
      <c r="IJW3" t="s">
        <v>6545</v>
      </c>
      <c r="IJX3" t="s">
        <v>6546</v>
      </c>
      <c r="IJY3" t="s">
        <v>6547</v>
      </c>
      <c r="IJZ3" t="s">
        <v>6548</v>
      </c>
      <c r="IKA3" t="s">
        <v>6549</v>
      </c>
      <c r="IKB3" t="s">
        <v>6550</v>
      </c>
      <c r="IKC3" t="s">
        <v>6551</v>
      </c>
      <c r="IKD3" t="s">
        <v>6552</v>
      </c>
      <c r="IKE3" t="s">
        <v>6553</v>
      </c>
      <c r="IKF3" t="s">
        <v>6554</v>
      </c>
      <c r="IKG3" t="s">
        <v>6555</v>
      </c>
      <c r="IKH3" t="s">
        <v>6556</v>
      </c>
      <c r="IKI3" t="s">
        <v>6557</v>
      </c>
      <c r="IKJ3" t="s">
        <v>6558</v>
      </c>
      <c r="IKK3" t="s">
        <v>6559</v>
      </c>
      <c r="IKL3" t="s">
        <v>6560</v>
      </c>
      <c r="IKM3" t="s">
        <v>6561</v>
      </c>
      <c r="IKN3" t="s">
        <v>6562</v>
      </c>
      <c r="IKO3" t="s">
        <v>6563</v>
      </c>
      <c r="IKP3" t="s">
        <v>6564</v>
      </c>
      <c r="IKQ3" t="s">
        <v>6565</v>
      </c>
      <c r="IKR3" t="s">
        <v>6566</v>
      </c>
      <c r="IKS3" t="s">
        <v>6567</v>
      </c>
      <c r="IKT3" t="s">
        <v>6568</v>
      </c>
      <c r="IKU3" t="s">
        <v>6569</v>
      </c>
      <c r="IKV3" t="s">
        <v>6570</v>
      </c>
      <c r="IKW3" t="s">
        <v>6571</v>
      </c>
      <c r="IKX3" t="s">
        <v>6572</v>
      </c>
      <c r="IKY3" t="s">
        <v>6573</v>
      </c>
      <c r="IKZ3" t="s">
        <v>6574</v>
      </c>
      <c r="ILA3" t="s">
        <v>6575</v>
      </c>
      <c r="ILB3" t="s">
        <v>6576</v>
      </c>
      <c r="ILC3" t="s">
        <v>6577</v>
      </c>
      <c r="ILD3" t="s">
        <v>6578</v>
      </c>
      <c r="ILE3" t="s">
        <v>6579</v>
      </c>
      <c r="ILF3" t="s">
        <v>6580</v>
      </c>
      <c r="ILG3" t="s">
        <v>6581</v>
      </c>
      <c r="ILH3" t="s">
        <v>6582</v>
      </c>
      <c r="ILI3" t="s">
        <v>6583</v>
      </c>
      <c r="ILJ3" t="s">
        <v>6584</v>
      </c>
      <c r="ILK3" t="s">
        <v>6585</v>
      </c>
      <c r="ILL3" t="s">
        <v>6586</v>
      </c>
      <c r="ILM3" t="s">
        <v>6587</v>
      </c>
      <c r="ILN3" t="s">
        <v>6588</v>
      </c>
      <c r="ILO3" t="s">
        <v>6589</v>
      </c>
      <c r="ILP3" t="s">
        <v>6590</v>
      </c>
      <c r="ILQ3" t="s">
        <v>6591</v>
      </c>
      <c r="ILR3" t="s">
        <v>6592</v>
      </c>
      <c r="ILS3" t="s">
        <v>6593</v>
      </c>
      <c r="ILT3" t="s">
        <v>6594</v>
      </c>
      <c r="ILU3" t="s">
        <v>6595</v>
      </c>
      <c r="ILV3" t="s">
        <v>6596</v>
      </c>
      <c r="ILW3" t="s">
        <v>6597</v>
      </c>
      <c r="ILX3" t="s">
        <v>6598</v>
      </c>
      <c r="ILY3" t="s">
        <v>6599</v>
      </c>
      <c r="ILZ3" t="s">
        <v>6600</v>
      </c>
      <c r="IMA3" t="s">
        <v>6601</v>
      </c>
      <c r="IMB3" t="s">
        <v>6602</v>
      </c>
      <c r="IMC3" t="s">
        <v>6603</v>
      </c>
      <c r="IMD3" t="s">
        <v>6604</v>
      </c>
      <c r="IME3" t="s">
        <v>6605</v>
      </c>
      <c r="IMF3" t="s">
        <v>6606</v>
      </c>
      <c r="IMG3" t="s">
        <v>6607</v>
      </c>
      <c r="IMH3" t="s">
        <v>6608</v>
      </c>
      <c r="IMI3" t="s">
        <v>6609</v>
      </c>
      <c r="IMJ3" t="s">
        <v>6610</v>
      </c>
      <c r="IMK3" t="s">
        <v>6611</v>
      </c>
      <c r="IML3" t="s">
        <v>6612</v>
      </c>
      <c r="IMM3" t="s">
        <v>6613</v>
      </c>
      <c r="IMN3" t="s">
        <v>6614</v>
      </c>
      <c r="IMO3" t="s">
        <v>6615</v>
      </c>
      <c r="IMP3" t="s">
        <v>6616</v>
      </c>
      <c r="IMQ3" t="s">
        <v>6617</v>
      </c>
      <c r="IMR3" t="s">
        <v>6618</v>
      </c>
      <c r="IMS3" t="s">
        <v>6619</v>
      </c>
      <c r="IMT3" t="s">
        <v>6620</v>
      </c>
      <c r="IMU3" t="s">
        <v>6621</v>
      </c>
      <c r="IMV3" t="s">
        <v>6622</v>
      </c>
      <c r="IMW3" t="s">
        <v>6623</v>
      </c>
      <c r="IMX3" t="s">
        <v>6624</v>
      </c>
      <c r="IMY3" t="s">
        <v>6625</v>
      </c>
      <c r="IMZ3" t="s">
        <v>6626</v>
      </c>
      <c r="INA3" t="s">
        <v>6627</v>
      </c>
      <c r="INB3" t="s">
        <v>6628</v>
      </c>
      <c r="INC3" t="s">
        <v>6629</v>
      </c>
      <c r="IND3" t="s">
        <v>6630</v>
      </c>
      <c r="INE3" t="s">
        <v>6631</v>
      </c>
      <c r="INF3" t="s">
        <v>6632</v>
      </c>
      <c r="ING3" t="s">
        <v>6633</v>
      </c>
      <c r="INH3" t="s">
        <v>6634</v>
      </c>
      <c r="INI3" t="s">
        <v>6635</v>
      </c>
      <c r="INJ3" t="s">
        <v>6636</v>
      </c>
      <c r="INK3" t="s">
        <v>6637</v>
      </c>
      <c r="INL3" t="s">
        <v>6638</v>
      </c>
      <c r="INM3" t="s">
        <v>6639</v>
      </c>
      <c r="INN3" t="s">
        <v>6640</v>
      </c>
      <c r="INO3" t="s">
        <v>6641</v>
      </c>
      <c r="INP3" t="s">
        <v>6642</v>
      </c>
      <c r="INQ3" t="s">
        <v>6643</v>
      </c>
      <c r="INR3" t="s">
        <v>6644</v>
      </c>
      <c r="INS3" t="s">
        <v>6645</v>
      </c>
      <c r="INT3" t="s">
        <v>6646</v>
      </c>
      <c r="INU3" t="s">
        <v>6647</v>
      </c>
      <c r="INV3" t="s">
        <v>6648</v>
      </c>
      <c r="INW3" t="s">
        <v>6649</v>
      </c>
      <c r="INX3" t="s">
        <v>6650</v>
      </c>
      <c r="INY3" t="s">
        <v>6651</v>
      </c>
      <c r="INZ3" t="s">
        <v>6652</v>
      </c>
      <c r="IOA3" t="s">
        <v>6653</v>
      </c>
      <c r="IOB3" t="s">
        <v>6654</v>
      </c>
      <c r="IOC3" t="s">
        <v>6655</v>
      </c>
      <c r="IOD3" t="s">
        <v>6656</v>
      </c>
      <c r="IOE3" t="s">
        <v>6657</v>
      </c>
      <c r="IOF3" t="s">
        <v>6658</v>
      </c>
      <c r="IOG3" t="s">
        <v>6659</v>
      </c>
      <c r="IOH3" t="s">
        <v>6660</v>
      </c>
      <c r="IOI3" t="s">
        <v>6661</v>
      </c>
      <c r="IOJ3" t="s">
        <v>6662</v>
      </c>
      <c r="IOK3" t="s">
        <v>6663</v>
      </c>
      <c r="IOL3" t="s">
        <v>6664</v>
      </c>
      <c r="IOM3" t="s">
        <v>6665</v>
      </c>
      <c r="ION3" t="s">
        <v>6666</v>
      </c>
      <c r="IOO3" t="s">
        <v>6667</v>
      </c>
      <c r="IOP3" t="s">
        <v>6668</v>
      </c>
      <c r="IOQ3" t="s">
        <v>6669</v>
      </c>
      <c r="IOR3" t="s">
        <v>6670</v>
      </c>
      <c r="IOS3" t="s">
        <v>6671</v>
      </c>
      <c r="IOT3" t="s">
        <v>6672</v>
      </c>
      <c r="IOU3" t="s">
        <v>6673</v>
      </c>
      <c r="IOV3" t="s">
        <v>6674</v>
      </c>
      <c r="IOW3" t="s">
        <v>6675</v>
      </c>
      <c r="IOX3" t="s">
        <v>6676</v>
      </c>
      <c r="IOY3" t="s">
        <v>6677</v>
      </c>
      <c r="IOZ3" t="s">
        <v>6678</v>
      </c>
      <c r="IPA3" t="s">
        <v>6679</v>
      </c>
      <c r="IPB3" t="s">
        <v>6680</v>
      </c>
      <c r="IPC3" t="s">
        <v>6681</v>
      </c>
      <c r="IPD3" t="s">
        <v>6682</v>
      </c>
      <c r="IPE3" t="s">
        <v>6683</v>
      </c>
      <c r="IPF3" t="s">
        <v>6684</v>
      </c>
      <c r="IPG3" t="s">
        <v>6685</v>
      </c>
      <c r="IPH3" t="s">
        <v>6686</v>
      </c>
      <c r="IPI3" t="s">
        <v>6687</v>
      </c>
      <c r="IPJ3" t="s">
        <v>6688</v>
      </c>
      <c r="IPK3" t="s">
        <v>6689</v>
      </c>
      <c r="IPL3" t="s">
        <v>6690</v>
      </c>
      <c r="IPM3" t="s">
        <v>6691</v>
      </c>
      <c r="IPN3" t="s">
        <v>6692</v>
      </c>
      <c r="IPO3" t="s">
        <v>6693</v>
      </c>
      <c r="IPP3" t="s">
        <v>6694</v>
      </c>
      <c r="IPQ3" t="s">
        <v>6695</v>
      </c>
      <c r="IPR3" t="s">
        <v>6696</v>
      </c>
      <c r="IPS3" t="s">
        <v>6697</v>
      </c>
      <c r="IPT3" t="s">
        <v>6698</v>
      </c>
      <c r="IPU3" t="s">
        <v>6699</v>
      </c>
      <c r="IPV3" t="s">
        <v>6700</v>
      </c>
      <c r="IPW3" t="s">
        <v>6701</v>
      </c>
      <c r="IPX3" t="s">
        <v>6702</v>
      </c>
      <c r="IPY3" t="s">
        <v>6703</v>
      </c>
      <c r="IPZ3" t="s">
        <v>6704</v>
      </c>
      <c r="IQA3" t="s">
        <v>6705</v>
      </c>
      <c r="IQB3" t="s">
        <v>6706</v>
      </c>
      <c r="IQC3" t="s">
        <v>6707</v>
      </c>
      <c r="IQD3" t="s">
        <v>6708</v>
      </c>
      <c r="IQE3" t="s">
        <v>6709</v>
      </c>
      <c r="IQF3" t="s">
        <v>6710</v>
      </c>
      <c r="IQG3" t="s">
        <v>6711</v>
      </c>
      <c r="IQH3" t="s">
        <v>6712</v>
      </c>
      <c r="IQI3" t="s">
        <v>6713</v>
      </c>
      <c r="IQJ3" t="s">
        <v>6714</v>
      </c>
      <c r="IQK3" t="s">
        <v>6715</v>
      </c>
      <c r="IQL3" t="s">
        <v>6716</v>
      </c>
      <c r="IQM3" t="s">
        <v>6717</v>
      </c>
      <c r="IQN3" t="s">
        <v>6718</v>
      </c>
      <c r="IQO3" t="s">
        <v>6719</v>
      </c>
      <c r="IQP3" t="s">
        <v>6720</v>
      </c>
      <c r="IQQ3" t="s">
        <v>6721</v>
      </c>
      <c r="IQR3" t="s">
        <v>6722</v>
      </c>
      <c r="IQS3" t="s">
        <v>6723</v>
      </c>
      <c r="IQT3" t="s">
        <v>6724</v>
      </c>
      <c r="IQU3" t="s">
        <v>6725</v>
      </c>
      <c r="IQV3" t="s">
        <v>6726</v>
      </c>
      <c r="IQW3" t="s">
        <v>6727</v>
      </c>
      <c r="IQX3" t="s">
        <v>6728</v>
      </c>
      <c r="IQY3" t="s">
        <v>6729</v>
      </c>
      <c r="IQZ3" t="s">
        <v>6730</v>
      </c>
      <c r="IRA3" t="s">
        <v>6731</v>
      </c>
      <c r="IRB3" t="s">
        <v>6732</v>
      </c>
      <c r="IRC3" t="s">
        <v>6733</v>
      </c>
      <c r="IRD3" t="s">
        <v>6734</v>
      </c>
      <c r="IRE3" t="s">
        <v>6735</v>
      </c>
      <c r="IRF3" t="s">
        <v>6736</v>
      </c>
      <c r="IRG3" t="s">
        <v>6737</v>
      </c>
      <c r="IRH3" t="s">
        <v>6738</v>
      </c>
      <c r="IRI3" t="s">
        <v>6739</v>
      </c>
      <c r="IRJ3" t="s">
        <v>6740</v>
      </c>
      <c r="IRK3" t="s">
        <v>6741</v>
      </c>
      <c r="IRL3" t="s">
        <v>6742</v>
      </c>
      <c r="IRM3" t="s">
        <v>6743</v>
      </c>
      <c r="IRN3" t="s">
        <v>6744</v>
      </c>
      <c r="IRO3" t="s">
        <v>6745</v>
      </c>
      <c r="IRP3" t="s">
        <v>6746</v>
      </c>
      <c r="IRQ3" t="s">
        <v>6747</v>
      </c>
      <c r="IRR3" t="s">
        <v>6748</v>
      </c>
      <c r="IRS3" t="s">
        <v>6749</v>
      </c>
      <c r="IRT3" t="s">
        <v>6750</v>
      </c>
      <c r="IRU3" t="s">
        <v>6751</v>
      </c>
      <c r="IRV3" t="s">
        <v>6752</v>
      </c>
      <c r="IRW3" t="s">
        <v>6753</v>
      </c>
      <c r="IRX3" t="s">
        <v>6754</v>
      </c>
      <c r="IRY3" t="s">
        <v>6755</v>
      </c>
      <c r="IRZ3" t="s">
        <v>6756</v>
      </c>
      <c r="ISA3" t="s">
        <v>6757</v>
      </c>
      <c r="ISB3" t="s">
        <v>6758</v>
      </c>
      <c r="ISC3" t="s">
        <v>6759</v>
      </c>
      <c r="ISD3" t="s">
        <v>6760</v>
      </c>
      <c r="ISE3" t="s">
        <v>6761</v>
      </c>
      <c r="ISF3" t="s">
        <v>6762</v>
      </c>
      <c r="ISG3" t="s">
        <v>6763</v>
      </c>
      <c r="ISH3" t="s">
        <v>6764</v>
      </c>
      <c r="ISI3" t="s">
        <v>6765</v>
      </c>
      <c r="ISJ3" t="s">
        <v>6766</v>
      </c>
      <c r="ISK3" t="s">
        <v>6767</v>
      </c>
      <c r="ISL3" t="s">
        <v>6768</v>
      </c>
      <c r="ISM3" t="s">
        <v>6769</v>
      </c>
      <c r="ISN3" t="s">
        <v>6770</v>
      </c>
      <c r="ISO3" t="s">
        <v>6771</v>
      </c>
      <c r="ISP3" t="s">
        <v>6772</v>
      </c>
      <c r="ISQ3" t="s">
        <v>6773</v>
      </c>
      <c r="ISR3" t="s">
        <v>6774</v>
      </c>
      <c r="ISS3" t="s">
        <v>6775</v>
      </c>
      <c r="IST3" t="s">
        <v>6776</v>
      </c>
      <c r="ISU3" t="s">
        <v>6777</v>
      </c>
      <c r="ISV3" t="s">
        <v>6778</v>
      </c>
      <c r="ISW3" t="s">
        <v>6779</v>
      </c>
      <c r="ISX3" t="s">
        <v>6780</v>
      </c>
      <c r="ISY3" t="s">
        <v>6781</v>
      </c>
      <c r="ISZ3" t="s">
        <v>6782</v>
      </c>
      <c r="ITA3" t="s">
        <v>6783</v>
      </c>
      <c r="ITB3" t="s">
        <v>6784</v>
      </c>
      <c r="ITC3" t="s">
        <v>6785</v>
      </c>
      <c r="ITD3" t="s">
        <v>6786</v>
      </c>
      <c r="ITE3" t="s">
        <v>6787</v>
      </c>
      <c r="ITF3" t="s">
        <v>6788</v>
      </c>
      <c r="ITG3" t="s">
        <v>6789</v>
      </c>
      <c r="ITH3" t="s">
        <v>6790</v>
      </c>
      <c r="ITI3" t="s">
        <v>6791</v>
      </c>
      <c r="ITJ3" t="s">
        <v>6792</v>
      </c>
      <c r="ITK3" t="s">
        <v>6793</v>
      </c>
      <c r="ITL3" t="s">
        <v>6794</v>
      </c>
      <c r="ITM3" t="s">
        <v>6795</v>
      </c>
      <c r="ITN3" t="s">
        <v>6796</v>
      </c>
      <c r="ITO3" t="s">
        <v>6797</v>
      </c>
      <c r="ITP3" t="s">
        <v>6798</v>
      </c>
      <c r="ITQ3" t="s">
        <v>6799</v>
      </c>
      <c r="ITR3" t="s">
        <v>6800</v>
      </c>
      <c r="ITS3" t="s">
        <v>6801</v>
      </c>
      <c r="ITT3" t="s">
        <v>6802</v>
      </c>
      <c r="ITU3" t="s">
        <v>6803</v>
      </c>
      <c r="ITV3" t="s">
        <v>6804</v>
      </c>
      <c r="ITW3" t="s">
        <v>6805</v>
      </c>
      <c r="ITX3" t="s">
        <v>6806</v>
      </c>
      <c r="ITY3" t="s">
        <v>6807</v>
      </c>
      <c r="ITZ3" t="s">
        <v>6808</v>
      </c>
      <c r="IUA3" t="s">
        <v>6809</v>
      </c>
      <c r="IUB3" t="s">
        <v>6810</v>
      </c>
      <c r="IUC3" t="s">
        <v>6811</v>
      </c>
      <c r="IUD3" t="s">
        <v>6812</v>
      </c>
      <c r="IUE3" t="s">
        <v>6813</v>
      </c>
      <c r="IUF3" t="s">
        <v>6814</v>
      </c>
      <c r="IUG3" t="s">
        <v>6815</v>
      </c>
      <c r="IUH3" t="s">
        <v>6816</v>
      </c>
      <c r="IUI3" t="s">
        <v>6817</v>
      </c>
      <c r="IUJ3" t="s">
        <v>6818</v>
      </c>
      <c r="IUK3" t="s">
        <v>6819</v>
      </c>
      <c r="IUL3" t="s">
        <v>6820</v>
      </c>
      <c r="IUM3" t="s">
        <v>6821</v>
      </c>
      <c r="IUN3" t="s">
        <v>6822</v>
      </c>
      <c r="IUO3" t="s">
        <v>6823</v>
      </c>
      <c r="IUP3" t="s">
        <v>6824</v>
      </c>
      <c r="IUQ3" t="s">
        <v>6825</v>
      </c>
      <c r="IUR3" t="s">
        <v>6826</v>
      </c>
      <c r="IUS3" t="s">
        <v>6827</v>
      </c>
      <c r="IUT3" t="s">
        <v>6828</v>
      </c>
      <c r="IUU3" t="s">
        <v>6829</v>
      </c>
      <c r="IUV3" t="s">
        <v>6830</v>
      </c>
      <c r="IUW3" t="s">
        <v>6831</v>
      </c>
      <c r="IUX3" t="s">
        <v>6832</v>
      </c>
      <c r="IUY3" t="s">
        <v>6833</v>
      </c>
      <c r="IUZ3" t="s">
        <v>6834</v>
      </c>
      <c r="IVA3" t="s">
        <v>6835</v>
      </c>
      <c r="IVB3" t="s">
        <v>6836</v>
      </c>
      <c r="IVC3" t="s">
        <v>6837</v>
      </c>
      <c r="IVD3" t="s">
        <v>6838</v>
      </c>
      <c r="IVE3" t="s">
        <v>6839</v>
      </c>
      <c r="IVF3" t="s">
        <v>6840</v>
      </c>
      <c r="IVG3" t="s">
        <v>6841</v>
      </c>
      <c r="IVH3" t="s">
        <v>6842</v>
      </c>
      <c r="IVI3" t="s">
        <v>6843</v>
      </c>
      <c r="IVJ3" t="s">
        <v>6844</v>
      </c>
      <c r="IVK3" t="s">
        <v>6845</v>
      </c>
      <c r="IVL3" t="s">
        <v>6846</v>
      </c>
      <c r="IVM3" t="s">
        <v>6847</v>
      </c>
      <c r="IVN3" t="s">
        <v>6848</v>
      </c>
      <c r="IVO3" t="s">
        <v>6849</v>
      </c>
      <c r="IVP3" t="s">
        <v>6850</v>
      </c>
      <c r="IVQ3" t="s">
        <v>6851</v>
      </c>
      <c r="IVR3" t="s">
        <v>6852</v>
      </c>
      <c r="IVS3" t="s">
        <v>6853</v>
      </c>
      <c r="IVT3" t="s">
        <v>6854</v>
      </c>
      <c r="IVU3" t="s">
        <v>6855</v>
      </c>
      <c r="IVV3" t="s">
        <v>6856</v>
      </c>
      <c r="IVW3" t="s">
        <v>6857</v>
      </c>
      <c r="IVX3" t="s">
        <v>6858</v>
      </c>
      <c r="IVY3" t="s">
        <v>6859</v>
      </c>
      <c r="IVZ3" t="s">
        <v>6860</v>
      </c>
      <c r="IWA3" t="s">
        <v>6861</v>
      </c>
      <c r="IWB3" t="s">
        <v>6862</v>
      </c>
      <c r="IWC3" t="s">
        <v>6863</v>
      </c>
      <c r="IWD3" t="s">
        <v>6864</v>
      </c>
      <c r="IWE3" t="s">
        <v>6865</v>
      </c>
      <c r="IWF3" t="s">
        <v>6866</v>
      </c>
      <c r="IWG3" t="s">
        <v>6867</v>
      </c>
      <c r="IWH3" t="s">
        <v>6868</v>
      </c>
      <c r="IWI3" t="s">
        <v>6869</v>
      </c>
      <c r="IWJ3" t="s">
        <v>6870</v>
      </c>
      <c r="IWK3" t="s">
        <v>6871</v>
      </c>
      <c r="IWL3" t="s">
        <v>6872</v>
      </c>
      <c r="IWM3" t="s">
        <v>6873</v>
      </c>
      <c r="IWN3" t="s">
        <v>6874</v>
      </c>
      <c r="IWO3" t="s">
        <v>6875</v>
      </c>
      <c r="IWP3" t="s">
        <v>6876</v>
      </c>
      <c r="IWQ3" t="s">
        <v>6877</v>
      </c>
      <c r="IWR3" t="s">
        <v>6878</v>
      </c>
      <c r="IWS3" t="s">
        <v>6879</v>
      </c>
      <c r="IWT3" t="s">
        <v>6880</v>
      </c>
      <c r="IWU3" t="s">
        <v>6881</v>
      </c>
      <c r="IWV3" t="s">
        <v>6882</v>
      </c>
      <c r="IWW3" t="s">
        <v>6883</v>
      </c>
      <c r="IWX3" t="s">
        <v>6884</v>
      </c>
      <c r="IWY3" t="s">
        <v>6885</v>
      </c>
      <c r="IWZ3" t="s">
        <v>6886</v>
      </c>
      <c r="IXA3" t="s">
        <v>6887</v>
      </c>
      <c r="IXB3" t="s">
        <v>6888</v>
      </c>
      <c r="IXC3" t="s">
        <v>6889</v>
      </c>
      <c r="IXD3" t="s">
        <v>6890</v>
      </c>
      <c r="IXE3" t="s">
        <v>6891</v>
      </c>
      <c r="IXF3" t="s">
        <v>6892</v>
      </c>
      <c r="IXG3" t="s">
        <v>6893</v>
      </c>
      <c r="IXH3" t="s">
        <v>6894</v>
      </c>
      <c r="IXI3" t="s">
        <v>6895</v>
      </c>
      <c r="IXJ3" t="s">
        <v>6896</v>
      </c>
      <c r="IXK3" t="s">
        <v>6897</v>
      </c>
      <c r="IXL3" t="s">
        <v>6898</v>
      </c>
      <c r="IXM3" t="s">
        <v>6899</v>
      </c>
      <c r="IXN3" t="s">
        <v>6900</v>
      </c>
      <c r="IXO3" t="s">
        <v>6901</v>
      </c>
      <c r="IXP3" t="s">
        <v>6902</v>
      </c>
      <c r="IXQ3" t="s">
        <v>6903</v>
      </c>
      <c r="IXR3" t="s">
        <v>6904</v>
      </c>
      <c r="IXS3" t="s">
        <v>6905</v>
      </c>
      <c r="IXT3" t="s">
        <v>6906</v>
      </c>
      <c r="IXU3" t="s">
        <v>6907</v>
      </c>
      <c r="IXV3" t="s">
        <v>6908</v>
      </c>
      <c r="IXW3" t="s">
        <v>6909</v>
      </c>
      <c r="IXX3" t="s">
        <v>6910</v>
      </c>
      <c r="IXY3" t="s">
        <v>6911</v>
      </c>
      <c r="IXZ3" t="s">
        <v>6912</v>
      </c>
      <c r="IYA3" t="s">
        <v>6913</v>
      </c>
      <c r="IYB3" t="s">
        <v>6914</v>
      </c>
      <c r="IYC3" t="s">
        <v>6915</v>
      </c>
      <c r="IYD3" t="s">
        <v>6916</v>
      </c>
      <c r="IYE3" t="s">
        <v>6917</v>
      </c>
      <c r="IYF3" t="s">
        <v>6918</v>
      </c>
      <c r="IYG3" t="s">
        <v>6919</v>
      </c>
      <c r="IYH3" t="s">
        <v>6920</v>
      </c>
      <c r="IYI3" t="s">
        <v>6921</v>
      </c>
      <c r="IYJ3" t="s">
        <v>6922</v>
      </c>
      <c r="IYK3" t="s">
        <v>6923</v>
      </c>
      <c r="IYL3" t="s">
        <v>6924</v>
      </c>
      <c r="IYM3" t="s">
        <v>6925</v>
      </c>
      <c r="IYN3" t="s">
        <v>6926</v>
      </c>
      <c r="IYO3" t="s">
        <v>6927</v>
      </c>
      <c r="IYP3" t="s">
        <v>6928</v>
      </c>
      <c r="IYQ3" t="s">
        <v>6929</v>
      </c>
      <c r="IYR3" t="s">
        <v>6930</v>
      </c>
      <c r="IYS3" t="s">
        <v>6931</v>
      </c>
      <c r="IYT3" t="s">
        <v>6932</v>
      </c>
      <c r="IYU3" t="s">
        <v>6933</v>
      </c>
      <c r="IYV3" t="s">
        <v>6934</v>
      </c>
      <c r="IYW3" t="s">
        <v>6935</v>
      </c>
      <c r="IYX3" t="s">
        <v>6936</v>
      </c>
      <c r="IYY3" t="s">
        <v>6937</v>
      </c>
      <c r="IYZ3" t="s">
        <v>6938</v>
      </c>
      <c r="IZA3" t="s">
        <v>6939</v>
      </c>
      <c r="IZB3" t="s">
        <v>6940</v>
      </c>
      <c r="IZC3" t="s">
        <v>6941</v>
      </c>
      <c r="IZD3" t="s">
        <v>6942</v>
      </c>
      <c r="IZE3" t="s">
        <v>6943</v>
      </c>
      <c r="IZF3" t="s">
        <v>6944</v>
      </c>
      <c r="IZG3" t="s">
        <v>6945</v>
      </c>
      <c r="IZH3" t="s">
        <v>6946</v>
      </c>
      <c r="IZI3" t="s">
        <v>6947</v>
      </c>
      <c r="IZJ3" t="s">
        <v>6948</v>
      </c>
      <c r="IZK3" t="s">
        <v>6949</v>
      </c>
      <c r="IZL3" t="s">
        <v>6950</v>
      </c>
      <c r="IZM3" t="s">
        <v>6951</v>
      </c>
      <c r="IZN3" t="s">
        <v>6952</v>
      </c>
      <c r="IZO3" t="s">
        <v>6953</v>
      </c>
      <c r="IZP3" t="s">
        <v>6954</v>
      </c>
      <c r="IZQ3" t="s">
        <v>6955</v>
      </c>
      <c r="IZR3" t="s">
        <v>6956</v>
      </c>
      <c r="IZS3" t="s">
        <v>6957</v>
      </c>
      <c r="IZT3" t="s">
        <v>6958</v>
      </c>
      <c r="IZU3" t="s">
        <v>6959</v>
      </c>
      <c r="IZV3" t="s">
        <v>6960</v>
      </c>
      <c r="IZW3" t="s">
        <v>6961</v>
      </c>
      <c r="IZX3" t="s">
        <v>6962</v>
      </c>
      <c r="IZY3" t="s">
        <v>6963</v>
      </c>
      <c r="IZZ3" t="s">
        <v>6964</v>
      </c>
      <c r="JAA3" t="s">
        <v>6965</v>
      </c>
      <c r="JAB3" t="s">
        <v>6966</v>
      </c>
      <c r="JAC3" t="s">
        <v>6967</v>
      </c>
      <c r="JAD3" t="s">
        <v>6968</v>
      </c>
      <c r="JAE3" t="s">
        <v>6969</v>
      </c>
      <c r="JAF3" t="s">
        <v>6970</v>
      </c>
      <c r="JAG3" t="s">
        <v>6971</v>
      </c>
      <c r="JAH3" t="s">
        <v>6972</v>
      </c>
      <c r="JAI3" t="s">
        <v>6973</v>
      </c>
      <c r="JAJ3" t="s">
        <v>6974</v>
      </c>
      <c r="JAK3" t="s">
        <v>6975</v>
      </c>
      <c r="JAL3" t="s">
        <v>6976</v>
      </c>
      <c r="JAM3" t="s">
        <v>6977</v>
      </c>
      <c r="JAN3" t="s">
        <v>6978</v>
      </c>
      <c r="JAO3" t="s">
        <v>6979</v>
      </c>
      <c r="JAP3" t="s">
        <v>6980</v>
      </c>
      <c r="JAQ3" t="s">
        <v>6981</v>
      </c>
      <c r="JAR3" t="s">
        <v>6982</v>
      </c>
      <c r="JAS3" t="s">
        <v>6983</v>
      </c>
      <c r="JAT3" t="s">
        <v>6984</v>
      </c>
      <c r="JAU3" t="s">
        <v>6985</v>
      </c>
      <c r="JAV3" t="s">
        <v>6986</v>
      </c>
      <c r="JAW3" t="s">
        <v>6987</v>
      </c>
      <c r="JAX3" t="s">
        <v>6988</v>
      </c>
      <c r="JAY3" t="s">
        <v>6989</v>
      </c>
      <c r="JAZ3" t="s">
        <v>6990</v>
      </c>
      <c r="JBA3" t="s">
        <v>6991</v>
      </c>
      <c r="JBB3" t="s">
        <v>6992</v>
      </c>
      <c r="JBC3" t="s">
        <v>6993</v>
      </c>
      <c r="JBD3" t="s">
        <v>6994</v>
      </c>
      <c r="JBE3" t="s">
        <v>6995</v>
      </c>
      <c r="JBF3" t="s">
        <v>6996</v>
      </c>
      <c r="JBG3" t="s">
        <v>6997</v>
      </c>
      <c r="JBH3" t="s">
        <v>6998</v>
      </c>
      <c r="JBI3" t="s">
        <v>6999</v>
      </c>
      <c r="JBJ3" t="s">
        <v>7000</v>
      </c>
      <c r="JBK3" t="s">
        <v>7001</v>
      </c>
      <c r="JBL3" t="s">
        <v>7002</v>
      </c>
      <c r="JBM3" t="s">
        <v>7003</v>
      </c>
      <c r="JBN3" t="s">
        <v>7004</v>
      </c>
      <c r="JBO3" t="s">
        <v>7005</v>
      </c>
      <c r="JBP3" t="s">
        <v>7006</v>
      </c>
      <c r="JBQ3" t="s">
        <v>7007</v>
      </c>
      <c r="JBR3" t="s">
        <v>7008</v>
      </c>
      <c r="JBS3" t="s">
        <v>7009</v>
      </c>
      <c r="JBT3" t="s">
        <v>7010</v>
      </c>
      <c r="JBU3" t="s">
        <v>7011</v>
      </c>
      <c r="JBV3" t="s">
        <v>7012</v>
      </c>
      <c r="JBW3" t="s">
        <v>7013</v>
      </c>
      <c r="JBX3" t="s">
        <v>7014</v>
      </c>
      <c r="JBY3" t="s">
        <v>7015</v>
      </c>
      <c r="JBZ3" t="s">
        <v>7016</v>
      </c>
      <c r="JCA3" t="s">
        <v>7017</v>
      </c>
      <c r="JCB3" t="s">
        <v>7018</v>
      </c>
      <c r="JCC3" t="s">
        <v>7019</v>
      </c>
      <c r="JCD3" t="s">
        <v>7020</v>
      </c>
      <c r="JCE3" t="s">
        <v>7021</v>
      </c>
      <c r="JCF3" t="s">
        <v>7022</v>
      </c>
      <c r="JCG3" t="s">
        <v>7023</v>
      </c>
      <c r="JCH3" t="s">
        <v>7024</v>
      </c>
      <c r="JCI3" t="s">
        <v>7025</v>
      </c>
      <c r="JCJ3" t="s">
        <v>7026</v>
      </c>
      <c r="JCK3" t="s">
        <v>7027</v>
      </c>
      <c r="JCL3" t="s">
        <v>7028</v>
      </c>
      <c r="JCM3" t="s">
        <v>7029</v>
      </c>
      <c r="JCN3" t="s">
        <v>7030</v>
      </c>
      <c r="JCO3" t="s">
        <v>7031</v>
      </c>
      <c r="JCP3" t="s">
        <v>7032</v>
      </c>
      <c r="JCQ3" t="s">
        <v>7033</v>
      </c>
      <c r="JCR3" t="s">
        <v>7034</v>
      </c>
      <c r="JCS3" t="s">
        <v>7035</v>
      </c>
      <c r="JCT3" t="s">
        <v>7036</v>
      </c>
      <c r="JCU3" t="s">
        <v>7037</v>
      </c>
      <c r="JCV3" t="s">
        <v>7038</v>
      </c>
      <c r="JCW3" t="s">
        <v>7039</v>
      </c>
      <c r="JCX3" t="s">
        <v>7040</v>
      </c>
      <c r="JCY3" t="s">
        <v>7041</v>
      </c>
      <c r="JCZ3" t="s">
        <v>7042</v>
      </c>
      <c r="JDA3" t="s">
        <v>7043</v>
      </c>
      <c r="JDB3" t="s">
        <v>7044</v>
      </c>
      <c r="JDC3" t="s">
        <v>7045</v>
      </c>
      <c r="JDD3" t="s">
        <v>7046</v>
      </c>
      <c r="JDE3" t="s">
        <v>7047</v>
      </c>
      <c r="JDF3" t="s">
        <v>7048</v>
      </c>
      <c r="JDG3" t="s">
        <v>7049</v>
      </c>
      <c r="JDH3" t="s">
        <v>7050</v>
      </c>
      <c r="JDI3" t="s">
        <v>7051</v>
      </c>
      <c r="JDJ3" t="s">
        <v>7052</v>
      </c>
      <c r="JDK3" t="s">
        <v>7053</v>
      </c>
      <c r="JDL3" t="s">
        <v>7054</v>
      </c>
      <c r="JDM3" t="s">
        <v>7055</v>
      </c>
      <c r="JDN3" t="s">
        <v>7056</v>
      </c>
      <c r="JDO3" t="s">
        <v>7057</v>
      </c>
      <c r="JDP3" t="s">
        <v>7058</v>
      </c>
      <c r="JDQ3" t="s">
        <v>7059</v>
      </c>
      <c r="JDR3" t="s">
        <v>7060</v>
      </c>
      <c r="JDS3" t="s">
        <v>7061</v>
      </c>
      <c r="JDT3" t="s">
        <v>7062</v>
      </c>
      <c r="JDU3" t="s">
        <v>7063</v>
      </c>
      <c r="JDV3" t="s">
        <v>7064</v>
      </c>
      <c r="JDW3" t="s">
        <v>7065</v>
      </c>
      <c r="JDX3" t="s">
        <v>7066</v>
      </c>
      <c r="JDY3" t="s">
        <v>7067</v>
      </c>
      <c r="JDZ3" t="s">
        <v>7068</v>
      </c>
      <c r="JEA3" t="s">
        <v>7069</v>
      </c>
      <c r="JEB3" t="s">
        <v>7070</v>
      </c>
      <c r="JEC3" t="s">
        <v>7071</v>
      </c>
      <c r="JED3" t="s">
        <v>7072</v>
      </c>
      <c r="JEE3" t="s">
        <v>7073</v>
      </c>
      <c r="JEF3" t="s">
        <v>7074</v>
      </c>
      <c r="JEG3" t="s">
        <v>7075</v>
      </c>
      <c r="JEH3" t="s">
        <v>7076</v>
      </c>
      <c r="JEI3" t="s">
        <v>7077</v>
      </c>
      <c r="JEJ3" t="s">
        <v>7078</v>
      </c>
      <c r="JEK3" t="s">
        <v>7079</v>
      </c>
      <c r="JEL3" t="s">
        <v>7080</v>
      </c>
      <c r="JEM3" t="s">
        <v>7081</v>
      </c>
      <c r="JEN3" t="s">
        <v>7082</v>
      </c>
      <c r="JEO3" t="s">
        <v>7083</v>
      </c>
      <c r="JEP3" t="s">
        <v>7084</v>
      </c>
      <c r="JEQ3" t="s">
        <v>7085</v>
      </c>
      <c r="JER3" t="s">
        <v>7086</v>
      </c>
      <c r="JES3" t="s">
        <v>7087</v>
      </c>
      <c r="JET3" t="s">
        <v>7088</v>
      </c>
      <c r="JEU3" t="s">
        <v>7089</v>
      </c>
      <c r="JEV3" t="s">
        <v>7090</v>
      </c>
      <c r="JEW3" t="s">
        <v>7091</v>
      </c>
      <c r="JEX3" t="s">
        <v>7092</v>
      </c>
      <c r="JEY3" t="s">
        <v>7093</v>
      </c>
      <c r="JEZ3" t="s">
        <v>7094</v>
      </c>
      <c r="JFA3" t="s">
        <v>7095</v>
      </c>
      <c r="JFB3" t="s">
        <v>7096</v>
      </c>
      <c r="JFC3" t="s">
        <v>7097</v>
      </c>
      <c r="JFD3" t="s">
        <v>7098</v>
      </c>
      <c r="JFE3" t="s">
        <v>7099</v>
      </c>
      <c r="JFF3" t="s">
        <v>7100</v>
      </c>
      <c r="JFG3" t="s">
        <v>7101</v>
      </c>
      <c r="JFH3" t="s">
        <v>7102</v>
      </c>
      <c r="JFI3" t="s">
        <v>7103</v>
      </c>
      <c r="JFJ3" t="s">
        <v>7104</v>
      </c>
      <c r="JFK3" t="s">
        <v>7105</v>
      </c>
      <c r="JFL3" t="s">
        <v>7106</v>
      </c>
      <c r="JFM3" t="s">
        <v>7107</v>
      </c>
      <c r="JFN3" t="s">
        <v>7108</v>
      </c>
      <c r="JFO3" t="s">
        <v>7109</v>
      </c>
      <c r="JFP3" t="s">
        <v>7110</v>
      </c>
      <c r="JFQ3" t="s">
        <v>7111</v>
      </c>
      <c r="JFR3" t="s">
        <v>7112</v>
      </c>
      <c r="JFS3" t="s">
        <v>7113</v>
      </c>
      <c r="JFT3" t="s">
        <v>7114</v>
      </c>
      <c r="JFU3" t="s">
        <v>7115</v>
      </c>
      <c r="JFV3" t="s">
        <v>7116</v>
      </c>
      <c r="JFW3" t="s">
        <v>7117</v>
      </c>
      <c r="JFX3" t="s">
        <v>7118</v>
      </c>
      <c r="JFY3" t="s">
        <v>7119</v>
      </c>
      <c r="JFZ3" t="s">
        <v>7120</v>
      </c>
      <c r="JGA3" t="s">
        <v>7121</v>
      </c>
      <c r="JGB3" t="s">
        <v>7122</v>
      </c>
      <c r="JGC3" t="s">
        <v>7123</v>
      </c>
      <c r="JGD3" t="s">
        <v>7124</v>
      </c>
      <c r="JGE3" t="s">
        <v>7125</v>
      </c>
      <c r="JGF3" t="s">
        <v>7126</v>
      </c>
      <c r="JGG3" t="s">
        <v>7127</v>
      </c>
      <c r="JGH3" t="s">
        <v>7128</v>
      </c>
      <c r="JGI3" t="s">
        <v>7129</v>
      </c>
      <c r="JGJ3" t="s">
        <v>7130</v>
      </c>
      <c r="JGK3" t="s">
        <v>7131</v>
      </c>
      <c r="JGL3" t="s">
        <v>7132</v>
      </c>
      <c r="JGM3" t="s">
        <v>7133</v>
      </c>
      <c r="JGN3" t="s">
        <v>7134</v>
      </c>
      <c r="JGO3" t="s">
        <v>7135</v>
      </c>
      <c r="JGP3" t="s">
        <v>7136</v>
      </c>
      <c r="JGQ3" t="s">
        <v>7137</v>
      </c>
      <c r="JGR3" t="s">
        <v>7138</v>
      </c>
      <c r="JGS3" t="s">
        <v>7139</v>
      </c>
      <c r="JGT3" t="s">
        <v>7140</v>
      </c>
      <c r="JGU3" t="s">
        <v>7141</v>
      </c>
      <c r="JGV3" t="s">
        <v>7142</v>
      </c>
      <c r="JGW3" t="s">
        <v>7143</v>
      </c>
      <c r="JGX3" t="s">
        <v>7144</v>
      </c>
      <c r="JGY3" t="s">
        <v>7145</v>
      </c>
      <c r="JGZ3" t="s">
        <v>7146</v>
      </c>
      <c r="JHA3" t="s">
        <v>7147</v>
      </c>
      <c r="JHB3" t="s">
        <v>7148</v>
      </c>
      <c r="JHC3" t="s">
        <v>7149</v>
      </c>
      <c r="JHD3" t="s">
        <v>7150</v>
      </c>
      <c r="JHE3" t="s">
        <v>7151</v>
      </c>
      <c r="JHF3" t="s">
        <v>7152</v>
      </c>
      <c r="JHG3" t="s">
        <v>7153</v>
      </c>
      <c r="JHH3" t="s">
        <v>7154</v>
      </c>
      <c r="JHI3" t="s">
        <v>7155</v>
      </c>
      <c r="JHJ3" t="s">
        <v>7156</v>
      </c>
      <c r="JHK3" t="s">
        <v>7157</v>
      </c>
      <c r="JHL3" t="s">
        <v>7158</v>
      </c>
      <c r="JHM3" t="s">
        <v>7159</v>
      </c>
      <c r="JHN3" t="s">
        <v>7160</v>
      </c>
      <c r="JHO3" t="s">
        <v>7161</v>
      </c>
      <c r="JHP3" t="s">
        <v>7162</v>
      </c>
      <c r="JHQ3" t="s">
        <v>7163</v>
      </c>
      <c r="JHR3" t="s">
        <v>7164</v>
      </c>
      <c r="JHS3" t="s">
        <v>7165</v>
      </c>
      <c r="JHT3" t="s">
        <v>7166</v>
      </c>
      <c r="JHU3" t="s">
        <v>7167</v>
      </c>
      <c r="JHV3" t="s">
        <v>7168</v>
      </c>
      <c r="JHW3" t="s">
        <v>7169</v>
      </c>
      <c r="JHX3" t="s">
        <v>7170</v>
      </c>
      <c r="JHY3" t="s">
        <v>7171</v>
      </c>
      <c r="JHZ3" t="s">
        <v>7172</v>
      </c>
      <c r="JIA3" t="s">
        <v>7173</v>
      </c>
      <c r="JIB3" t="s">
        <v>7174</v>
      </c>
      <c r="JIC3" t="s">
        <v>7175</v>
      </c>
      <c r="JID3" t="s">
        <v>7176</v>
      </c>
      <c r="JIE3" t="s">
        <v>7177</v>
      </c>
      <c r="JIF3" t="s">
        <v>7178</v>
      </c>
      <c r="JIG3" t="s">
        <v>7179</v>
      </c>
      <c r="JIH3" t="s">
        <v>7180</v>
      </c>
      <c r="JII3" t="s">
        <v>7181</v>
      </c>
      <c r="JIJ3" t="s">
        <v>7182</v>
      </c>
      <c r="JIK3" t="s">
        <v>7183</v>
      </c>
      <c r="JIL3" t="s">
        <v>7184</v>
      </c>
      <c r="JIM3" t="s">
        <v>7185</v>
      </c>
      <c r="JIN3" t="s">
        <v>7186</v>
      </c>
      <c r="JIO3" t="s">
        <v>7187</v>
      </c>
      <c r="JIP3" t="s">
        <v>7188</v>
      </c>
      <c r="JIQ3" t="s">
        <v>7189</v>
      </c>
      <c r="JIR3" t="s">
        <v>7190</v>
      </c>
      <c r="JIS3" t="s">
        <v>7191</v>
      </c>
      <c r="JIT3" t="s">
        <v>7192</v>
      </c>
      <c r="JIU3" t="s">
        <v>7193</v>
      </c>
      <c r="JIV3" t="s">
        <v>7194</v>
      </c>
      <c r="JIW3" t="s">
        <v>7195</v>
      </c>
      <c r="JIX3" t="s">
        <v>7196</v>
      </c>
      <c r="JIY3" t="s">
        <v>7197</v>
      </c>
      <c r="JIZ3" t="s">
        <v>7198</v>
      </c>
      <c r="JJA3" t="s">
        <v>7199</v>
      </c>
      <c r="JJB3" t="s">
        <v>7200</v>
      </c>
      <c r="JJC3" t="s">
        <v>7201</v>
      </c>
      <c r="JJD3" t="s">
        <v>7202</v>
      </c>
      <c r="JJE3" t="s">
        <v>7203</v>
      </c>
      <c r="JJF3" t="s">
        <v>7204</v>
      </c>
      <c r="JJG3" t="s">
        <v>7205</v>
      </c>
      <c r="JJH3" t="s">
        <v>7206</v>
      </c>
      <c r="JJI3" t="s">
        <v>7207</v>
      </c>
      <c r="JJJ3" t="s">
        <v>7208</v>
      </c>
      <c r="JJK3" t="s">
        <v>7209</v>
      </c>
      <c r="JJL3" t="s">
        <v>7210</v>
      </c>
      <c r="JJM3" t="s">
        <v>7211</v>
      </c>
      <c r="JJN3" t="s">
        <v>7212</v>
      </c>
      <c r="JJO3" t="s">
        <v>7213</v>
      </c>
      <c r="JJP3" t="s">
        <v>7214</v>
      </c>
      <c r="JJQ3" t="s">
        <v>7215</v>
      </c>
      <c r="JJR3" t="s">
        <v>7216</v>
      </c>
      <c r="JJS3" t="s">
        <v>7217</v>
      </c>
      <c r="JJT3" t="s">
        <v>7218</v>
      </c>
      <c r="JJU3" t="s">
        <v>7219</v>
      </c>
      <c r="JJV3" t="s">
        <v>7220</v>
      </c>
      <c r="JJW3" t="s">
        <v>7221</v>
      </c>
      <c r="JJX3" t="s">
        <v>7222</v>
      </c>
      <c r="JJY3" t="s">
        <v>7223</v>
      </c>
      <c r="JJZ3" t="s">
        <v>7224</v>
      </c>
      <c r="JKA3" t="s">
        <v>7225</v>
      </c>
      <c r="JKB3" t="s">
        <v>7226</v>
      </c>
      <c r="JKC3" t="s">
        <v>7227</v>
      </c>
      <c r="JKD3" t="s">
        <v>7228</v>
      </c>
      <c r="JKE3" t="s">
        <v>7229</v>
      </c>
      <c r="JKF3" t="s">
        <v>7230</v>
      </c>
      <c r="JKG3" t="s">
        <v>7231</v>
      </c>
      <c r="JKH3" t="s">
        <v>7232</v>
      </c>
      <c r="JKI3" t="s">
        <v>7233</v>
      </c>
      <c r="JKJ3" t="s">
        <v>7234</v>
      </c>
      <c r="JKK3" t="s">
        <v>7235</v>
      </c>
      <c r="JKL3" t="s">
        <v>7236</v>
      </c>
      <c r="JKM3" t="s">
        <v>7237</v>
      </c>
      <c r="JKN3" t="s">
        <v>7238</v>
      </c>
      <c r="JKO3" t="s">
        <v>7239</v>
      </c>
      <c r="JKP3" t="s">
        <v>7240</v>
      </c>
      <c r="JKQ3" t="s">
        <v>7241</v>
      </c>
      <c r="JKR3" t="s">
        <v>7242</v>
      </c>
      <c r="JKS3" t="s">
        <v>7243</v>
      </c>
      <c r="JKT3" t="s">
        <v>7244</v>
      </c>
      <c r="JKU3" t="s">
        <v>7245</v>
      </c>
      <c r="JKV3" t="s">
        <v>7246</v>
      </c>
      <c r="JKW3" t="s">
        <v>7247</v>
      </c>
      <c r="JKX3" t="s">
        <v>7248</v>
      </c>
      <c r="JKY3" t="s">
        <v>7249</v>
      </c>
      <c r="JKZ3" t="s">
        <v>7250</v>
      </c>
      <c r="JLA3" t="s">
        <v>7251</v>
      </c>
      <c r="JLB3" t="s">
        <v>7252</v>
      </c>
      <c r="JLC3" t="s">
        <v>7253</v>
      </c>
      <c r="JLD3" t="s">
        <v>7254</v>
      </c>
      <c r="JLE3" t="s">
        <v>7255</v>
      </c>
      <c r="JLF3" t="s">
        <v>7256</v>
      </c>
      <c r="JLG3" t="s">
        <v>7257</v>
      </c>
      <c r="JLH3" t="s">
        <v>7258</v>
      </c>
      <c r="JLI3" t="s">
        <v>7259</v>
      </c>
      <c r="JLJ3" t="s">
        <v>7260</v>
      </c>
      <c r="JLK3" t="s">
        <v>7261</v>
      </c>
      <c r="JLL3" t="s">
        <v>7262</v>
      </c>
      <c r="JLM3" t="s">
        <v>7263</v>
      </c>
      <c r="JLN3" t="s">
        <v>7264</v>
      </c>
      <c r="JLO3" t="s">
        <v>7265</v>
      </c>
      <c r="JLP3" t="s">
        <v>7266</v>
      </c>
      <c r="JLQ3" t="s">
        <v>7267</v>
      </c>
      <c r="JLR3" t="s">
        <v>7268</v>
      </c>
      <c r="JLS3" t="s">
        <v>7269</v>
      </c>
      <c r="JLT3" t="s">
        <v>7270</v>
      </c>
      <c r="JLU3" t="s">
        <v>7271</v>
      </c>
      <c r="JLV3" t="s">
        <v>7272</v>
      </c>
      <c r="JLW3" t="s">
        <v>7273</v>
      </c>
      <c r="JLX3" t="s">
        <v>7274</v>
      </c>
      <c r="JLY3" t="s">
        <v>7275</v>
      </c>
      <c r="JLZ3" t="s">
        <v>7276</v>
      </c>
      <c r="JMA3" t="s">
        <v>7277</v>
      </c>
      <c r="JMB3" t="s">
        <v>7278</v>
      </c>
      <c r="JMC3" t="s">
        <v>7279</v>
      </c>
      <c r="JMD3" t="s">
        <v>7280</v>
      </c>
      <c r="JME3" t="s">
        <v>7281</v>
      </c>
      <c r="JMF3" t="s">
        <v>7282</v>
      </c>
      <c r="JMG3" t="s">
        <v>7283</v>
      </c>
      <c r="JMH3" t="s">
        <v>7284</v>
      </c>
      <c r="JMI3" t="s">
        <v>7285</v>
      </c>
      <c r="JMJ3" t="s">
        <v>7286</v>
      </c>
      <c r="JMK3" t="s">
        <v>7287</v>
      </c>
      <c r="JML3" t="s">
        <v>7288</v>
      </c>
      <c r="JMM3" t="s">
        <v>7289</v>
      </c>
      <c r="JMN3" t="s">
        <v>7290</v>
      </c>
      <c r="JMO3" t="s">
        <v>7291</v>
      </c>
      <c r="JMP3" t="s">
        <v>7292</v>
      </c>
      <c r="JMQ3" t="s">
        <v>7293</v>
      </c>
      <c r="JMR3" t="s">
        <v>7294</v>
      </c>
      <c r="JMS3" t="s">
        <v>7295</v>
      </c>
      <c r="JMT3" t="s">
        <v>7296</v>
      </c>
      <c r="JMU3" t="s">
        <v>7297</v>
      </c>
      <c r="JMV3" t="s">
        <v>7298</v>
      </c>
      <c r="JMW3" t="s">
        <v>7299</v>
      </c>
      <c r="JMX3" t="s">
        <v>7300</v>
      </c>
      <c r="JMY3" t="s">
        <v>7301</v>
      </c>
      <c r="JMZ3" t="s">
        <v>7302</v>
      </c>
      <c r="JNA3" t="s">
        <v>7303</v>
      </c>
      <c r="JNB3" t="s">
        <v>7304</v>
      </c>
      <c r="JNC3" t="s">
        <v>7305</v>
      </c>
      <c r="JND3" t="s">
        <v>7306</v>
      </c>
      <c r="JNE3" t="s">
        <v>7307</v>
      </c>
      <c r="JNF3" t="s">
        <v>7308</v>
      </c>
      <c r="JNG3" t="s">
        <v>7309</v>
      </c>
      <c r="JNH3" t="s">
        <v>7310</v>
      </c>
      <c r="JNI3" t="s">
        <v>7311</v>
      </c>
      <c r="JNJ3" t="s">
        <v>7312</v>
      </c>
      <c r="JNK3" t="s">
        <v>7313</v>
      </c>
      <c r="JNL3" t="s">
        <v>7314</v>
      </c>
      <c r="JNM3" t="s">
        <v>7315</v>
      </c>
      <c r="JNN3" t="s">
        <v>7316</v>
      </c>
      <c r="JNO3" t="s">
        <v>7317</v>
      </c>
      <c r="JNP3" t="s">
        <v>7318</v>
      </c>
      <c r="JNQ3" t="s">
        <v>7319</v>
      </c>
      <c r="JNR3" t="s">
        <v>7320</v>
      </c>
      <c r="JNS3" t="s">
        <v>7321</v>
      </c>
      <c r="JNT3" t="s">
        <v>7322</v>
      </c>
      <c r="JNU3" t="s">
        <v>7323</v>
      </c>
      <c r="JNV3" t="s">
        <v>7324</v>
      </c>
      <c r="JNW3" t="s">
        <v>7325</v>
      </c>
      <c r="JNX3" t="s">
        <v>7326</v>
      </c>
      <c r="JNY3" t="s">
        <v>7327</v>
      </c>
      <c r="JNZ3" t="s">
        <v>7328</v>
      </c>
      <c r="JOA3" t="s">
        <v>7329</v>
      </c>
      <c r="JOB3" t="s">
        <v>7330</v>
      </c>
      <c r="JOC3" t="s">
        <v>7331</v>
      </c>
      <c r="JOD3" t="s">
        <v>7332</v>
      </c>
      <c r="JOE3" t="s">
        <v>7333</v>
      </c>
      <c r="JOF3" t="s">
        <v>7334</v>
      </c>
      <c r="JOG3" t="s">
        <v>7335</v>
      </c>
      <c r="JOH3" t="s">
        <v>7336</v>
      </c>
      <c r="JOI3" t="s">
        <v>7337</v>
      </c>
      <c r="JOJ3" t="s">
        <v>7338</v>
      </c>
      <c r="JOK3" t="s">
        <v>7339</v>
      </c>
      <c r="JOL3" t="s">
        <v>7340</v>
      </c>
      <c r="JOM3" t="s">
        <v>7341</v>
      </c>
      <c r="JON3" t="s">
        <v>7342</v>
      </c>
      <c r="JOO3" t="s">
        <v>7343</v>
      </c>
      <c r="JOP3" t="s">
        <v>7344</v>
      </c>
      <c r="JOQ3" t="s">
        <v>7345</v>
      </c>
      <c r="JOR3" t="s">
        <v>7346</v>
      </c>
      <c r="JOS3" t="s">
        <v>7347</v>
      </c>
      <c r="JOT3" t="s">
        <v>7348</v>
      </c>
      <c r="JOU3" t="s">
        <v>7349</v>
      </c>
      <c r="JOV3" t="s">
        <v>7350</v>
      </c>
      <c r="JOW3" t="s">
        <v>7351</v>
      </c>
      <c r="JOX3" t="s">
        <v>7352</v>
      </c>
      <c r="JOY3" t="s">
        <v>7353</v>
      </c>
      <c r="JOZ3" t="s">
        <v>7354</v>
      </c>
      <c r="JPA3" t="s">
        <v>7355</v>
      </c>
      <c r="JPB3" t="s">
        <v>7356</v>
      </c>
      <c r="JPC3" t="s">
        <v>7357</v>
      </c>
      <c r="JPD3" t="s">
        <v>7358</v>
      </c>
      <c r="JPE3" t="s">
        <v>7359</v>
      </c>
      <c r="JPF3" t="s">
        <v>7360</v>
      </c>
      <c r="JPG3" t="s">
        <v>7361</v>
      </c>
      <c r="JPH3" t="s">
        <v>7362</v>
      </c>
      <c r="JPI3" t="s">
        <v>7363</v>
      </c>
      <c r="JPJ3" t="s">
        <v>7364</v>
      </c>
      <c r="JPK3" t="s">
        <v>7365</v>
      </c>
      <c r="JPL3" t="s">
        <v>7366</v>
      </c>
      <c r="JPM3" t="s">
        <v>7367</v>
      </c>
      <c r="JPN3" t="s">
        <v>7368</v>
      </c>
      <c r="JPO3" t="s">
        <v>7369</v>
      </c>
      <c r="JPP3" t="s">
        <v>7370</v>
      </c>
      <c r="JPQ3" t="s">
        <v>7371</v>
      </c>
      <c r="JPR3" t="s">
        <v>7372</v>
      </c>
      <c r="JPS3" t="s">
        <v>7373</v>
      </c>
      <c r="JPT3" t="s">
        <v>7374</v>
      </c>
      <c r="JPU3" t="s">
        <v>7375</v>
      </c>
      <c r="JPV3" t="s">
        <v>7376</v>
      </c>
      <c r="JPW3" t="s">
        <v>7377</v>
      </c>
      <c r="JPX3" t="s">
        <v>7378</v>
      </c>
      <c r="JPY3" t="s">
        <v>7379</v>
      </c>
      <c r="JPZ3" t="s">
        <v>7380</v>
      </c>
      <c r="JQA3" t="s">
        <v>7381</v>
      </c>
      <c r="JQB3" t="s">
        <v>7382</v>
      </c>
      <c r="JQC3" t="s">
        <v>7383</v>
      </c>
      <c r="JQD3" t="s">
        <v>7384</v>
      </c>
      <c r="JQE3" t="s">
        <v>7385</v>
      </c>
      <c r="JQF3" t="s">
        <v>7386</v>
      </c>
      <c r="JQG3" t="s">
        <v>7387</v>
      </c>
      <c r="JQH3" t="s">
        <v>7388</v>
      </c>
      <c r="JQI3" t="s">
        <v>7389</v>
      </c>
      <c r="JQJ3" t="s">
        <v>7390</v>
      </c>
      <c r="JQK3" t="s">
        <v>7391</v>
      </c>
      <c r="JQL3" t="s">
        <v>7392</v>
      </c>
      <c r="JQM3" t="s">
        <v>7393</v>
      </c>
      <c r="JQN3" t="s">
        <v>7394</v>
      </c>
      <c r="JQO3" t="s">
        <v>7395</v>
      </c>
      <c r="JQP3" t="s">
        <v>7396</v>
      </c>
      <c r="JQQ3" t="s">
        <v>7397</v>
      </c>
      <c r="JQR3" t="s">
        <v>7398</v>
      </c>
      <c r="JQS3" t="s">
        <v>7399</v>
      </c>
      <c r="JQT3" t="s">
        <v>7400</v>
      </c>
      <c r="JQU3" t="s">
        <v>7401</v>
      </c>
      <c r="JQV3" t="s">
        <v>7402</v>
      </c>
      <c r="JQW3" t="s">
        <v>7403</v>
      </c>
      <c r="JQX3" t="s">
        <v>7404</v>
      </c>
      <c r="JQY3" t="s">
        <v>7405</v>
      </c>
      <c r="JQZ3" t="s">
        <v>7406</v>
      </c>
      <c r="JRA3" t="s">
        <v>7407</v>
      </c>
      <c r="JRB3" t="s">
        <v>7408</v>
      </c>
      <c r="JRC3" t="s">
        <v>7409</v>
      </c>
      <c r="JRD3" t="s">
        <v>7410</v>
      </c>
      <c r="JRE3" t="s">
        <v>7411</v>
      </c>
      <c r="JRF3" t="s">
        <v>7412</v>
      </c>
      <c r="JRG3" t="s">
        <v>7413</v>
      </c>
      <c r="JRH3" t="s">
        <v>7414</v>
      </c>
      <c r="JRI3" t="s">
        <v>7415</v>
      </c>
      <c r="JRJ3" t="s">
        <v>7416</v>
      </c>
      <c r="JRK3" t="s">
        <v>7417</v>
      </c>
      <c r="JRL3" t="s">
        <v>7418</v>
      </c>
      <c r="JRM3" t="s">
        <v>7419</v>
      </c>
      <c r="JRN3" t="s">
        <v>7420</v>
      </c>
      <c r="JRO3" t="s">
        <v>7421</v>
      </c>
      <c r="JRP3" t="s">
        <v>7422</v>
      </c>
      <c r="JRQ3" t="s">
        <v>7423</v>
      </c>
      <c r="JRR3" t="s">
        <v>7424</v>
      </c>
      <c r="JRS3" t="s">
        <v>7425</v>
      </c>
      <c r="JRT3" t="s">
        <v>7426</v>
      </c>
      <c r="JRU3" t="s">
        <v>7427</v>
      </c>
      <c r="JRV3" t="s">
        <v>7428</v>
      </c>
      <c r="JRW3" t="s">
        <v>7429</v>
      </c>
      <c r="JRX3" t="s">
        <v>7430</v>
      </c>
      <c r="JRY3" t="s">
        <v>7431</v>
      </c>
      <c r="JRZ3" t="s">
        <v>7432</v>
      </c>
      <c r="JSA3" t="s">
        <v>7433</v>
      </c>
      <c r="JSB3" t="s">
        <v>7434</v>
      </c>
      <c r="JSC3" t="s">
        <v>7435</v>
      </c>
      <c r="JSD3" t="s">
        <v>7436</v>
      </c>
      <c r="JSE3" t="s">
        <v>7437</v>
      </c>
      <c r="JSF3" t="s">
        <v>7438</v>
      </c>
      <c r="JSG3" t="s">
        <v>7439</v>
      </c>
      <c r="JSH3" t="s">
        <v>7440</v>
      </c>
      <c r="JSI3" t="s">
        <v>7441</v>
      </c>
      <c r="JSJ3" t="s">
        <v>7442</v>
      </c>
      <c r="JSK3" t="s">
        <v>7443</v>
      </c>
      <c r="JSL3" t="s">
        <v>7444</v>
      </c>
      <c r="JSM3" t="s">
        <v>7445</v>
      </c>
      <c r="JSN3" t="s">
        <v>7446</v>
      </c>
      <c r="JSO3" t="s">
        <v>7447</v>
      </c>
      <c r="JSP3" t="s">
        <v>7448</v>
      </c>
      <c r="JSQ3" t="s">
        <v>7449</v>
      </c>
      <c r="JSR3" t="s">
        <v>7450</v>
      </c>
      <c r="JSS3" t="s">
        <v>7451</v>
      </c>
      <c r="JST3" t="s">
        <v>7452</v>
      </c>
      <c r="JSU3" t="s">
        <v>7453</v>
      </c>
      <c r="JSV3" t="s">
        <v>7454</v>
      </c>
      <c r="JSW3" t="s">
        <v>7455</v>
      </c>
      <c r="JSX3" t="s">
        <v>7456</v>
      </c>
      <c r="JSY3" t="s">
        <v>7457</v>
      </c>
      <c r="JSZ3" t="s">
        <v>7458</v>
      </c>
      <c r="JTA3" t="s">
        <v>7459</v>
      </c>
      <c r="JTB3" t="s">
        <v>7460</v>
      </c>
      <c r="JTC3" t="s">
        <v>7461</v>
      </c>
      <c r="JTD3" t="s">
        <v>7462</v>
      </c>
      <c r="JTE3" t="s">
        <v>7463</v>
      </c>
      <c r="JTF3" t="s">
        <v>7464</v>
      </c>
      <c r="JTG3" t="s">
        <v>7465</v>
      </c>
      <c r="JTH3" t="s">
        <v>7466</v>
      </c>
      <c r="JTI3" t="s">
        <v>7467</v>
      </c>
      <c r="JTJ3" t="s">
        <v>7468</v>
      </c>
      <c r="JTK3" t="s">
        <v>7469</v>
      </c>
      <c r="JTL3" t="s">
        <v>7470</v>
      </c>
      <c r="JTM3" t="s">
        <v>7471</v>
      </c>
      <c r="JTN3" t="s">
        <v>7472</v>
      </c>
      <c r="JTO3" t="s">
        <v>7473</v>
      </c>
      <c r="JTP3" t="s">
        <v>7474</v>
      </c>
      <c r="JTQ3" t="s">
        <v>7475</v>
      </c>
      <c r="JTR3" t="s">
        <v>7476</v>
      </c>
      <c r="JTS3" t="s">
        <v>7477</v>
      </c>
      <c r="JTT3" t="s">
        <v>7478</v>
      </c>
      <c r="JTU3" t="s">
        <v>7479</v>
      </c>
      <c r="JTV3" t="s">
        <v>7480</v>
      </c>
      <c r="JTW3" t="s">
        <v>7481</v>
      </c>
      <c r="JTX3" t="s">
        <v>7482</v>
      </c>
      <c r="JTY3" t="s">
        <v>7483</v>
      </c>
      <c r="JTZ3" t="s">
        <v>7484</v>
      </c>
      <c r="JUA3" t="s">
        <v>7485</v>
      </c>
      <c r="JUB3" t="s">
        <v>7486</v>
      </c>
      <c r="JUC3" t="s">
        <v>7487</v>
      </c>
      <c r="JUD3" t="s">
        <v>7488</v>
      </c>
      <c r="JUE3" t="s">
        <v>7489</v>
      </c>
      <c r="JUF3" t="s">
        <v>7490</v>
      </c>
      <c r="JUG3" t="s">
        <v>7491</v>
      </c>
      <c r="JUH3" t="s">
        <v>7492</v>
      </c>
      <c r="JUI3" t="s">
        <v>7493</v>
      </c>
      <c r="JUJ3" t="s">
        <v>7494</v>
      </c>
      <c r="JUK3" t="s">
        <v>7495</v>
      </c>
      <c r="JUL3" t="s">
        <v>7496</v>
      </c>
      <c r="JUM3" t="s">
        <v>7497</v>
      </c>
      <c r="JUN3" t="s">
        <v>7498</v>
      </c>
      <c r="JUO3" t="s">
        <v>7499</v>
      </c>
      <c r="JUP3" t="s">
        <v>7500</v>
      </c>
      <c r="JUQ3" t="s">
        <v>7501</v>
      </c>
      <c r="JUR3" t="s">
        <v>7502</v>
      </c>
      <c r="JUS3" t="s">
        <v>7503</v>
      </c>
      <c r="JUT3" t="s">
        <v>7504</v>
      </c>
      <c r="JUU3" t="s">
        <v>7505</v>
      </c>
      <c r="JUV3" t="s">
        <v>7506</v>
      </c>
      <c r="JUW3" t="s">
        <v>7507</v>
      </c>
      <c r="JUX3" t="s">
        <v>7508</v>
      </c>
      <c r="JUY3" t="s">
        <v>7509</v>
      </c>
      <c r="JUZ3" t="s">
        <v>7510</v>
      </c>
      <c r="JVA3" t="s">
        <v>7511</v>
      </c>
      <c r="JVB3" t="s">
        <v>7512</v>
      </c>
      <c r="JVC3" t="s">
        <v>7513</v>
      </c>
      <c r="JVD3" t="s">
        <v>7514</v>
      </c>
      <c r="JVE3" t="s">
        <v>7515</v>
      </c>
      <c r="JVF3" t="s">
        <v>7516</v>
      </c>
      <c r="JVG3" t="s">
        <v>7517</v>
      </c>
      <c r="JVH3" t="s">
        <v>7518</v>
      </c>
      <c r="JVI3" t="s">
        <v>7519</v>
      </c>
      <c r="JVJ3" t="s">
        <v>7520</v>
      </c>
      <c r="JVK3" t="s">
        <v>7521</v>
      </c>
      <c r="JVL3" t="s">
        <v>7522</v>
      </c>
      <c r="JVM3" t="s">
        <v>7523</v>
      </c>
      <c r="JVN3" t="s">
        <v>7524</v>
      </c>
      <c r="JVO3" t="s">
        <v>7525</v>
      </c>
      <c r="JVP3" t="s">
        <v>7526</v>
      </c>
      <c r="JVQ3" t="s">
        <v>7527</v>
      </c>
      <c r="JVR3" t="s">
        <v>7528</v>
      </c>
      <c r="JVS3" t="s">
        <v>7529</v>
      </c>
      <c r="JVT3" t="s">
        <v>7530</v>
      </c>
      <c r="JVU3" t="s">
        <v>7531</v>
      </c>
      <c r="JVV3" t="s">
        <v>7532</v>
      </c>
      <c r="JVW3" t="s">
        <v>7533</v>
      </c>
      <c r="JVX3" t="s">
        <v>7534</v>
      </c>
      <c r="JVY3" t="s">
        <v>7535</v>
      </c>
      <c r="JVZ3" t="s">
        <v>7536</v>
      </c>
      <c r="JWA3" t="s">
        <v>7537</v>
      </c>
      <c r="JWB3" t="s">
        <v>7538</v>
      </c>
      <c r="JWC3" t="s">
        <v>7539</v>
      </c>
      <c r="JWD3" t="s">
        <v>7540</v>
      </c>
      <c r="JWE3" t="s">
        <v>7541</v>
      </c>
      <c r="JWF3" t="s">
        <v>7542</v>
      </c>
      <c r="JWG3" t="s">
        <v>7543</v>
      </c>
      <c r="JWH3" t="s">
        <v>7544</v>
      </c>
      <c r="JWI3" t="s">
        <v>7545</v>
      </c>
      <c r="JWJ3" t="s">
        <v>7546</v>
      </c>
      <c r="JWK3" t="s">
        <v>7547</v>
      </c>
      <c r="JWL3" t="s">
        <v>7548</v>
      </c>
      <c r="JWM3" t="s">
        <v>7549</v>
      </c>
      <c r="JWN3" t="s">
        <v>7550</v>
      </c>
      <c r="JWO3" t="s">
        <v>7551</v>
      </c>
      <c r="JWP3" t="s">
        <v>7552</v>
      </c>
      <c r="JWQ3" t="s">
        <v>7553</v>
      </c>
      <c r="JWR3" t="s">
        <v>7554</v>
      </c>
      <c r="JWS3" t="s">
        <v>7555</v>
      </c>
      <c r="JWT3" t="s">
        <v>7556</v>
      </c>
      <c r="JWU3" t="s">
        <v>7557</v>
      </c>
      <c r="JWV3" t="s">
        <v>7558</v>
      </c>
      <c r="JWW3" t="s">
        <v>7559</v>
      </c>
      <c r="JWX3" t="s">
        <v>7560</v>
      </c>
      <c r="JWY3" t="s">
        <v>7561</v>
      </c>
      <c r="JWZ3" t="s">
        <v>7562</v>
      </c>
      <c r="JXA3" t="s">
        <v>7563</v>
      </c>
      <c r="JXB3" t="s">
        <v>7564</v>
      </c>
      <c r="JXC3" t="s">
        <v>7565</v>
      </c>
      <c r="JXD3" t="s">
        <v>7566</v>
      </c>
      <c r="JXE3" t="s">
        <v>7567</v>
      </c>
      <c r="JXF3" t="s">
        <v>7568</v>
      </c>
      <c r="JXG3" t="s">
        <v>7569</v>
      </c>
      <c r="JXH3" t="s">
        <v>7570</v>
      </c>
      <c r="JXI3" t="s">
        <v>7571</v>
      </c>
      <c r="JXJ3" t="s">
        <v>7572</v>
      </c>
      <c r="JXK3" t="s">
        <v>7573</v>
      </c>
      <c r="JXL3" t="s">
        <v>7574</v>
      </c>
      <c r="JXM3" t="s">
        <v>7575</v>
      </c>
      <c r="JXN3" t="s">
        <v>7576</v>
      </c>
      <c r="JXO3" t="s">
        <v>7577</v>
      </c>
      <c r="JXP3" t="s">
        <v>7578</v>
      </c>
      <c r="JXQ3" t="s">
        <v>7579</v>
      </c>
      <c r="JXR3" t="s">
        <v>7580</v>
      </c>
      <c r="JXS3" t="s">
        <v>7581</v>
      </c>
      <c r="JXT3" t="s">
        <v>7582</v>
      </c>
      <c r="JXU3" t="s">
        <v>7583</v>
      </c>
      <c r="JXV3" t="s">
        <v>7584</v>
      </c>
      <c r="JXW3" t="s">
        <v>7585</v>
      </c>
      <c r="JXX3" t="s">
        <v>7586</v>
      </c>
      <c r="JXY3" t="s">
        <v>7587</v>
      </c>
      <c r="JXZ3" t="s">
        <v>7588</v>
      </c>
      <c r="JYA3" t="s">
        <v>7589</v>
      </c>
      <c r="JYB3" t="s">
        <v>7590</v>
      </c>
      <c r="JYC3" t="s">
        <v>7591</v>
      </c>
      <c r="JYD3" t="s">
        <v>7592</v>
      </c>
      <c r="JYE3" t="s">
        <v>7593</v>
      </c>
      <c r="JYF3" t="s">
        <v>7594</v>
      </c>
      <c r="JYG3" t="s">
        <v>7595</v>
      </c>
      <c r="JYH3" t="s">
        <v>7596</v>
      </c>
      <c r="JYI3" t="s">
        <v>7597</v>
      </c>
      <c r="JYJ3" t="s">
        <v>7598</v>
      </c>
      <c r="JYK3" t="s">
        <v>7599</v>
      </c>
      <c r="JYL3" t="s">
        <v>7600</v>
      </c>
      <c r="JYM3" t="s">
        <v>7601</v>
      </c>
      <c r="JYN3" t="s">
        <v>7602</v>
      </c>
      <c r="JYO3" t="s">
        <v>7603</v>
      </c>
      <c r="JYP3" t="s">
        <v>7604</v>
      </c>
      <c r="JYQ3" t="s">
        <v>7605</v>
      </c>
      <c r="JYR3" t="s">
        <v>7606</v>
      </c>
      <c r="JYS3" t="s">
        <v>7607</v>
      </c>
      <c r="JYT3" t="s">
        <v>7608</v>
      </c>
      <c r="JYU3" t="s">
        <v>7609</v>
      </c>
      <c r="JYV3" t="s">
        <v>7610</v>
      </c>
      <c r="JYW3" t="s">
        <v>7611</v>
      </c>
      <c r="JYX3" t="s">
        <v>7612</v>
      </c>
      <c r="JYY3" t="s">
        <v>7613</v>
      </c>
      <c r="JYZ3" t="s">
        <v>7614</v>
      </c>
      <c r="JZA3" t="s">
        <v>7615</v>
      </c>
      <c r="JZB3" t="s">
        <v>7616</v>
      </c>
      <c r="JZC3" t="s">
        <v>7617</v>
      </c>
      <c r="JZD3" t="s">
        <v>7618</v>
      </c>
      <c r="JZE3" t="s">
        <v>7619</v>
      </c>
      <c r="JZF3" t="s">
        <v>7620</v>
      </c>
      <c r="JZG3" t="s">
        <v>7621</v>
      </c>
      <c r="JZH3" t="s">
        <v>7622</v>
      </c>
      <c r="JZI3" t="s">
        <v>7623</v>
      </c>
      <c r="JZJ3" t="s">
        <v>7624</v>
      </c>
      <c r="JZK3" t="s">
        <v>7625</v>
      </c>
      <c r="JZL3" t="s">
        <v>7626</v>
      </c>
      <c r="JZM3" t="s">
        <v>7627</v>
      </c>
      <c r="JZN3" t="s">
        <v>7628</v>
      </c>
      <c r="JZO3" t="s">
        <v>7629</v>
      </c>
      <c r="JZP3" t="s">
        <v>7630</v>
      </c>
      <c r="JZQ3" t="s">
        <v>7631</v>
      </c>
      <c r="JZR3" t="s">
        <v>7632</v>
      </c>
      <c r="JZS3" t="s">
        <v>7633</v>
      </c>
      <c r="JZT3" t="s">
        <v>7634</v>
      </c>
      <c r="JZU3" t="s">
        <v>7635</v>
      </c>
      <c r="JZV3" t="s">
        <v>7636</v>
      </c>
      <c r="JZW3" t="s">
        <v>7637</v>
      </c>
      <c r="JZX3" t="s">
        <v>7638</v>
      </c>
      <c r="JZY3" t="s">
        <v>7639</v>
      </c>
      <c r="JZZ3" t="s">
        <v>7640</v>
      </c>
      <c r="KAA3" t="s">
        <v>7641</v>
      </c>
      <c r="KAB3" t="s">
        <v>7642</v>
      </c>
      <c r="KAC3" t="s">
        <v>7643</v>
      </c>
      <c r="KAD3" t="s">
        <v>7644</v>
      </c>
      <c r="KAE3" t="s">
        <v>7645</v>
      </c>
      <c r="KAF3" t="s">
        <v>7646</v>
      </c>
      <c r="KAG3" t="s">
        <v>7647</v>
      </c>
      <c r="KAH3" t="s">
        <v>7648</v>
      </c>
      <c r="KAI3" t="s">
        <v>7649</v>
      </c>
      <c r="KAJ3" t="s">
        <v>7650</v>
      </c>
      <c r="KAK3" t="s">
        <v>7651</v>
      </c>
      <c r="KAL3" t="s">
        <v>7652</v>
      </c>
      <c r="KAM3" t="s">
        <v>7653</v>
      </c>
      <c r="KAN3" t="s">
        <v>7654</v>
      </c>
      <c r="KAO3" t="s">
        <v>7655</v>
      </c>
      <c r="KAP3" t="s">
        <v>7656</v>
      </c>
      <c r="KAQ3" t="s">
        <v>7657</v>
      </c>
      <c r="KAR3" t="s">
        <v>7658</v>
      </c>
      <c r="KAS3" t="s">
        <v>7659</v>
      </c>
      <c r="KAT3" t="s">
        <v>7660</v>
      </c>
      <c r="KAU3" t="s">
        <v>7661</v>
      </c>
      <c r="KAV3" t="s">
        <v>7662</v>
      </c>
      <c r="KAW3" t="s">
        <v>7663</v>
      </c>
      <c r="KAX3" t="s">
        <v>7664</v>
      </c>
      <c r="KAY3" t="s">
        <v>7665</v>
      </c>
      <c r="KAZ3" t="s">
        <v>7666</v>
      </c>
      <c r="KBA3" t="s">
        <v>7667</v>
      </c>
      <c r="KBB3" t="s">
        <v>7668</v>
      </c>
      <c r="KBC3" t="s">
        <v>7669</v>
      </c>
      <c r="KBD3" t="s">
        <v>7670</v>
      </c>
      <c r="KBE3" t="s">
        <v>7671</v>
      </c>
      <c r="KBF3" t="s">
        <v>7672</v>
      </c>
      <c r="KBG3" t="s">
        <v>7673</v>
      </c>
      <c r="KBH3" t="s">
        <v>7674</v>
      </c>
      <c r="KBI3" t="s">
        <v>7675</v>
      </c>
      <c r="KBJ3" t="s">
        <v>7676</v>
      </c>
      <c r="KBK3" t="s">
        <v>7677</v>
      </c>
      <c r="KBL3" t="s">
        <v>7678</v>
      </c>
      <c r="KBM3" t="s">
        <v>7679</v>
      </c>
      <c r="KBN3" t="s">
        <v>7680</v>
      </c>
      <c r="KBO3" t="s">
        <v>7681</v>
      </c>
      <c r="KBP3" t="s">
        <v>7682</v>
      </c>
      <c r="KBQ3" t="s">
        <v>7683</v>
      </c>
      <c r="KBR3" t="s">
        <v>7684</v>
      </c>
      <c r="KBS3" t="s">
        <v>7685</v>
      </c>
      <c r="KBT3" t="s">
        <v>7686</v>
      </c>
      <c r="KBU3" t="s">
        <v>7687</v>
      </c>
      <c r="KBV3" t="s">
        <v>7688</v>
      </c>
      <c r="KBW3" t="s">
        <v>7689</v>
      </c>
      <c r="KBX3" t="s">
        <v>7690</v>
      </c>
      <c r="KBY3" t="s">
        <v>7691</v>
      </c>
      <c r="KBZ3" t="s">
        <v>7692</v>
      </c>
      <c r="KCA3" t="s">
        <v>7693</v>
      </c>
      <c r="KCB3" t="s">
        <v>7694</v>
      </c>
      <c r="KCC3" t="s">
        <v>7695</v>
      </c>
      <c r="KCD3" t="s">
        <v>7696</v>
      </c>
      <c r="KCE3" t="s">
        <v>7697</v>
      </c>
      <c r="KCF3" t="s">
        <v>7698</v>
      </c>
      <c r="KCG3" t="s">
        <v>7699</v>
      </c>
      <c r="KCH3" t="s">
        <v>7700</v>
      </c>
      <c r="KCI3" t="s">
        <v>7701</v>
      </c>
      <c r="KCJ3" t="s">
        <v>7702</v>
      </c>
      <c r="KCK3" t="s">
        <v>7703</v>
      </c>
      <c r="KCL3" t="s">
        <v>7704</v>
      </c>
      <c r="KCM3" t="s">
        <v>7705</v>
      </c>
      <c r="KCN3" t="s">
        <v>7706</v>
      </c>
      <c r="KCO3" t="s">
        <v>7707</v>
      </c>
      <c r="KCP3" t="s">
        <v>7708</v>
      </c>
      <c r="KCQ3" t="s">
        <v>7709</v>
      </c>
      <c r="KCR3" t="s">
        <v>7710</v>
      </c>
      <c r="KCS3" t="s">
        <v>7711</v>
      </c>
      <c r="KCT3" t="s">
        <v>7712</v>
      </c>
      <c r="KCU3" t="s">
        <v>7713</v>
      </c>
      <c r="KCV3" t="s">
        <v>7714</v>
      </c>
      <c r="KCW3" t="s">
        <v>7715</v>
      </c>
      <c r="KCX3" t="s">
        <v>7716</v>
      </c>
      <c r="KCY3" t="s">
        <v>7717</v>
      </c>
      <c r="KCZ3" t="s">
        <v>7718</v>
      </c>
      <c r="KDA3" t="s">
        <v>7719</v>
      </c>
      <c r="KDB3" t="s">
        <v>7720</v>
      </c>
      <c r="KDC3" t="s">
        <v>7721</v>
      </c>
      <c r="KDD3" t="s">
        <v>7722</v>
      </c>
      <c r="KDE3" t="s">
        <v>7723</v>
      </c>
      <c r="KDF3" t="s">
        <v>7724</v>
      </c>
      <c r="KDG3" t="s">
        <v>7725</v>
      </c>
      <c r="KDH3" t="s">
        <v>7726</v>
      </c>
      <c r="KDI3" t="s">
        <v>7727</v>
      </c>
      <c r="KDJ3" t="s">
        <v>7728</v>
      </c>
      <c r="KDK3" t="s">
        <v>7729</v>
      </c>
      <c r="KDL3" t="s">
        <v>7730</v>
      </c>
      <c r="KDM3" t="s">
        <v>7731</v>
      </c>
      <c r="KDN3" t="s">
        <v>7732</v>
      </c>
      <c r="KDO3" t="s">
        <v>7733</v>
      </c>
      <c r="KDP3" t="s">
        <v>7734</v>
      </c>
      <c r="KDQ3" t="s">
        <v>7735</v>
      </c>
      <c r="KDR3" t="s">
        <v>7736</v>
      </c>
      <c r="KDS3" t="s">
        <v>7737</v>
      </c>
      <c r="KDT3" t="s">
        <v>7738</v>
      </c>
      <c r="KDU3" t="s">
        <v>7739</v>
      </c>
      <c r="KDV3" t="s">
        <v>7740</v>
      </c>
      <c r="KDW3" t="s">
        <v>7741</v>
      </c>
      <c r="KDX3" t="s">
        <v>7742</v>
      </c>
      <c r="KDY3" t="s">
        <v>7743</v>
      </c>
      <c r="KDZ3" t="s">
        <v>7744</v>
      </c>
      <c r="KEA3" t="s">
        <v>7745</v>
      </c>
      <c r="KEB3" t="s">
        <v>7746</v>
      </c>
      <c r="KEC3" t="s">
        <v>7747</v>
      </c>
      <c r="KED3" t="s">
        <v>7748</v>
      </c>
      <c r="KEE3" t="s">
        <v>7749</v>
      </c>
      <c r="KEF3" t="s">
        <v>7750</v>
      </c>
      <c r="KEG3" t="s">
        <v>7751</v>
      </c>
      <c r="KEH3" t="s">
        <v>7752</v>
      </c>
      <c r="KEI3" t="s">
        <v>7753</v>
      </c>
      <c r="KEJ3" t="s">
        <v>7754</v>
      </c>
      <c r="KEK3" t="s">
        <v>7755</v>
      </c>
      <c r="KEL3" t="s">
        <v>7756</v>
      </c>
      <c r="KEM3" t="s">
        <v>7757</v>
      </c>
      <c r="KEN3" t="s">
        <v>7758</v>
      </c>
      <c r="KEO3" t="s">
        <v>7759</v>
      </c>
      <c r="KEP3" t="s">
        <v>7760</v>
      </c>
      <c r="KEQ3" t="s">
        <v>7761</v>
      </c>
      <c r="KER3" t="s">
        <v>7762</v>
      </c>
      <c r="KES3" t="s">
        <v>7763</v>
      </c>
      <c r="KET3" t="s">
        <v>7764</v>
      </c>
      <c r="KEU3" t="s">
        <v>7765</v>
      </c>
      <c r="KEV3" t="s">
        <v>7766</v>
      </c>
      <c r="KEW3" t="s">
        <v>7767</v>
      </c>
      <c r="KEX3" t="s">
        <v>7768</v>
      </c>
      <c r="KEY3" t="s">
        <v>7769</v>
      </c>
      <c r="KEZ3" t="s">
        <v>7770</v>
      </c>
      <c r="KFA3" t="s">
        <v>7771</v>
      </c>
      <c r="KFB3" t="s">
        <v>7772</v>
      </c>
      <c r="KFC3" t="s">
        <v>7773</v>
      </c>
      <c r="KFD3" t="s">
        <v>7774</v>
      </c>
      <c r="KFE3" t="s">
        <v>7775</v>
      </c>
      <c r="KFF3" t="s">
        <v>7776</v>
      </c>
      <c r="KFG3" t="s">
        <v>7777</v>
      </c>
      <c r="KFH3" t="s">
        <v>7778</v>
      </c>
      <c r="KFI3" t="s">
        <v>7779</v>
      </c>
      <c r="KFJ3" t="s">
        <v>7780</v>
      </c>
      <c r="KFK3" t="s">
        <v>7781</v>
      </c>
      <c r="KFL3" t="s">
        <v>7782</v>
      </c>
      <c r="KFM3" t="s">
        <v>7783</v>
      </c>
      <c r="KFN3" t="s">
        <v>7784</v>
      </c>
      <c r="KFO3" t="s">
        <v>7785</v>
      </c>
      <c r="KFP3" t="s">
        <v>7786</v>
      </c>
      <c r="KFQ3" t="s">
        <v>7787</v>
      </c>
      <c r="KFR3" t="s">
        <v>7788</v>
      </c>
      <c r="KFS3" t="s">
        <v>7789</v>
      </c>
      <c r="KFT3" t="s">
        <v>7790</v>
      </c>
      <c r="KFU3" t="s">
        <v>7791</v>
      </c>
      <c r="KFV3" t="s">
        <v>7792</v>
      </c>
      <c r="KFW3" t="s">
        <v>7793</v>
      </c>
      <c r="KFX3" t="s">
        <v>7794</v>
      </c>
      <c r="KFY3" t="s">
        <v>7795</v>
      </c>
      <c r="KFZ3" t="s">
        <v>7796</v>
      </c>
      <c r="KGA3" t="s">
        <v>7797</v>
      </c>
      <c r="KGB3" t="s">
        <v>7798</v>
      </c>
      <c r="KGC3" t="s">
        <v>7799</v>
      </c>
      <c r="KGD3" t="s">
        <v>7800</v>
      </c>
      <c r="KGE3" t="s">
        <v>7801</v>
      </c>
      <c r="KGF3" t="s">
        <v>7802</v>
      </c>
      <c r="KGG3" t="s">
        <v>7803</v>
      </c>
      <c r="KGH3" t="s">
        <v>7804</v>
      </c>
      <c r="KGI3" t="s">
        <v>7805</v>
      </c>
      <c r="KGJ3" t="s">
        <v>7806</v>
      </c>
      <c r="KGK3" t="s">
        <v>7807</v>
      </c>
      <c r="KGL3" t="s">
        <v>7808</v>
      </c>
      <c r="KGM3" t="s">
        <v>7809</v>
      </c>
      <c r="KGN3" t="s">
        <v>7810</v>
      </c>
      <c r="KGO3" t="s">
        <v>7811</v>
      </c>
      <c r="KGP3" t="s">
        <v>7812</v>
      </c>
      <c r="KGQ3" t="s">
        <v>7813</v>
      </c>
      <c r="KGR3" t="s">
        <v>7814</v>
      </c>
      <c r="KGS3" t="s">
        <v>7815</v>
      </c>
      <c r="KGT3" t="s">
        <v>7816</v>
      </c>
      <c r="KGU3" t="s">
        <v>7817</v>
      </c>
      <c r="KGV3" t="s">
        <v>7818</v>
      </c>
      <c r="KGW3" t="s">
        <v>7819</v>
      </c>
      <c r="KGX3" t="s">
        <v>7820</v>
      </c>
      <c r="KGY3" t="s">
        <v>7821</v>
      </c>
      <c r="KGZ3" t="s">
        <v>7822</v>
      </c>
      <c r="KHA3" t="s">
        <v>7823</v>
      </c>
      <c r="KHB3" t="s">
        <v>7824</v>
      </c>
      <c r="KHC3" t="s">
        <v>7825</v>
      </c>
      <c r="KHD3" t="s">
        <v>7826</v>
      </c>
      <c r="KHE3" t="s">
        <v>7827</v>
      </c>
      <c r="KHF3" t="s">
        <v>7828</v>
      </c>
      <c r="KHG3" t="s">
        <v>7829</v>
      </c>
      <c r="KHH3" t="s">
        <v>7830</v>
      </c>
      <c r="KHI3" t="s">
        <v>7831</v>
      </c>
      <c r="KHJ3" t="s">
        <v>7832</v>
      </c>
      <c r="KHK3" t="s">
        <v>7833</v>
      </c>
      <c r="KHL3" t="s">
        <v>7834</v>
      </c>
      <c r="KHM3" t="s">
        <v>7835</v>
      </c>
      <c r="KHN3" t="s">
        <v>7836</v>
      </c>
      <c r="KHO3" t="s">
        <v>7837</v>
      </c>
      <c r="KHP3" t="s">
        <v>7838</v>
      </c>
      <c r="KHQ3" t="s">
        <v>7839</v>
      </c>
      <c r="KHR3" t="s">
        <v>7840</v>
      </c>
      <c r="KHS3" t="s">
        <v>7841</v>
      </c>
      <c r="KHT3" t="s">
        <v>7842</v>
      </c>
      <c r="KHU3" t="s">
        <v>7843</v>
      </c>
      <c r="KHV3" t="s">
        <v>7844</v>
      </c>
      <c r="KHW3" t="s">
        <v>7845</v>
      </c>
      <c r="KHX3" t="s">
        <v>7846</v>
      </c>
      <c r="KHY3" t="s">
        <v>7847</v>
      </c>
      <c r="KHZ3" t="s">
        <v>7848</v>
      </c>
      <c r="KIA3" t="s">
        <v>7849</v>
      </c>
      <c r="KIB3" t="s">
        <v>7850</v>
      </c>
      <c r="KIC3" t="s">
        <v>7851</v>
      </c>
      <c r="KID3" t="s">
        <v>7852</v>
      </c>
      <c r="KIE3" t="s">
        <v>7853</v>
      </c>
      <c r="KIF3" t="s">
        <v>7854</v>
      </c>
      <c r="KIG3" t="s">
        <v>7855</v>
      </c>
      <c r="KIH3" t="s">
        <v>7856</v>
      </c>
      <c r="KII3" t="s">
        <v>7857</v>
      </c>
      <c r="KIJ3" t="s">
        <v>7858</v>
      </c>
      <c r="KIK3" t="s">
        <v>7859</v>
      </c>
      <c r="KIL3" t="s">
        <v>7860</v>
      </c>
      <c r="KIM3" t="s">
        <v>7861</v>
      </c>
      <c r="KIN3" t="s">
        <v>7862</v>
      </c>
      <c r="KIO3" t="s">
        <v>7863</v>
      </c>
      <c r="KIP3" t="s">
        <v>7864</v>
      </c>
      <c r="KIQ3" t="s">
        <v>7865</v>
      </c>
      <c r="KIR3" t="s">
        <v>7866</v>
      </c>
      <c r="KIS3" t="s">
        <v>7867</v>
      </c>
      <c r="KIT3" t="s">
        <v>7868</v>
      </c>
      <c r="KIU3" t="s">
        <v>7869</v>
      </c>
      <c r="KIV3" t="s">
        <v>7870</v>
      </c>
      <c r="KIW3" t="s">
        <v>7871</v>
      </c>
      <c r="KIX3" t="s">
        <v>7872</v>
      </c>
      <c r="KIY3" t="s">
        <v>7873</v>
      </c>
      <c r="KIZ3" t="s">
        <v>7874</v>
      </c>
      <c r="KJA3" t="s">
        <v>7875</v>
      </c>
      <c r="KJB3" t="s">
        <v>7876</v>
      </c>
      <c r="KJC3" t="s">
        <v>7877</v>
      </c>
      <c r="KJD3" t="s">
        <v>7878</v>
      </c>
      <c r="KJE3" t="s">
        <v>7879</v>
      </c>
      <c r="KJF3" t="s">
        <v>7880</v>
      </c>
      <c r="KJG3" t="s">
        <v>7881</v>
      </c>
      <c r="KJH3" t="s">
        <v>7882</v>
      </c>
      <c r="KJI3" t="s">
        <v>7883</v>
      </c>
      <c r="KJJ3" t="s">
        <v>7884</v>
      </c>
      <c r="KJK3" t="s">
        <v>7885</v>
      </c>
      <c r="KJL3" t="s">
        <v>7886</v>
      </c>
      <c r="KJM3" t="s">
        <v>7887</v>
      </c>
      <c r="KJN3" t="s">
        <v>7888</v>
      </c>
      <c r="KJO3" t="s">
        <v>7889</v>
      </c>
      <c r="KJP3" t="s">
        <v>7890</v>
      </c>
      <c r="KJQ3" t="s">
        <v>7891</v>
      </c>
      <c r="KJR3" t="s">
        <v>7892</v>
      </c>
      <c r="KJS3" t="s">
        <v>7893</v>
      </c>
      <c r="KJT3" t="s">
        <v>7894</v>
      </c>
      <c r="KJU3" t="s">
        <v>7895</v>
      </c>
      <c r="KJV3" t="s">
        <v>7896</v>
      </c>
      <c r="KJW3" t="s">
        <v>7897</v>
      </c>
      <c r="KJX3" t="s">
        <v>7898</v>
      </c>
      <c r="KJY3" t="s">
        <v>7899</v>
      </c>
      <c r="KJZ3" t="s">
        <v>7900</v>
      </c>
      <c r="KKA3" t="s">
        <v>7901</v>
      </c>
      <c r="KKB3" t="s">
        <v>7902</v>
      </c>
      <c r="KKC3" t="s">
        <v>7903</v>
      </c>
      <c r="KKD3" t="s">
        <v>7904</v>
      </c>
      <c r="KKE3" t="s">
        <v>7905</v>
      </c>
      <c r="KKF3" t="s">
        <v>7906</v>
      </c>
      <c r="KKG3" t="s">
        <v>7907</v>
      </c>
      <c r="KKH3" t="s">
        <v>7908</v>
      </c>
      <c r="KKI3" t="s">
        <v>7909</v>
      </c>
      <c r="KKJ3" t="s">
        <v>7910</v>
      </c>
      <c r="KKK3" t="s">
        <v>7911</v>
      </c>
      <c r="KKL3" t="s">
        <v>7912</v>
      </c>
      <c r="KKM3" t="s">
        <v>7913</v>
      </c>
      <c r="KKN3" t="s">
        <v>7914</v>
      </c>
      <c r="KKO3" t="s">
        <v>7915</v>
      </c>
      <c r="KKP3" t="s">
        <v>7916</v>
      </c>
      <c r="KKQ3" t="s">
        <v>7917</v>
      </c>
      <c r="KKR3" t="s">
        <v>7918</v>
      </c>
      <c r="KKS3" t="s">
        <v>7919</v>
      </c>
      <c r="KKT3" t="s">
        <v>7920</v>
      </c>
      <c r="KKU3" t="s">
        <v>7921</v>
      </c>
      <c r="KKV3" t="s">
        <v>7922</v>
      </c>
      <c r="KKW3" t="s">
        <v>7923</v>
      </c>
      <c r="KKX3" t="s">
        <v>7924</v>
      </c>
      <c r="KKY3" t="s">
        <v>7925</v>
      </c>
      <c r="KKZ3" t="s">
        <v>7926</v>
      </c>
      <c r="KLA3" t="s">
        <v>7927</v>
      </c>
      <c r="KLB3" t="s">
        <v>7928</v>
      </c>
      <c r="KLC3" t="s">
        <v>7929</v>
      </c>
      <c r="KLD3" t="s">
        <v>7930</v>
      </c>
      <c r="KLE3" t="s">
        <v>7931</v>
      </c>
      <c r="KLF3" t="s">
        <v>7932</v>
      </c>
      <c r="KLG3" t="s">
        <v>7933</v>
      </c>
      <c r="KLH3" t="s">
        <v>7934</v>
      </c>
      <c r="KLI3" t="s">
        <v>7935</v>
      </c>
      <c r="KLJ3" t="s">
        <v>7936</v>
      </c>
      <c r="KLK3" t="s">
        <v>7937</v>
      </c>
      <c r="KLL3" t="s">
        <v>7938</v>
      </c>
      <c r="KLM3" t="s">
        <v>7939</v>
      </c>
      <c r="KLN3" t="s">
        <v>7940</v>
      </c>
      <c r="KLO3" t="s">
        <v>7941</v>
      </c>
      <c r="KLP3" t="s">
        <v>7942</v>
      </c>
      <c r="KLQ3" t="s">
        <v>7943</v>
      </c>
      <c r="KLR3" t="s">
        <v>7944</v>
      </c>
      <c r="KLS3" t="s">
        <v>7945</v>
      </c>
      <c r="KLT3" t="s">
        <v>7946</v>
      </c>
      <c r="KLU3" t="s">
        <v>7947</v>
      </c>
      <c r="KLV3" t="s">
        <v>7948</v>
      </c>
      <c r="KLW3" t="s">
        <v>7949</v>
      </c>
      <c r="KLX3" t="s">
        <v>7950</v>
      </c>
      <c r="KLY3" t="s">
        <v>7951</v>
      </c>
      <c r="KLZ3" t="s">
        <v>7952</v>
      </c>
      <c r="KMA3" t="s">
        <v>7953</v>
      </c>
      <c r="KMB3" t="s">
        <v>7954</v>
      </c>
      <c r="KMC3" t="s">
        <v>7955</v>
      </c>
      <c r="KMD3" t="s">
        <v>7956</v>
      </c>
      <c r="KME3" t="s">
        <v>7957</v>
      </c>
      <c r="KMF3" t="s">
        <v>7958</v>
      </c>
      <c r="KMG3" t="s">
        <v>7959</v>
      </c>
      <c r="KMH3" t="s">
        <v>7960</v>
      </c>
      <c r="KMI3" t="s">
        <v>7961</v>
      </c>
      <c r="KMJ3" t="s">
        <v>7962</v>
      </c>
      <c r="KMK3" t="s">
        <v>7963</v>
      </c>
      <c r="KML3" t="s">
        <v>7964</v>
      </c>
      <c r="KMM3" t="s">
        <v>7965</v>
      </c>
      <c r="KMN3" t="s">
        <v>7966</v>
      </c>
      <c r="KMO3" t="s">
        <v>7967</v>
      </c>
      <c r="KMP3" t="s">
        <v>7968</v>
      </c>
      <c r="KMQ3" t="s">
        <v>7969</v>
      </c>
      <c r="KMR3" t="s">
        <v>7970</v>
      </c>
      <c r="KMS3" t="s">
        <v>7971</v>
      </c>
      <c r="KMT3" t="s">
        <v>7972</v>
      </c>
      <c r="KMU3" t="s">
        <v>7973</v>
      </c>
      <c r="KMV3" t="s">
        <v>7974</v>
      </c>
      <c r="KMW3" t="s">
        <v>7975</v>
      </c>
      <c r="KMX3" t="s">
        <v>7976</v>
      </c>
      <c r="KMY3" t="s">
        <v>7977</v>
      </c>
      <c r="KMZ3" t="s">
        <v>7978</v>
      </c>
      <c r="KNA3" t="s">
        <v>7979</v>
      </c>
      <c r="KNB3" t="s">
        <v>7980</v>
      </c>
      <c r="KNC3" t="s">
        <v>7981</v>
      </c>
      <c r="KND3" t="s">
        <v>7982</v>
      </c>
      <c r="KNE3" t="s">
        <v>7983</v>
      </c>
      <c r="KNF3" t="s">
        <v>7984</v>
      </c>
      <c r="KNG3" t="s">
        <v>7985</v>
      </c>
      <c r="KNH3" t="s">
        <v>7986</v>
      </c>
      <c r="KNI3" t="s">
        <v>7987</v>
      </c>
      <c r="KNJ3" t="s">
        <v>7988</v>
      </c>
      <c r="KNK3" t="s">
        <v>7989</v>
      </c>
      <c r="KNL3" t="s">
        <v>7990</v>
      </c>
      <c r="KNM3" t="s">
        <v>7991</v>
      </c>
      <c r="KNN3" t="s">
        <v>7992</v>
      </c>
      <c r="KNO3" t="s">
        <v>7993</v>
      </c>
      <c r="KNP3" t="s">
        <v>7994</v>
      </c>
      <c r="KNQ3" t="s">
        <v>7995</v>
      </c>
      <c r="KNR3" t="s">
        <v>7996</v>
      </c>
      <c r="KNS3" t="s">
        <v>7997</v>
      </c>
      <c r="KNT3" t="s">
        <v>7998</v>
      </c>
      <c r="KNU3" t="s">
        <v>7999</v>
      </c>
      <c r="KNV3" t="s">
        <v>8000</v>
      </c>
      <c r="KNW3" t="s">
        <v>8001</v>
      </c>
      <c r="KNX3" t="s">
        <v>8002</v>
      </c>
      <c r="KNY3" t="s">
        <v>8003</v>
      </c>
      <c r="KNZ3" t="s">
        <v>8004</v>
      </c>
      <c r="KOA3" t="s">
        <v>8005</v>
      </c>
      <c r="KOB3" t="s">
        <v>8006</v>
      </c>
      <c r="KOC3" t="s">
        <v>8007</v>
      </c>
      <c r="KOD3" t="s">
        <v>8008</v>
      </c>
      <c r="KOE3" t="s">
        <v>8009</v>
      </c>
      <c r="KOF3" t="s">
        <v>8010</v>
      </c>
      <c r="KOG3" t="s">
        <v>8011</v>
      </c>
      <c r="KOH3" t="s">
        <v>8012</v>
      </c>
      <c r="KOI3" t="s">
        <v>8013</v>
      </c>
      <c r="KOJ3" t="s">
        <v>8014</v>
      </c>
      <c r="KOK3" t="s">
        <v>8015</v>
      </c>
      <c r="KOL3" t="s">
        <v>8016</v>
      </c>
      <c r="KOM3" t="s">
        <v>8017</v>
      </c>
      <c r="KON3" t="s">
        <v>8018</v>
      </c>
      <c r="KOO3" t="s">
        <v>8019</v>
      </c>
      <c r="KOP3" t="s">
        <v>8020</v>
      </c>
      <c r="KOQ3" t="s">
        <v>8021</v>
      </c>
      <c r="KOR3" t="s">
        <v>8022</v>
      </c>
      <c r="KOS3" t="s">
        <v>8023</v>
      </c>
      <c r="KOT3" t="s">
        <v>8024</v>
      </c>
      <c r="KOU3" t="s">
        <v>8025</v>
      </c>
      <c r="KOV3" t="s">
        <v>8026</v>
      </c>
      <c r="KOW3" t="s">
        <v>8027</v>
      </c>
      <c r="KOX3" t="s">
        <v>8028</v>
      </c>
      <c r="KOY3" t="s">
        <v>8029</v>
      </c>
      <c r="KOZ3" t="s">
        <v>8030</v>
      </c>
      <c r="KPA3" t="s">
        <v>8031</v>
      </c>
      <c r="KPB3" t="s">
        <v>8032</v>
      </c>
      <c r="KPC3" t="s">
        <v>8033</v>
      </c>
      <c r="KPD3" t="s">
        <v>8034</v>
      </c>
      <c r="KPE3" t="s">
        <v>8035</v>
      </c>
      <c r="KPF3" t="s">
        <v>8036</v>
      </c>
      <c r="KPG3" t="s">
        <v>8037</v>
      </c>
      <c r="KPH3" t="s">
        <v>8038</v>
      </c>
      <c r="KPI3" t="s">
        <v>8039</v>
      </c>
      <c r="KPJ3" t="s">
        <v>8040</v>
      </c>
      <c r="KPK3" t="s">
        <v>8041</v>
      </c>
      <c r="KPL3" t="s">
        <v>8042</v>
      </c>
      <c r="KPM3" t="s">
        <v>8043</v>
      </c>
      <c r="KPN3" t="s">
        <v>8044</v>
      </c>
      <c r="KPO3" t="s">
        <v>8045</v>
      </c>
      <c r="KPP3" t="s">
        <v>8046</v>
      </c>
      <c r="KPQ3" t="s">
        <v>8047</v>
      </c>
      <c r="KPR3" t="s">
        <v>8048</v>
      </c>
      <c r="KPS3" t="s">
        <v>8049</v>
      </c>
      <c r="KPT3" t="s">
        <v>8050</v>
      </c>
      <c r="KPU3" t="s">
        <v>8051</v>
      </c>
      <c r="KPV3" t="s">
        <v>8052</v>
      </c>
      <c r="KPW3" t="s">
        <v>8053</v>
      </c>
      <c r="KPX3" t="s">
        <v>8054</v>
      </c>
      <c r="KPY3" t="s">
        <v>8055</v>
      </c>
      <c r="KPZ3" t="s">
        <v>8056</v>
      </c>
      <c r="KQA3" t="s">
        <v>8057</v>
      </c>
      <c r="KQB3" t="s">
        <v>8058</v>
      </c>
      <c r="KQC3" t="s">
        <v>8059</v>
      </c>
      <c r="KQD3" t="s">
        <v>8060</v>
      </c>
      <c r="KQE3" t="s">
        <v>8061</v>
      </c>
      <c r="KQF3" t="s">
        <v>8062</v>
      </c>
      <c r="KQG3" t="s">
        <v>8063</v>
      </c>
      <c r="KQH3" t="s">
        <v>8064</v>
      </c>
      <c r="KQI3" t="s">
        <v>8065</v>
      </c>
      <c r="KQJ3" t="s">
        <v>8066</v>
      </c>
      <c r="KQK3" t="s">
        <v>8067</v>
      </c>
      <c r="KQL3" t="s">
        <v>8068</v>
      </c>
      <c r="KQM3" t="s">
        <v>8069</v>
      </c>
      <c r="KQN3" t="s">
        <v>8070</v>
      </c>
      <c r="KQO3" t="s">
        <v>8071</v>
      </c>
      <c r="KQP3" t="s">
        <v>8072</v>
      </c>
      <c r="KQQ3" t="s">
        <v>8073</v>
      </c>
      <c r="KQR3" t="s">
        <v>8074</v>
      </c>
      <c r="KQS3" t="s">
        <v>8075</v>
      </c>
      <c r="KQT3" t="s">
        <v>8076</v>
      </c>
      <c r="KQU3" t="s">
        <v>8077</v>
      </c>
      <c r="KQV3" t="s">
        <v>8078</v>
      </c>
      <c r="KQW3" t="s">
        <v>8079</v>
      </c>
      <c r="KQX3" t="s">
        <v>8080</v>
      </c>
      <c r="KQY3" t="s">
        <v>8081</v>
      </c>
      <c r="KQZ3" t="s">
        <v>8082</v>
      </c>
      <c r="KRA3" t="s">
        <v>8083</v>
      </c>
      <c r="KRB3" t="s">
        <v>8084</v>
      </c>
      <c r="KRC3" t="s">
        <v>8085</v>
      </c>
      <c r="KRD3" t="s">
        <v>8086</v>
      </c>
      <c r="KRE3" t="s">
        <v>8087</v>
      </c>
      <c r="KRF3" t="s">
        <v>8088</v>
      </c>
      <c r="KRG3" t="s">
        <v>8089</v>
      </c>
      <c r="KRH3" t="s">
        <v>8090</v>
      </c>
      <c r="KRI3" t="s">
        <v>8091</v>
      </c>
      <c r="KRJ3" t="s">
        <v>8092</v>
      </c>
      <c r="KRK3" t="s">
        <v>8093</v>
      </c>
      <c r="KRL3" t="s">
        <v>8094</v>
      </c>
      <c r="KRM3" t="s">
        <v>8095</v>
      </c>
      <c r="KRN3" t="s">
        <v>8096</v>
      </c>
      <c r="KRO3" t="s">
        <v>8097</v>
      </c>
      <c r="KRP3" t="s">
        <v>8098</v>
      </c>
      <c r="KRQ3" t="s">
        <v>8099</v>
      </c>
      <c r="KRR3" t="s">
        <v>8100</v>
      </c>
      <c r="KRS3" t="s">
        <v>8101</v>
      </c>
      <c r="KRT3" t="s">
        <v>8102</v>
      </c>
      <c r="KRU3" t="s">
        <v>8103</v>
      </c>
      <c r="KRV3" t="s">
        <v>8104</v>
      </c>
      <c r="KRW3" t="s">
        <v>8105</v>
      </c>
      <c r="KRX3" t="s">
        <v>8106</v>
      </c>
      <c r="KRY3" t="s">
        <v>8107</v>
      </c>
      <c r="KRZ3" t="s">
        <v>8108</v>
      </c>
      <c r="KSA3" t="s">
        <v>8109</v>
      </c>
      <c r="KSB3" t="s">
        <v>8110</v>
      </c>
      <c r="KSC3" t="s">
        <v>8111</v>
      </c>
      <c r="KSD3" t="s">
        <v>8112</v>
      </c>
      <c r="KSE3" t="s">
        <v>8113</v>
      </c>
      <c r="KSF3" t="s">
        <v>8114</v>
      </c>
      <c r="KSG3" t="s">
        <v>8115</v>
      </c>
      <c r="KSH3" t="s">
        <v>8116</v>
      </c>
      <c r="KSI3" t="s">
        <v>8117</v>
      </c>
      <c r="KSJ3" t="s">
        <v>8118</v>
      </c>
      <c r="KSK3" t="s">
        <v>8119</v>
      </c>
      <c r="KSL3" t="s">
        <v>8120</v>
      </c>
      <c r="KSM3" t="s">
        <v>8121</v>
      </c>
      <c r="KSN3" t="s">
        <v>8122</v>
      </c>
      <c r="KSO3" t="s">
        <v>8123</v>
      </c>
      <c r="KSP3" t="s">
        <v>8124</v>
      </c>
      <c r="KSQ3" t="s">
        <v>8125</v>
      </c>
      <c r="KSR3" t="s">
        <v>8126</v>
      </c>
      <c r="KSS3" t="s">
        <v>8127</v>
      </c>
      <c r="KST3" t="s">
        <v>8128</v>
      </c>
      <c r="KSU3" t="s">
        <v>8129</v>
      </c>
      <c r="KSV3" t="s">
        <v>8130</v>
      </c>
      <c r="KSW3" t="s">
        <v>8131</v>
      </c>
      <c r="KSX3" t="s">
        <v>8132</v>
      </c>
      <c r="KSY3" t="s">
        <v>8133</v>
      </c>
      <c r="KSZ3" t="s">
        <v>8134</v>
      </c>
      <c r="KTA3" t="s">
        <v>8135</v>
      </c>
      <c r="KTB3" t="s">
        <v>8136</v>
      </c>
      <c r="KTC3" t="s">
        <v>8137</v>
      </c>
      <c r="KTD3" t="s">
        <v>8138</v>
      </c>
      <c r="KTE3" t="s">
        <v>8139</v>
      </c>
      <c r="KTF3" t="s">
        <v>8140</v>
      </c>
      <c r="KTG3" t="s">
        <v>8141</v>
      </c>
      <c r="KTH3" t="s">
        <v>8142</v>
      </c>
      <c r="KTI3" t="s">
        <v>8143</v>
      </c>
      <c r="KTJ3" t="s">
        <v>8144</v>
      </c>
      <c r="KTK3" t="s">
        <v>8145</v>
      </c>
      <c r="KTL3" t="s">
        <v>8146</v>
      </c>
      <c r="KTM3" t="s">
        <v>8147</v>
      </c>
      <c r="KTN3" t="s">
        <v>8148</v>
      </c>
      <c r="KTO3" t="s">
        <v>8149</v>
      </c>
      <c r="KTP3" t="s">
        <v>8150</v>
      </c>
      <c r="KTQ3" t="s">
        <v>8151</v>
      </c>
      <c r="KTR3" t="s">
        <v>8152</v>
      </c>
      <c r="KTS3" t="s">
        <v>8153</v>
      </c>
      <c r="KTT3" t="s">
        <v>8154</v>
      </c>
      <c r="KTU3" t="s">
        <v>8155</v>
      </c>
      <c r="KTV3" t="s">
        <v>8156</v>
      </c>
      <c r="KTW3" t="s">
        <v>8157</v>
      </c>
      <c r="KTX3" t="s">
        <v>8158</v>
      </c>
      <c r="KTY3" t="s">
        <v>8159</v>
      </c>
      <c r="KTZ3" t="s">
        <v>8160</v>
      </c>
      <c r="KUA3" t="s">
        <v>8161</v>
      </c>
      <c r="KUB3" t="s">
        <v>8162</v>
      </c>
      <c r="KUC3" t="s">
        <v>8163</v>
      </c>
      <c r="KUD3" t="s">
        <v>8164</v>
      </c>
      <c r="KUE3" t="s">
        <v>8165</v>
      </c>
      <c r="KUF3" t="s">
        <v>8166</v>
      </c>
      <c r="KUG3" t="s">
        <v>8167</v>
      </c>
      <c r="KUH3" t="s">
        <v>8168</v>
      </c>
      <c r="KUI3" t="s">
        <v>8169</v>
      </c>
      <c r="KUJ3" t="s">
        <v>8170</v>
      </c>
      <c r="KUK3" t="s">
        <v>8171</v>
      </c>
      <c r="KUL3" t="s">
        <v>8172</v>
      </c>
      <c r="KUM3" t="s">
        <v>8173</v>
      </c>
      <c r="KUN3" t="s">
        <v>8174</v>
      </c>
      <c r="KUO3" t="s">
        <v>8175</v>
      </c>
      <c r="KUP3" t="s">
        <v>8176</v>
      </c>
      <c r="KUQ3" t="s">
        <v>8177</v>
      </c>
      <c r="KUR3" t="s">
        <v>8178</v>
      </c>
      <c r="KUS3" t="s">
        <v>8179</v>
      </c>
      <c r="KUT3" t="s">
        <v>8180</v>
      </c>
      <c r="KUU3" t="s">
        <v>8181</v>
      </c>
      <c r="KUV3" t="s">
        <v>8182</v>
      </c>
      <c r="KUW3" t="s">
        <v>8183</v>
      </c>
      <c r="KUX3" t="s">
        <v>8184</v>
      </c>
      <c r="KUY3" t="s">
        <v>8185</v>
      </c>
      <c r="KUZ3" t="s">
        <v>8186</v>
      </c>
      <c r="KVA3" t="s">
        <v>8187</v>
      </c>
      <c r="KVB3" t="s">
        <v>8188</v>
      </c>
      <c r="KVC3" t="s">
        <v>8189</v>
      </c>
      <c r="KVD3" t="s">
        <v>8190</v>
      </c>
      <c r="KVE3" t="s">
        <v>8191</v>
      </c>
      <c r="KVF3" t="s">
        <v>8192</v>
      </c>
      <c r="KVG3" t="s">
        <v>8193</v>
      </c>
      <c r="KVH3" t="s">
        <v>8194</v>
      </c>
      <c r="KVI3" t="s">
        <v>8195</v>
      </c>
      <c r="KVJ3" t="s">
        <v>8196</v>
      </c>
      <c r="KVK3" t="s">
        <v>8197</v>
      </c>
      <c r="KVL3" t="s">
        <v>8198</v>
      </c>
      <c r="KVM3" t="s">
        <v>8199</v>
      </c>
      <c r="KVN3" t="s">
        <v>8200</v>
      </c>
      <c r="KVO3" t="s">
        <v>8201</v>
      </c>
      <c r="KVP3" t="s">
        <v>8202</v>
      </c>
      <c r="KVQ3" t="s">
        <v>8203</v>
      </c>
      <c r="KVR3" t="s">
        <v>8204</v>
      </c>
      <c r="KVS3" t="s">
        <v>8205</v>
      </c>
      <c r="KVT3" t="s">
        <v>8206</v>
      </c>
      <c r="KVU3" t="s">
        <v>8207</v>
      </c>
      <c r="KVV3" t="s">
        <v>8208</v>
      </c>
      <c r="KVW3" t="s">
        <v>8209</v>
      </c>
      <c r="KVX3" t="s">
        <v>8210</v>
      </c>
      <c r="KVY3" t="s">
        <v>8211</v>
      </c>
      <c r="KVZ3" t="s">
        <v>8212</v>
      </c>
      <c r="KWA3" t="s">
        <v>8213</v>
      </c>
      <c r="KWB3" t="s">
        <v>8214</v>
      </c>
      <c r="KWC3" t="s">
        <v>8215</v>
      </c>
      <c r="KWD3" t="s">
        <v>8216</v>
      </c>
      <c r="KWE3" t="s">
        <v>8217</v>
      </c>
      <c r="KWF3" t="s">
        <v>8218</v>
      </c>
      <c r="KWG3" t="s">
        <v>8219</v>
      </c>
      <c r="KWH3" t="s">
        <v>8220</v>
      </c>
      <c r="KWI3" t="s">
        <v>8221</v>
      </c>
      <c r="KWJ3" t="s">
        <v>8222</v>
      </c>
      <c r="KWK3" t="s">
        <v>8223</v>
      </c>
      <c r="KWL3" t="s">
        <v>8224</v>
      </c>
      <c r="KWM3" t="s">
        <v>8225</v>
      </c>
      <c r="KWN3" t="s">
        <v>8226</v>
      </c>
      <c r="KWO3" t="s">
        <v>8227</v>
      </c>
      <c r="KWP3" t="s">
        <v>8228</v>
      </c>
      <c r="KWQ3" t="s">
        <v>8229</v>
      </c>
      <c r="KWR3" t="s">
        <v>8230</v>
      </c>
      <c r="KWS3" t="s">
        <v>8231</v>
      </c>
      <c r="KWT3" t="s">
        <v>8232</v>
      </c>
      <c r="KWU3" t="s">
        <v>8233</v>
      </c>
      <c r="KWV3" t="s">
        <v>8234</v>
      </c>
      <c r="KWW3" t="s">
        <v>8235</v>
      </c>
      <c r="KWX3" t="s">
        <v>8236</v>
      </c>
      <c r="KWY3" t="s">
        <v>8237</v>
      </c>
      <c r="KWZ3" t="s">
        <v>8238</v>
      </c>
      <c r="KXA3" t="s">
        <v>8239</v>
      </c>
      <c r="KXB3" t="s">
        <v>8240</v>
      </c>
      <c r="KXC3" t="s">
        <v>8241</v>
      </c>
      <c r="KXD3" t="s">
        <v>8242</v>
      </c>
      <c r="KXE3" t="s">
        <v>8243</v>
      </c>
      <c r="KXF3" t="s">
        <v>8244</v>
      </c>
      <c r="KXG3" t="s">
        <v>8245</v>
      </c>
      <c r="KXH3" t="s">
        <v>8246</v>
      </c>
      <c r="KXI3" t="s">
        <v>8247</v>
      </c>
      <c r="KXJ3" t="s">
        <v>8248</v>
      </c>
      <c r="KXK3" t="s">
        <v>8249</v>
      </c>
      <c r="KXL3" t="s">
        <v>8250</v>
      </c>
      <c r="KXM3" t="s">
        <v>8251</v>
      </c>
      <c r="KXN3" t="s">
        <v>8252</v>
      </c>
      <c r="KXO3" t="s">
        <v>8253</v>
      </c>
      <c r="KXP3" t="s">
        <v>8254</v>
      </c>
      <c r="KXQ3" t="s">
        <v>8255</v>
      </c>
      <c r="KXR3" t="s">
        <v>8256</v>
      </c>
      <c r="KXS3" t="s">
        <v>8257</v>
      </c>
      <c r="KXT3" t="s">
        <v>8258</v>
      </c>
      <c r="KXU3" t="s">
        <v>8259</v>
      </c>
      <c r="KXV3" t="s">
        <v>8260</v>
      </c>
      <c r="KXW3" t="s">
        <v>8261</v>
      </c>
      <c r="KXX3" t="s">
        <v>8262</v>
      </c>
      <c r="KXY3" t="s">
        <v>8263</v>
      </c>
      <c r="KXZ3" t="s">
        <v>8264</v>
      </c>
      <c r="KYA3" t="s">
        <v>8265</v>
      </c>
      <c r="KYB3" t="s">
        <v>8266</v>
      </c>
      <c r="KYC3" t="s">
        <v>8267</v>
      </c>
      <c r="KYD3" t="s">
        <v>8268</v>
      </c>
      <c r="KYE3" t="s">
        <v>8269</v>
      </c>
      <c r="KYF3" t="s">
        <v>8270</v>
      </c>
      <c r="KYG3" t="s">
        <v>8271</v>
      </c>
      <c r="KYH3" t="s">
        <v>8272</v>
      </c>
      <c r="KYI3" t="s">
        <v>8273</v>
      </c>
      <c r="KYJ3" t="s">
        <v>8274</v>
      </c>
      <c r="KYK3" t="s">
        <v>8275</v>
      </c>
      <c r="KYL3" t="s">
        <v>8276</v>
      </c>
      <c r="KYM3" t="s">
        <v>8277</v>
      </c>
      <c r="KYN3" t="s">
        <v>8278</v>
      </c>
      <c r="KYO3" t="s">
        <v>8279</v>
      </c>
      <c r="KYP3" t="s">
        <v>8280</v>
      </c>
      <c r="KYQ3" t="s">
        <v>8281</v>
      </c>
      <c r="KYR3" t="s">
        <v>8282</v>
      </c>
      <c r="KYS3" t="s">
        <v>8283</v>
      </c>
      <c r="KYT3" t="s">
        <v>8284</v>
      </c>
      <c r="KYU3" t="s">
        <v>8285</v>
      </c>
      <c r="KYV3" t="s">
        <v>8286</v>
      </c>
      <c r="KYW3" t="s">
        <v>8287</v>
      </c>
      <c r="KYX3" t="s">
        <v>8288</v>
      </c>
      <c r="KYY3" t="s">
        <v>8289</v>
      </c>
      <c r="KYZ3" t="s">
        <v>8290</v>
      </c>
      <c r="KZA3" t="s">
        <v>8291</v>
      </c>
      <c r="KZB3" t="s">
        <v>8292</v>
      </c>
      <c r="KZC3" t="s">
        <v>8293</v>
      </c>
      <c r="KZD3" t="s">
        <v>8294</v>
      </c>
      <c r="KZE3" t="s">
        <v>8295</v>
      </c>
      <c r="KZF3" t="s">
        <v>8296</v>
      </c>
      <c r="KZG3" t="s">
        <v>8297</v>
      </c>
      <c r="KZH3" t="s">
        <v>8298</v>
      </c>
      <c r="KZI3" t="s">
        <v>8299</v>
      </c>
      <c r="KZJ3" t="s">
        <v>8300</v>
      </c>
      <c r="KZK3" t="s">
        <v>8301</v>
      </c>
      <c r="KZL3" t="s">
        <v>8302</v>
      </c>
      <c r="KZM3" t="s">
        <v>8303</v>
      </c>
      <c r="KZN3" t="s">
        <v>8304</v>
      </c>
      <c r="KZO3" t="s">
        <v>8305</v>
      </c>
      <c r="KZP3" t="s">
        <v>8306</v>
      </c>
      <c r="KZQ3" t="s">
        <v>8307</v>
      </c>
      <c r="KZR3" t="s">
        <v>8308</v>
      </c>
      <c r="KZS3" t="s">
        <v>8309</v>
      </c>
      <c r="KZT3" t="s">
        <v>8310</v>
      </c>
      <c r="KZU3" t="s">
        <v>8311</v>
      </c>
      <c r="KZV3" t="s">
        <v>8312</v>
      </c>
      <c r="KZW3" t="s">
        <v>8313</v>
      </c>
      <c r="KZX3" t="s">
        <v>8314</v>
      </c>
      <c r="KZY3" t="s">
        <v>8315</v>
      </c>
      <c r="KZZ3" t="s">
        <v>8316</v>
      </c>
      <c r="LAA3" t="s">
        <v>8317</v>
      </c>
      <c r="LAB3" t="s">
        <v>8318</v>
      </c>
      <c r="LAC3" t="s">
        <v>8319</v>
      </c>
      <c r="LAD3" t="s">
        <v>8320</v>
      </c>
      <c r="LAE3" t="s">
        <v>8321</v>
      </c>
      <c r="LAF3" t="s">
        <v>8322</v>
      </c>
      <c r="LAG3" t="s">
        <v>8323</v>
      </c>
      <c r="LAH3" t="s">
        <v>8324</v>
      </c>
      <c r="LAI3" t="s">
        <v>8325</v>
      </c>
      <c r="LAJ3" t="s">
        <v>8326</v>
      </c>
      <c r="LAK3" t="s">
        <v>8327</v>
      </c>
      <c r="LAL3" t="s">
        <v>8328</v>
      </c>
      <c r="LAM3" t="s">
        <v>8329</v>
      </c>
      <c r="LAN3" t="s">
        <v>8330</v>
      </c>
      <c r="LAO3" t="s">
        <v>8331</v>
      </c>
      <c r="LAP3" t="s">
        <v>8332</v>
      </c>
      <c r="LAQ3" t="s">
        <v>8333</v>
      </c>
      <c r="LAR3" t="s">
        <v>8334</v>
      </c>
      <c r="LAS3" t="s">
        <v>8335</v>
      </c>
      <c r="LAT3" t="s">
        <v>8336</v>
      </c>
      <c r="LAU3" t="s">
        <v>8337</v>
      </c>
      <c r="LAV3" t="s">
        <v>8338</v>
      </c>
      <c r="LAW3" t="s">
        <v>8339</v>
      </c>
      <c r="LAX3" t="s">
        <v>8340</v>
      </c>
      <c r="LAY3" t="s">
        <v>8341</v>
      </c>
      <c r="LAZ3" t="s">
        <v>8342</v>
      </c>
      <c r="LBA3" t="s">
        <v>8343</v>
      </c>
      <c r="LBB3" t="s">
        <v>8344</v>
      </c>
      <c r="LBC3" t="s">
        <v>8345</v>
      </c>
      <c r="LBD3" t="s">
        <v>8346</v>
      </c>
      <c r="LBE3" t="s">
        <v>8347</v>
      </c>
      <c r="LBF3" t="s">
        <v>8348</v>
      </c>
      <c r="LBG3" t="s">
        <v>8349</v>
      </c>
      <c r="LBH3" t="s">
        <v>8350</v>
      </c>
      <c r="LBI3" t="s">
        <v>8351</v>
      </c>
      <c r="LBJ3" t="s">
        <v>8352</v>
      </c>
      <c r="LBK3" t="s">
        <v>8353</v>
      </c>
      <c r="LBL3" t="s">
        <v>8354</v>
      </c>
      <c r="LBM3" t="s">
        <v>8355</v>
      </c>
      <c r="LBN3" t="s">
        <v>8356</v>
      </c>
      <c r="LBO3" t="s">
        <v>8357</v>
      </c>
      <c r="LBP3" t="s">
        <v>8358</v>
      </c>
      <c r="LBQ3" t="s">
        <v>8359</v>
      </c>
      <c r="LBR3" t="s">
        <v>8360</v>
      </c>
      <c r="LBS3" t="s">
        <v>8361</v>
      </c>
      <c r="LBT3" t="s">
        <v>8362</v>
      </c>
      <c r="LBU3" t="s">
        <v>8363</v>
      </c>
      <c r="LBV3" t="s">
        <v>8364</v>
      </c>
      <c r="LBW3" t="s">
        <v>8365</v>
      </c>
      <c r="LBX3" t="s">
        <v>8366</v>
      </c>
      <c r="LBY3" t="s">
        <v>8367</v>
      </c>
      <c r="LBZ3" t="s">
        <v>8368</v>
      </c>
      <c r="LCA3" t="s">
        <v>8369</v>
      </c>
      <c r="LCB3" t="s">
        <v>8370</v>
      </c>
      <c r="LCC3" t="s">
        <v>8371</v>
      </c>
      <c r="LCD3" t="s">
        <v>8372</v>
      </c>
      <c r="LCE3" t="s">
        <v>8373</v>
      </c>
      <c r="LCF3" t="s">
        <v>8374</v>
      </c>
      <c r="LCG3" t="s">
        <v>8375</v>
      </c>
      <c r="LCH3" t="s">
        <v>8376</v>
      </c>
      <c r="LCI3" t="s">
        <v>8377</v>
      </c>
      <c r="LCJ3" t="s">
        <v>8378</v>
      </c>
      <c r="LCK3" t="s">
        <v>8379</v>
      </c>
      <c r="LCL3" t="s">
        <v>8380</v>
      </c>
      <c r="LCM3" t="s">
        <v>8381</v>
      </c>
      <c r="LCN3" t="s">
        <v>8382</v>
      </c>
      <c r="LCO3" t="s">
        <v>8383</v>
      </c>
      <c r="LCP3" t="s">
        <v>8384</v>
      </c>
      <c r="LCQ3" t="s">
        <v>8385</v>
      </c>
      <c r="LCR3" t="s">
        <v>8386</v>
      </c>
      <c r="LCS3" t="s">
        <v>8387</v>
      </c>
      <c r="LCT3" t="s">
        <v>8388</v>
      </c>
      <c r="LCU3" t="s">
        <v>8389</v>
      </c>
      <c r="LCV3" t="s">
        <v>8390</v>
      </c>
      <c r="LCW3" t="s">
        <v>8391</v>
      </c>
      <c r="LCX3" t="s">
        <v>8392</v>
      </c>
      <c r="LCY3" t="s">
        <v>8393</v>
      </c>
      <c r="LCZ3" t="s">
        <v>8394</v>
      </c>
      <c r="LDA3" t="s">
        <v>8395</v>
      </c>
      <c r="LDB3" t="s">
        <v>8396</v>
      </c>
      <c r="LDC3" t="s">
        <v>8397</v>
      </c>
      <c r="LDD3" t="s">
        <v>8398</v>
      </c>
      <c r="LDE3" t="s">
        <v>8399</v>
      </c>
      <c r="LDF3" t="s">
        <v>8400</v>
      </c>
      <c r="LDG3" t="s">
        <v>8401</v>
      </c>
      <c r="LDH3" t="s">
        <v>8402</v>
      </c>
      <c r="LDI3" t="s">
        <v>8403</v>
      </c>
      <c r="LDJ3" t="s">
        <v>8404</v>
      </c>
      <c r="LDK3" t="s">
        <v>8405</v>
      </c>
      <c r="LDL3" t="s">
        <v>8406</v>
      </c>
      <c r="LDM3" t="s">
        <v>8407</v>
      </c>
      <c r="LDN3" t="s">
        <v>8408</v>
      </c>
      <c r="LDO3" t="s">
        <v>8409</v>
      </c>
      <c r="LDP3" t="s">
        <v>8410</v>
      </c>
      <c r="LDQ3" t="s">
        <v>8411</v>
      </c>
      <c r="LDR3" t="s">
        <v>8412</v>
      </c>
      <c r="LDS3" t="s">
        <v>8413</v>
      </c>
      <c r="LDT3" t="s">
        <v>8414</v>
      </c>
      <c r="LDU3" t="s">
        <v>8415</v>
      </c>
      <c r="LDV3" t="s">
        <v>8416</v>
      </c>
      <c r="LDW3" t="s">
        <v>8417</v>
      </c>
      <c r="LDX3" t="s">
        <v>8418</v>
      </c>
      <c r="LDY3" t="s">
        <v>8419</v>
      </c>
      <c r="LDZ3" t="s">
        <v>8420</v>
      </c>
      <c r="LEA3" t="s">
        <v>8421</v>
      </c>
      <c r="LEB3" t="s">
        <v>8422</v>
      </c>
      <c r="LEC3" t="s">
        <v>8423</v>
      </c>
      <c r="LED3" t="s">
        <v>8424</v>
      </c>
      <c r="LEE3" t="s">
        <v>8425</v>
      </c>
      <c r="LEF3" t="s">
        <v>8426</v>
      </c>
      <c r="LEG3" t="s">
        <v>8427</v>
      </c>
      <c r="LEH3" t="s">
        <v>8428</v>
      </c>
      <c r="LEI3" t="s">
        <v>8429</v>
      </c>
      <c r="LEJ3" t="s">
        <v>8430</v>
      </c>
      <c r="LEK3" t="s">
        <v>8431</v>
      </c>
      <c r="LEL3" t="s">
        <v>8432</v>
      </c>
      <c r="LEM3" t="s">
        <v>8433</v>
      </c>
      <c r="LEN3" t="s">
        <v>8434</v>
      </c>
      <c r="LEO3" t="s">
        <v>8435</v>
      </c>
      <c r="LEP3" t="s">
        <v>8436</v>
      </c>
      <c r="LEQ3" t="s">
        <v>8437</v>
      </c>
      <c r="LER3" t="s">
        <v>8438</v>
      </c>
      <c r="LES3" t="s">
        <v>8439</v>
      </c>
      <c r="LET3" t="s">
        <v>8440</v>
      </c>
      <c r="LEU3" t="s">
        <v>8441</v>
      </c>
      <c r="LEV3" t="s">
        <v>8442</v>
      </c>
      <c r="LEW3" t="s">
        <v>8443</v>
      </c>
      <c r="LEX3" t="s">
        <v>8444</v>
      </c>
      <c r="LEY3" t="s">
        <v>8445</v>
      </c>
      <c r="LEZ3" t="s">
        <v>8446</v>
      </c>
      <c r="LFA3" t="s">
        <v>8447</v>
      </c>
      <c r="LFB3" t="s">
        <v>8448</v>
      </c>
      <c r="LFC3" t="s">
        <v>8449</v>
      </c>
      <c r="LFD3" t="s">
        <v>8450</v>
      </c>
      <c r="LFE3" t="s">
        <v>8451</v>
      </c>
      <c r="LFF3" t="s">
        <v>8452</v>
      </c>
      <c r="LFG3" t="s">
        <v>8453</v>
      </c>
      <c r="LFH3" t="s">
        <v>8454</v>
      </c>
      <c r="LFI3" t="s">
        <v>8455</v>
      </c>
      <c r="LFJ3" t="s">
        <v>8456</v>
      </c>
      <c r="LFK3" t="s">
        <v>8457</v>
      </c>
      <c r="LFL3" t="s">
        <v>8458</v>
      </c>
      <c r="LFM3" t="s">
        <v>8459</v>
      </c>
      <c r="LFN3" t="s">
        <v>8460</v>
      </c>
      <c r="LFO3" t="s">
        <v>8461</v>
      </c>
      <c r="LFP3" t="s">
        <v>8462</v>
      </c>
      <c r="LFQ3" t="s">
        <v>8463</v>
      </c>
      <c r="LFR3" t="s">
        <v>8464</v>
      </c>
      <c r="LFS3" t="s">
        <v>8465</v>
      </c>
      <c r="LFT3" t="s">
        <v>8466</v>
      </c>
      <c r="LFU3" t="s">
        <v>8467</v>
      </c>
      <c r="LFV3" t="s">
        <v>8468</v>
      </c>
      <c r="LFW3" t="s">
        <v>8469</v>
      </c>
      <c r="LFX3" t="s">
        <v>8470</v>
      </c>
      <c r="LFY3" t="s">
        <v>8471</v>
      </c>
      <c r="LFZ3" t="s">
        <v>8472</v>
      </c>
      <c r="LGA3" t="s">
        <v>8473</v>
      </c>
      <c r="LGB3" t="s">
        <v>8474</v>
      </c>
      <c r="LGC3" t="s">
        <v>8475</v>
      </c>
      <c r="LGD3" t="s">
        <v>8476</v>
      </c>
      <c r="LGE3" t="s">
        <v>8477</v>
      </c>
      <c r="LGF3" t="s">
        <v>8478</v>
      </c>
      <c r="LGG3" t="s">
        <v>8479</v>
      </c>
      <c r="LGH3" t="s">
        <v>8480</v>
      </c>
      <c r="LGI3" t="s">
        <v>8481</v>
      </c>
      <c r="LGJ3" t="s">
        <v>8482</v>
      </c>
      <c r="LGK3" t="s">
        <v>8483</v>
      </c>
      <c r="LGL3" t="s">
        <v>8484</v>
      </c>
      <c r="LGM3" t="s">
        <v>8485</v>
      </c>
      <c r="LGN3" t="s">
        <v>8486</v>
      </c>
      <c r="LGO3" t="s">
        <v>8487</v>
      </c>
      <c r="LGP3" t="s">
        <v>8488</v>
      </c>
      <c r="LGQ3" t="s">
        <v>8489</v>
      </c>
      <c r="LGR3" t="s">
        <v>8490</v>
      </c>
      <c r="LGS3" t="s">
        <v>8491</v>
      </c>
      <c r="LGT3" t="s">
        <v>8492</v>
      </c>
      <c r="LGU3" t="s">
        <v>8493</v>
      </c>
      <c r="LGV3" t="s">
        <v>8494</v>
      </c>
      <c r="LGW3" t="s">
        <v>8495</v>
      </c>
      <c r="LGX3" t="s">
        <v>8496</v>
      </c>
      <c r="LGY3" t="s">
        <v>8497</v>
      </c>
      <c r="LGZ3" t="s">
        <v>8498</v>
      </c>
      <c r="LHA3" t="s">
        <v>8499</v>
      </c>
      <c r="LHB3" t="s">
        <v>8500</v>
      </c>
      <c r="LHC3" t="s">
        <v>8501</v>
      </c>
      <c r="LHD3" t="s">
        <v>8502</v>
      </c>
      <c r="LHE3" t="s">
        <v>8503</v>
      </c>
      <c r="LHF3" t="s">
        <v>8504</v>
      </c>
      <c r="LHG3" t="s">
        <v>8505</v>
      </c>
      <c r="LHH3" t="s">
        <v>8506</v>
      </c>
      <c r="LHI3" t="s">
        <v>8507</v>
      </c>
      <c r="LHJ3" t="s">
        <v>8508</v>
      </c>
      <c r="LHK3" t="s">
        <v>8509</v>
      </c>
      <c r="LHL3" t="s">
        <v>8510</v>
      </c>
      <c r="LHM3" t="s">
        <v>8511</v>
      </c>
      <c r="LHN3" t="s">
        <v>8512</v>
      </c>
      <c r="LHO3" t="s">
        <v>8513</v>
      </c>
      <c r="LHP3" t="s">
        <v>8514</v>
      </c>
      <c r="LHQ3" t="s">
        <v>8515</v>
      </c>
      <c r="LHR3" t="s">
        <v>8516</v>
      </c>
      <c r="LHS3" t="s">
        <v>8517</v>
      </c>
      <c r="LHT3" t="s">
        <v>8518</v>
      </c>
      <c r="LHU3" t="s">
        <v>8519</v>
      </c>
      <c r="LHV3" t="s">
        <v>8520</v>
      </c>
      <c r="LHW3" t="s">
        <v>8521</v>
      </c>
      <c r="LHX3" t="s">
        <v>8522</v>
      </c>
      <c r="LHY3" t="s">
        <v>8523</v>
      </c>
      <c r="LHZ3" t="s">
        <v>8524</v>
      </c>
      <c r="LIA3" t="s">
        <v>8525</v>
      </c>
      <c r="LIB3" t="s">
        <v>8526</v>
      </c>
      <c r="LIC3" t="s">
        <v>8527</v>
      </c>
      <c r="LID3" t="s">
        <v>8528</v>
      </c>
      <c r="LIE3" t="s">
        <v>8529</v>
      </c>
      <c r="LIF3" t="s">
        <v>8530</v>
      </c>
      <c r="LIG3" t="s">
        <v>8531</v>
      </c>
      <c r="LIH3" t="s">
        <v>8532</v>
      </c>
      <c r="LII3" t="s">
        <v>8533</v>
      </c>
      <c r="LIJ3" t="s">
        <v>8534</v>
      </c>
      <c r="LIK3" t="s">
        <v>8535</v>
      </c>
      <c r="LIL3" t="s">
        <v>8536</v>
      </c>
      <c r="LIM3" t="s">
        <v>8537</v>
      </c>
      <c r="LIN3" t="s">
        <v>8538</v>
      </c>
      <c r="LIO3" t="s">
        <v>8539</v>
      </c>
      <c r="LIP3" t="s">
        <v>8540</v>
      </c>
      <c r="LIQ3" t="s">
        <v>8541</v>
      </c>
      <c r="LIR3" t="s">
        <v>8542</v>
      </c>
      <c r="LIS3" t="s">
        <v>8543</v>
      </c>
      <c r="LIT3" t="s">
        <v>8544</v>
      </c>
      <c r="LIU3" t="s">
        <v>8545</v>
      </c>
      <c r="LIV3" t="s">
        <v>8546</v>
      </c>
      <c r="LIW3" t="s">
        <v>8547</v>
      </c>
      <c r="LIX3" t="s">
        <v>8548</v>
      </c>
      <c r="LIY3" t="s">
        <v>8549</v>
      </c>
      <c r="LIZ3" t="s">
        <v>8550</v>
      </c>
      <c r="LJA3" t="s">
        <v>8551</v>
      </c>
      <c r="LJB3" t="s">
        <v>8552</v>
      </c>
      <c r="LJC3" t="s">
        <v>8553</v>
      </c>
      <c r="LJD3" t="s">
        <v>8554</v>
      </c>
      <c r="LJE3" t="s">
        <v>8555</v>
      </c>
      <c r="LJF3" t="s">
        <v>8556</v>
      </c>
      <c r="LJG3" t="s">
        <v>8557</v>
      </c>
      <c r="LJH3" t="s">
        <v>8558</v>
      </c>
      <c r="LJI3" t="s">
        <v>8559</v>
      </c>
      <c r="LJJ3" t="s">
        <v>8560</v>
      </c>
      <c r="LJK3" t="s">
        <v>8561</v>
      </c>
      <c r="LJL3" t="s">
        <v>8562</v>
      </c>
      <c r="LJM3" t="s">
        <v>8563</v>
      </c>
      <c r="LJN3" t="s">
        <v>8564</v>
      </c>
      <c r="LJO3" t="s">
        <v>8565</v>
      </c>
      <c r="LJP3" t="s">
        <v>8566</v>
      </c>
      <c r="LJQ3" t="s">
        <v>8567</v>
      </c>
      <c r="LJR3" t="s">
        <v>8568</v>
      </c>
      <c r="LJS3" t="s">
        <v>8569</v>
      </c>
      <c r="LJT3" t="s">
        <v>8570</v>
      </c>
      <c r="LJU3" t="s">
        <v>8571</v>
      </c>
      <c r="LJV3" t="s">
        <v>8572</v>
      </c>
      <c r="LJW3" t="s">
        <v>8573</v>
      </c>
      <c r="LJX3" t="s">
        <v>8574</v>
      </c>
      <c r="LJY3" t="s">
        <v>8575</v>
      </c>
      <c r="LJZ3" t="s">
        <v>8576</v>
      </c>
      <c r="LKA3" t="s">
        <v>8577</v>
      </c>
      <c r="LKB3" t="s">
        <v>8578</v>
      </c>
      <c r="LKC3" t="s">
        <v>8579</v>
      </c>
      <c r="LKD3" t="s">
        <v>8580</v>
      </c>
      <c r="LKE3" t="s">
        <v>8581</v>
      </c>
      <c r="LKF3" t="s">
        <v>8582</v>
      </c>
      <c r="LKG3" t="s">
        <v>8583</v>
      </c>
      <c r="LKH3" t="s">
        <v>8584</v>
      </c>
      <c r="LKI3" t="s">
        <v>8585</v>
      </c>
      <c r="LKJ3" t="s">
        <v>8586</v>
      </c>
      <c r="LKK3" t="s">
        <v>8587</v>
      </c>
      <c r="LKL3" t="s">
        <v>8588</v>
      </c>
      <c r="LKM3" t="s">
        <v>8589</v>
      </c>
      <c r="LKN3" t="s">
        <v>8590</v>
      </c>
      <c r="LKO3" t="s">
        <v>8591</v>
      </c>
      <c r="LKP3" t="s">
        <v>8592</v>
      </c>
      <c r="LKQ3" t="s">
        <v>8593</v>
      </c>
      <c r="LKR3" t="s">
        <v>8594</v>
      </c>
      <c r="LKS3" t="s">
        <v>8595</v>
      </c>
      <c r="LKT3" t="s">
        <v>8596</v>
      </c>
      <c r="LKU3" t="s">
        <v>8597</v>
      </c>
      <c r="LKV3" t="s">
        <v>8598</v>
      </c>
      <c r="LKW3" t="s">
        <v>8599</v>
      </c>
      <c r="LKX3" t="s">
        <v>8600</v>
      </c>
      <c r="LKY3" t="s">
        <v>8601</v>
      </c>
      <c r="LKZ3" t="s">
        <v>8602</v>
      </c>
      <c r="LLA3" t="s">
        <v>8603</v>
      </c>
      <c r="LLB3" t="s">
        <v>8604</v>
      </c>
      <c r="LLC3" t="s">
        <v>8605</v>
      </c>
      <c r="LLD3" t="s">
        <v>8606</v>
      </c>
      <c r="LLE3" t="s">
        <v>8607</v>
      </c>
      <c r="LLF3" t="s">
        <v>8608</v>
      </c>
      <c r="LLG3" t="s">
        <v>8609</v>
      </c>
      <c r="LLH3" t="s">
        <v>8610</v>
      </c>
      <c r="LLI3" t="s">
        <v>8611</v>
      </c>
      <c r="LLJ3" t="s">
        <v>8612</v>
      </c>
      <c r="LLK3" t="s">
        <v>8613</v>
      </c>
      <c r="LLL3" t="s">
        <v>8614</v>
      </c>
      <c r="LLM3" t="s">
        <v>8615</v>
      </c>
      <c r="LLN3" t="s">
        <v>8616</v>
      </c>
      <c r="LLO3" t="s">
        <v>8617</v>
      </c>
      <c r="LLP3" t="s">
        <v>8618</v>
      </c>
      <c r="LLQ3" t="s">
        <v>8619</v>
      </c>
      <c r="LLR3" t="s">
        <v>8620</v>
      </c>
      <c r="LLS3" t="s">
        <v>8621</v>
      </c>
      <c r="LLT3" t="s">
        <v>8622</v>
      </c>
      <c r="LLU3" t="s">
        <v>8623</v>
      </c>
      <c r="LLV3" t="s">
        <v>8624</v>
      </c>
      <c r="LLW3" t="s">
        <v>8625</v>
      </c>
      <c r="LLX3" t="s">
        <v>8626</v>
      </c>
      <c r="LLY3" t="s">
        <v>8627</v>
      </c>
      <c r="LLZ3" t="s">
        <v>8628</v>
      </c>
      <c r="LMA3" t="s">
        <v>8629</v>
      </c>
      <c r="LMB3" t="s">
        <v>8630</v>
      </c>
      <c r="LMC3" t="s">
        <v>8631</v>
      </c>
      <c r="LMD3" t="s">
        <v>8632</v>
      </c>
      <c r="LME3" t="s">
        <v>8633</v>
      </c>
      <c r="LMF3" t="s">
        <v>8634</v>
      </c>
      <c r="LMG3" t="s">
        <v>8635</v>
      </c>
      <c r="LMH3" t="s">
        <v>8636</v>
      </c>
      <c r="LMI3" t="s">
        <v>8637</v>
      </c>
      <c r="LMJ3" t="s">
        <v>8638</v>
      </c>
      <c r="LMK3" t="s">
        <v>8639</v>
      </c>
      <c r="LML3" t="s">
        <v>8640</v>
      </c>
      <c r="LMM3" t="s">
        <v>8641</v>
      </c>
      <c r="LMN3" t="s">
        <v>8642</v>
      </c>
      <c r="LMO3" t="s">
        <v>8643</v>
      </c>
      <c r="LMP3" t="s">
        <v>8644</v>
      </c>
      <c r="LMQ3" t="s">
        <v>8645</v>
      </c>
      <c r="LMR3" t="s">
        <v>8646</v>
      </c>
      <c r="LMS3" t="s">
        <v>8647</v>
      </c>
      <c r="LMT3" t="s">
        <v>8648</v>
      </c>
      <c r="LMU3" t="s">
        <v>8649</v>
      </c>
      <c r="LMV3" t="s">
        <v>8650</v>
      </c>
      <c r="LMW3" t="s">
        <v>8651</v>
      </c>
      <c r="LMX3" t="s">
        <v>8652</v>
      </c>
      <c r="LMY3" t="s">
        <v>8653</v>
      </c>
      <c r="LMZ3" t="s">
        <v>8654</v>
      </c>
      <c r="LNA3" t="s">
        <v>8655</v>
      </c>
      <c r="LNB3" t="s">
        <v>8656</v>
      </c>
      <c r="LNC3" t="s">
        <v>8657</v>
      </c>
      <c r="LND3" t="s">
        <v>8658</v>
      </c>
      <c r="LNE3" t="s">
        <v>8659</v>
      </c>
      <c r="LNF3" t="s">
        <v>8660</v>
      </c>
      <c r="LNG3" t="s">
        <v>8661</v>
      </c>
      <c r="LNH3" t="s">
        <v>8662</v>
      </c>
      <c r="LNI3" t="s">
        <v>8663</v>
      </c>
      <c r="LNJ3" t="s">
        <v>8664</v>
      </c>
      <c r="LNK3" t="s">
        <v>8665</v>
      </c>
      <c r="LNL3" t="s">
        <v>8666</v>
      </c>
      <c r="LNM3" t="s">
        <v>8667</v>
      </c>
      <c r="LNN3" t="s">
        <v>8668</v>
      </c>
      <c r="LNO3" t="s">
        <v>8669</v>
      </c>
      <c r="LNP3" t="s">
        <v>8670</v>
      </c>
      <c r="LNQ3" t="s">
        <v>8671</v>
      </c>
      <c r="LNR3" t="s">
        <v>8672</v>
      </c>
      <c r="LNS3" t="s">
        <v>8673</v>
      </c>
      <c r="LNT3" t="s">
        <v>8674</v>
      </c>
      <c r="LNU3" t="s">
        <v>8675</v>
      </c>
      <c r="LNV3" t="s">
        <v>8676</v>
      </c>
      <c r="LNW3" t="s">
        <v>8677</v>
      </c>
      <c r="LNX3" t="s">
        <v>8678</v>
      </c>
      <c r="LNY3" t="s">
        <v>8679</v>
      </c>
      <c r="LNZ3" t="s">
        <v>8680</v>
      </c>
      <c r="LOA3" t="s">
        <v>8681</v>
      </c>
      <c r="LOB3" t="s">
        <v>8682</v>
      </c>
      <c r="LOC3" t="s">
        <v>8683</v>
      </c>
      <c r="LOD3" t="s">
        <v>8684</v>
      </c>
      <c r="LOE3" t="s">
        <v>8685</v>
      </c>
      <c r="LOF3" t="s">
        <v>8686</v>
      </c>
      <c r="LOG3" t="s">
        <v>8687</v>
      </c>
      <c r="LOH3" t="s">
        <v>8688</v>
      </c>
      <c r="LOI3" t="s">
        <v>8689</v>
      </c>
      <c r="LOJ3" t="s">
        <v>8690</v>
      </c>
      <c r="LOK3" t="s">
        <v>8691</v>
      </c>
      <c r="LOL3" t="s">
        <v>8692</v>
      </c>
      <c r="LOM3" t="s">
        <v>8693</v>
      </c>
      <c r="LON3" t="s">
        <v>8694</v>
      </c>
      <c r="LOO3" t="s">
        <v>8695</v>
      </c>
      <c r="LOP3" t="s">
        <v>8696</v>
      </c>
      <c r="LOQ3" t="s">
        <v>8697</v>
      </c>
      <c r="LOR3" t="s">
        <v>8698</v>
      </c>
      <c r="LOS3" t="s">
        <v>8699</v>
      </c>
      <c r="LOT3" t="s">
        <v>8700</v>
      </c>
      <c r="LOU3" t="s">
        <v>8701</v>
      </c>
      <c r="LOV3" t="s">
        <v>8702</v>
      </c>
      <c r="LOW3" t="s">
        <v>8703</v>
      </c>
      <c r="LOX3" t="s">
        <v>8704</v>
      </c>
      <c r="LOY3" t="s">
        <v>8705</v>
      </c>
      <c r="LOZ3" t="s">
        <v>8706</v>
      </c>
      <c r="LPA3" t="s">
        <v>8707</v>
      </c>
      <c r="LPB3" t="s">
        <v>8708</v>
      </c>
      <c r="LPC3" t="s">
        <v>8709</v>
      </c>
      <c r="LPD3" t="s">
        <v>8710</v>
      </c>
      <c r="LPE3" t="s">
        <v>8711</v>
      </c>
      <c r="LPF3" t="s">
        <v>8712</v>
      </c>
      <c r="LPG3" t="s">
        <v>8713</v>
      </c>
      <c r="LPH3" t="s">
        <v>8714</v>
      </c>
      <c r="LPI3" t="s">
        <v>8715</v>
      </c>
      <c r="LPJ3" t="s">
        <v>8716</v>
      </c>
      <c r="LPK3" t="s">
        <v>8717</v>
      </c>
      <c r="LPL3" t="s">
        <v>8718</v>
      </c>
      <c r="LPM3" t="s">
        <v>8719</v>
      </c>
      <c r="LPN3" t="s">
        <v>8720</v>
      </c>
      <c r="LPO3" t="s">
        <v>8721</v>
      </c>
      <c r="LPP3" t="s">
        <v>8722</v>
      </c>
      <c r="LPQ3" t="s">
        <v>8723</v>
      </c>
      <c r="LPR3" t="s">
        <v>8724</v>
      </c>
      <c r="LPS3" t="s">
        <v>8725</v>
      </c>
      <c r="LPT3" t="s">
        <v>8726</v>
      </c>
      <c r="LPU3" t="s">
        <v>8727</v>
      </c>
      <c r="LPV3" t="s">
        <v>8728</v>
      </c>
      <c r="LPW3" t="s">
        <v>8729</v>
      </c>
      <c r="LPX3" t="s">
        <v>8730</v>
      </c>
      <c r="LPY3" t="s">
        <v>8731</v>
      </c>
      <c r="LPZ3" t="s">
        <v>8732</v>
      </c>
      <c r="LQA3" t="s">
        <v>8733</v>
      </c>
      <c r="LQB3" t="s">
        <v>8734</v>
      </c>
      <c r="LQC3" t="s">
        <v>8735</v>
      </c>
      <c r="LQD3" t="s">
        <v>8736</v>
      </c>
      <c r="LQE3" t="s">
        <v>8737</v>
      </c>
      <c r="LQF3" t="s">
        <v>8738</v>
      </c>
      <c r="LQG3" t="s">
        <v>8739</v>
      </c>
      <c r="LQH3" t="s">
        <v>8740</v>
      </c>
      <c r="LQI3" t="s">
        <v>8741</v>
      </c>
      <c r="LQJ3" t="s">
        <v>8742</v>
      </c>
      <c r="LQK3" t="s">
        <v>8743</v>
      </c>
      <c r="LQL3" t="s">
        <v>8744</v>
      </c>
      <c r="LQM3" t="s">
        <v>8745</v>
      </c>
      <c r="LQN3" t="s">
        <v>8746</v>
      </c>
      <c r="LQO3" t="s">
        <v>8747</v>
      </c>
      <c r="LQP3" t="s">
        <v>8748</v>
      </c>
      <c r="LQQ3" t="s">
        <v>8749</v>
      </c>
      <c r="LQR3" t="s">
        <v>8750</v>
      </c>
      <c r="LQS3" t="s">
        <v>8751</v>
      </c>
      <c r="LQT3" t="s">
        <v>8752</v>
      </c>
      <c r="LQU3" t="s">
        <v>8753</v>
      </c>
      <c r="LQV3" t="s">
        <v>8754</v>
      </c>
      <c r="LQW3" t="s">
        <v>8755</v>
      </c>
      <c r="LQX3" t="s">
        <v>8756</v>
      </c>
      <c r="LQY3" t="s">
        <v>8757</v>
      </c>
      <c r="LQZ3" t="s">
        <v>8758</v>
      </c>
      <c r="LRA3" t="s">
        <v>8759</v>
      </c>
      <c r="LRB3" t="s">
        <v>8760</v>
      </c>
      <c r="LRC3" t="s">
        <v>8761</v>
      </c>
      <c r="LRD3" t="s">
        <v>8762</v>
      </c>
      <c r="LRE3" t="s">
        <v>8763</v>
      </c>
      <c r="LRF3" t="s">
        <v>8764</v>
      </c>
      <c r="LRG3" t="s">
        <v>8765</v>
      </c>
      <c r="LRH3" t="s">
        <v>8766</v>
      </c>
      <c r="LRI3" t="s">
        <v>8767</v>
      </c>
      <c r="LRJ3" t="s">
        <v>8768</v>
      </c>
      <c r="LRK3" t="s">
        <v>8769</v>
      </c>
      <c r="LRL3" t="s">
        <v>8770</v>
      </c>
      <c r="LRM3" t="s">
        <v>8771</v>
      </c>
      <c r="LRN3" t="s">
        <v>8772</v>
      </c>
      <c r="LRO3" t="s">
        <v>8773</v>
      </c>
      <c r="LRP3" t="s">
        <v>8774</v>
      </c>
      <c r="LRQ3" t="s">
        <v>8775</v>
      </c>
      <c r="LRR3" t="s">
        <v>8776</v>
      </c>
      <c r="LRS3" t="s">
        <v>8777</v>
      </c>
      <c r="LRT3" t="s">
        <v>8778</v>
      </c>
      <c r="LRU3" t="s">
        <v>8779</v>
      </c>
      <c r="LRV3" t="s">
        <v>8780</v>
      </c>
      <c r="LRW3" t="s">
        <v>8781</v>
      </c>
      <c r="LRX3" t="s">
        <v>8782</v>
      </c>
      <c r="LRY3" t="s">
        <v>8783</v>
      </c>
      <c r="LRZ3" t="s">
        <v>8784</v>
      </c>
      <c r="LSA3" t="s">
        <v>8785</v>
      </c>
      <c r="LSB3" t="s">
        <v>8786</v>
      </c>
      <c r="LSC3" t="s">
        <v>8787</v>
      </c>
      <c r="LSD3" t="s">
        <v>8788</v>
      </c>
      <c r="LSE3" t="s">
        <v>8789</v>
      </c>
      <c r="LSF3" t="s">
        <v>8790</v>
      </c>
      <c r="LSG3" t="s">
        <v>8791</v>
      </c>
      <c r="LSH3" t="s">
        <v>8792</v>
      </c>
      <c r="LSI3" t="s">
        <v>8793</v>
      </c>
      <c r="LSJ3" t="s">
        <v>8794</v>
      </c>
      <c r="LSK3" t="s">
        <v>8795</v>
      </c>
      <c r="LSL3" t="s">
        <v>8796</v>
      </c>
      <c r="LSM3" t="s">
        <v>8797</v>
      </c>
      <c r="LSN3" t="s">
        <v>8798</v>
      </c>
      <c r="LSO3" t="s">
        <v>8799</v>
      </c>
      <c r="LSP3" t="s">
        <v>8800</v>
      </c>
      <c r="LSQ3" t="s">
        <v>8801</v>
      </c>
      <c r="LSR3" t="s">
        <v>8802</v>
      </c>
      <c r="LSS3" t="s">
        <v>8803</v>
      </c>
      <c r="LST3" t="s">
        <v>8804</v>
      </c>
      <c r="LSU3" t="s">
        <v>8805</v>
      </c>
      <c r="LSV3" t="s">
        <v>8806</v>
      </c>
      <c r="LSW3" t="s">
        <v>8807</v>
      </c>
      <c r="LSX3" t="s">
        <v>8808</v>
      </c>
      <c r="LSY3" t="s">
        <v>8809</v>
      </c>
      <c r="LSZ3" t="s">
        <v>8810</v>
      </c>
      <c r="LTA3" t="s">
        <v>8811</v>
      </c>
      <c r="LTB3" t="s">
        <v>8812</v>
      </c>
      <c r="LTC3" t="s">
        <v>8813</v>
      </c>
      <c r="LTD3" t="s">
        <v>8814</v>
      </c>
      <c r="LTE3" t="s">
        <v>8815</v>
      </c>
      <c r="LTF3" t="s">
        <v>8816</v>
      </c>
      <c r="LTG3" t="s">
        <v>8817</v>
      </c>
      <c r="LTH3" t="s">
        <v>8818</v>
      </c>
      <c r="LTI3" t="s">
        <v>8819</v>
      </c>
      <c r="LTJ3" t="s">
        <v>8820</v>
      </c>
      <c r="LTK3" t="s">
        <v>8821</v>
      </c>
      <c r="LTL3" t="s">
        <v>8822</v>
      </c>
      <c r="LTM3" t="s">
        <v>8823</v>
      </c>
      <c r="LTN3" t="s">
        <v>8824</v>
      </c>
      <c r="LTO3" t="s">
        <v>8825</v>
      </c>
      <c r="LTP3" t="s">
        <v>8826</v>
      </c>
      <c r="LTQ3" t="s">
        <v>8827</v>
      </c>
      <c r="LTR3" t="s">
        <v>8828</v>
      </c>
      <c r="LTS3" t="s">
        <v>8829</v>
      </c>
      <c r="LTT3" t="s">
        <v>8830</v>
      </c>
      <c r="LTU3" t="s">
        <v>8831</v>
      </c>
      <c r="LTV3" t="s">
        <v>8832</v>
      </c>
      <c r="LTW3" t="s">
        <v>8833</v>
      </c>
      <c r="LTX3" t="s">
        <v>8834</v>
      </c>
      <c r="LTY3" t="s">
        <v>8835</v>
      </c>
      <c r="LTZ3" t="s">
        <v>8836</v>
      </c>
      <c r="LUA3" t="s">
        <v>8837</v>
      </c>
      <c r="LUB3" t="s">
        <v>8838</v>
      </c>
      <c r="LUC3" t="s">
        <v>8839</v>
      </c>
      <c r="LUD3" t="s">
        <v>8840</v>
      </c>
      <c r="LUE3" t="s">
        <v>8841</v>
      </c>
      <c r="LUF3" t="s">
        <v>8842</v>
      </c>
      <c r="LUG3" t="s">
        <v>8843</v>
      </c>
      <c r="LUH3" t="s">
        <v>8844</v>
      </c>
      <c r="LUI3" t="s">
        <v>8845</v>
      </c>
      <c r="LUJ3" t="s">
        <v>8846</v>
      </c>
      <c r="LUK3" t="s">
        <v>8847</v>
      </c>
      <c r="LUL3" t="s">
        <v>8848</v>
      </c>
      <c r="LUM3" t="s">
        <v>8849</v>
      </c>
      <c r="LUN3" t="s">
        <v>8850</v>
      </c>
      <c r="LUO3" t="s">
        <v>8851</v>
      </c>
      <c r="LUP3" t="s">
        <v>8852</v>
      </c>
      <c r="LUQ3" t="s">
        <v>8853</v>
      </c>
      <c r="LUR3" t="s">
        <v>8854</v>
      </c>
      <c r="LUS3" t="s">
        <v>8855</v>
      </c>
      <c r="LUT3" t="s">
        <v>8856</v>
      </c>
      <c r="LUU3" t="s">
        <v>8857</v>
      </c>
      <c r="LUV3" t="s">
        <v>8858</v>
      </c>
      <c r="LUW3" t="s">
        <v>8859</v>
      </c>
      <c r="LUX3" t="s">
        <v>8860</v>
      </c>
      <c r="LUY3" t="s">
        <v>8861</v>
      </c>
      <c r="LUZ3" t="s">
        <v>8862</v>
      </c>
      <c r="LVA3" t="s">
        <v>8863</v>
      </c>
      <c r="LVB3" t="s">
        <v>8864</v>
      </c>
      <c r="LVC3" t="s">
        <v>8865</v>
      </c>
      <c r="LVD3" t="s">
        <v>8866</v>
      </c>
      <c r="LVE3" t="s">
        <v>8867</v>
      </c>
      <c r="LVF3" t="s">
        <v>8868</v>
      </c>
      <c r="LVG3" t="s">
        <v>8869</v>
      </c>
      <c r="LVH3" t="s">
        <v>8870</v>
      </c>
      <c r="LVI3" t="s">
        <v>8871</v>
      </c>
      <c r="LVJ3" t="s">
        <v>8872</v>
      </c>
      <c r="LVK3" t="s">
        <v>8873</v>
      </c>
      <c r="LVL3" t="s">
        <v>8874</v>
      </c>
      <c r="LVM3" t="s">
        <v>8875</v>
      </c>
      <c r="LVN3" t="s">
        <v>8876</v>
      </c>
      <c r="LVO3" t="s">
        <v>8877</v>
      </c>
      <c r="LVP3" t="s">
        <v>8878</v>
      </c>
      <c r="LVQ3" t="s">
        <v>8879</v>
      </c>
      <c r="LVR3" t="s">
        <v>8880</v>
      </c>
      <c r="LVS3" t="s">
        <v>8881</v>
      </c>
      <c r="LVT3" t="s">
        <v>8882</v>
      </c>
      <c r="LVU3" t="s">
        <v>8883</v>
      </c>
      <c r="LVV3" t="s">
        <v>8884</v>
      </c>
      <c r="LVW3" t="s">
        <v>8885</v>
      </c>
      <c r="LVX3" t="s">
        <v>8886</v>
      </c>
      <c r="LVY3" t="s">
        <v>8887</v>
      </c>
      <c r="LVZ3" t="s">
        <v>8888</v>
      </c>
      <c r="LWA3" t="s">
        <v>8889</v>
      </c>
      <c r="LWB3" t="s">
        <v>8890</v>
      </c>
      <c r="LWC3" t="s">
        <v>8891</v>
      </c>
      <c r="LWD3" t="s">
        <v>8892</v>
      </c>
      <c r="LWE3" t="s">
        <v>8893</v>
      </c>
      <c r="LWF3" t="s">
        <v>8894</v>
      </c>
      <c r="LWG3" t="s">
        <v>8895</v>
      </c>
      <c r="LWH3" t="s">
        <v>8896</v>
      </c>
      <c r="LWI3" t="s">
        <v>8897</v>
      </c>
      <c r="LWJ3" t="s">
        <v>8898</v>
      </c>
      <c r="LWK3" t="s">
        <v>8899</v>
      </c>
      <c r="LWL3" t="s">
        <v>8900</v>
      </c>
      <c r="LWM3" t="s">
        <v>8901</v>
      </c>
      <c r="LWN3" t="s">
        <v>8902</v>
      </c>
      <c r="LWO3" t="s">
        <v>8903</v>
      </c>
      <c r="LWP3" t="s">
        <v>8904</v>
      </c>
      <c r="LWQ3" t="s">
        <v>8905</v>
      </c>
      <c r="LWR3" t="s">
        <v>8906</v>
      </c>
      <c r="LWS3" t="s">
        <v>8907</v>
      </c>
      <c r="LWT3" t="s">
        <v>8908</v>
      </c>
      <c r="LWU3" t="s">
        <v>8909</v>
      </c>
      <c r="LWV3" t="s">
        <v>8910</v>
      </c>
      <c r="LWW3" t="s">
        <v>8911</v>
      </c>
      <c r="LWX3" t="s">
        <v>8912</v>
      </c>
      <c r="LWY3" t="s">
        <v>8913</v>
      </c>
      <c r="LWZ3" t="s">
        <v>8914</v>
      </c>
      <c r="LXA3" t="s">
        <v>8915</v>
      </c>
      <c r="LXB3" t="s">
        <v>8916</v>
      </c>
      <c r="LXC3" t="s">
        <v>8917</v>
      </c>
      <c r="LXD3" t="s">
        <v>8918</v>
      </c>
      <c r="LXE3" t="s">
        <v>8919</v>
      </c>
      <c r="LXF3" t="s">
        <v>8920</v>
      </c>
      <c r="LXG3" t="s">
        <v>8921</v>
      </c>
      <c r="LXH3" t="s">
        <v>8922</v>
      </c>
      <c r="LXI3" t="s">
        <v>8923</v>
      </c>
      <c r="LXJ3" t="s">
        <v>8924</v>
      </c>
      <c r="LXK3" t="s">
        <v>8925</v>
      </c>
      <c r="LXL3" t="s">
        <v>8926</v>
      </c>
      <c r="LXM3" t="s">
        <v>8927</v>
      </c>
      <c r="LXN3" t="s">
        <v>8928</v>
      </c>
      <c r="LXO3" t="s">
        <v>8929</v>
      </c>
      <c r="LXP3" t="s">
        <v>8930</v>
      </c>
      <c r="LXQ3" t="s">
        <v>8931</v>
      </c>
      <c r="LXR3" t="s">
        <v>8932</v>
      </c>
      <c r="LXS3" t="s">
        <v>8933</v>
      </c>
      <c r="LXT3" t="s">
        <v>8934</v>
      </c>
      <c r="LXU3" t="s">
        <v>8935</v>
      </c>
      <c r="LXV3" t="s">
        <v>8936</v>
      </c>
      <c r="LXW3" t="s">
        <v>8937</v>
      </c>
      <c r="LXX3" t="s">
        <v>8938</v>
      </c>
      <c r="LXY3" t="s">
        <v>8939</v>
      </c>
      <c r="LXZ3" t="s">
        <v>8940</v>
      </c>
      <c r="LYA3" t="s">
        <v>8941</v>
      </c>
      <c r="LYB3" t="s">
        <v>8942</v>
      </c>
      <c r="LYC3" t="s">
        <v>8943</v>
      </c>
      <c r="LYD3" t="s">
        <v>8944</v>
      </c>
      <c r="LYE3" t="s">
        <v>8945</v>
      </c>
      <c r="LYF3" t="s">
        <v>8946</v>
      </c>
      <c r="LYG3" t="s">
        <v>8947</v>
      </c>
      <c r="LYH3" t="s">
        <v>8948</v>
      </c>
      <c r="LYI3" t="s">
        <v>8949</v>
      </c>
      <c r="LYJ3" t="s">
        <v>8950</v>
      </c>
      <c r="LYK3" t="s">
        <v>8951</v>
      </c>
      <c r="LYL3" t="s">
        <v>8952</v>
      </c>
      <c r="LYM3" t="s">
        <v>8953</v>
      </c>
      <c r="LYN3" t="s">
        <v>8954</v>
      </c>
      <c r="LYO3" t="s">
        <v>8955</v>
      </c>
      <c r="LYP3" t="s">
        <v>8956</v>
      </c>
      <c r="LYQ3" t="s">
        <v>8957</v>
      </c>
      <c r="LYR3" t="s">
        <v>8958</v>
      </c>
      <c r="LYS3" t="s">
        <v>8959</v>
      </c>
      <c r="LYT3" t="s">
        <v>8960</v>
      </c>
      <c r="LYU3" t="s">
        <v>8961</v>
      </c>
      <c r="LYV3" t="s">
        <v>8962</v>
      </c>
      <c r="LYW3" t="s">
        <v>8963</v>
      </c>
      <c r="LYX3" t="s">
        <v>8964</v>
      </c>
      <c r="LYY3" t="s">
        <v>8965</v>
      </c>
      <c r="LYZ3" t="s">
        <v>8966</v>
      </c>
      <c r="LZA3" t="s">
        <v>8967</v>
      </c>
      <c r="LZB3" t="s">
        <v>8968</v>
      </c>
      <c r="LZC3" t="s">
        <v>8969</v>
      </c>
      <c r="LZD3" t="s">
        <v>8970</v>
      </c>
      <c r="LZE3" t="s">
        <v>8971</v>
      </c>
      <c r="LZF3" t="s">
        <v>8972</v>
      </c>
      <c r="LZG3" t="s">
        <v>8973</v>
      </c>
      <c r="LZH3" t="s">
        <v>8974</v>
      </c>
      <c r="LZI3" t="s">
        <v>8975</v>
      </c>
      <c r="LZJ3" t="s">
        <v>8976</v>
      </c>
      <c r="LZK3" t="s">
        <v>8977</v>
      </c>
      <c r="LZL3" t="s">
        <v>8978</v>
      </c>
      <c r="LZM3" t="s">
        <v>8979</v>
      </c>
      <c r="LZN3" t="s">
        <v>8980</v>
      </c>
      <c r="LZO3" t="s">
        <v>8981</v>
      </c>
      <c r="LZP3" t="s">
        <v>8982</v>
      </c>
      <c r="LZQ3" t="s">
        <v>8983</v>
      </c>
      <c r="LZR3" t="s">
        <v>8984</v>
      </c>
      <c r="LZS3" t="s">
        <v>8985</v>
      </c>
      <c r="LZT3" t="s">
        <v>8986</v>
      </c>
      <c r="LZU3" t="s">
        <v>8987</v>
      </c>
      <c r="LZV3" t="s">
        <v>8988</v>
      </c>
      <c r="LZW3" t="s">
        <v>8989</v>
      </c>
      <c r="LZX3" t="s">
        <v>8990</v>
      </c>
      <c r="LZY3" t="s">
        <v>8991</v>
      </c>
      <c r="LZZ3" t="s">
        <v>8992</v>
      </c>
      <c r="MAA3" t="s">
        <v>8993</v>
      </c>
      <c r="MAB3" t="s">
        <v>8994</v>
      </c>
      <c r="MAC3" t="s">
        <v>8995</v>
      </c>
      <c r="MAD3" t="s">
        <v>8996</v>
      </c>
      <c r="MAE3" t="s">
        <v>8997</v>
      </c>
      <c r="MAF3" t="s">
        <v>8998</v>
      </c>
      <c r="MAG3" t="s">
        <v>8999</v>
      </c>
      <c r="MAH3" t="s">
        <v>9000</v>
      </c>
      <c r="MAI3" t="s">
        <v>9001</v>
      </c>
      <c r="MAJ3" t="s">
        <v>9002</v>
      </c>
      <c r="MAK3" t="s">
        <v>9003</v>
      </c>
      <c r="MAL3" t="s">
        <v>9004</v>
      </c>
      <c r="MAM3" t="s">
        <v>9005</v>
      </c>
      <c r="MAN3" t="s">
        <v>9006</v>
      </c>
      <c r="MAO3" t="s">
        <v>9007</v>
      </c>
      <c r="MAP3" t="s">
        <v>9008</v>
      </c>
      <c r="MAQ3" t="s">
        <v>9009</v>
      </c>
      <c r="MAR3" t="s">
        <v>9010</v>
      </c>
      <c r="MAS3" t="s">
        <v>9011</v>
      </c>
      <c r="MAT3" t="s">
        <v>9012</v>
      </c>
      <c r="MAU3" t="s">
        <v>9013</v>
      </c>
      <c r="MAV3" t="s">
        <v>9014</v>
      </c>
      <c r="MAW3" t="s">
        <v>9015</v>
      </c>
      <c r="MAX3" t="s">
        <v>9016</v>
      </c>
      <c r="MAY3" t="s">
        <v>9017</v>
      </c>
      <c r="MAZ3" t="s">
        <v>9018</v>
      </c>
      <c r="MBA3" t="s">
        <v>9019</v>
      </c>
      <c r="MBB3" t="s">
        <v>9020</v>
      </c>
      <c r="MBC3" t="s">
        <v>9021</v>
      </c>
      <c r="MBD3" t="s">
        <v>9022</v>
      </c>
      <c r="MBE3" t="s">
        <v>9023</v>
      </c>
      <c r="MBF3" t="s">
        <v>9024</v>
      </c>
      <c r="MBG3" t="s">
        <v>9025</v>
      </c>
      <c r="MBH3" t="s">
        <v>9026</v>
      </c>
      <c r="MBI3" t="s">
        <v>9027</v>
      </c>
      <c r="MBJ3" t="s">
        <v>9028</v>
      </c>
      <c r="MBK3" t="s">
        <v>9029</v>
      </c>
      <c r="MBL3" t="s">
        <v>9030</v>
      </c>
      <c r="MBM3" t="s">
        <v>9031</v>
      </c>
      <c r="MBN3" t="s">
        <v>9032</v>
      </c>
      <c r="MBO3" t="s">
        <v>9033</v>
      </c>
      <c r="MBP3" t="s">
        <v>9034</v>
      </c>
      <c r="MBQ3" t="s">
        <v>9035</v>
      </c>
      <c r="MBR3" t="s">
        <v>9036</v>
      </c>
      <c r="MBS3" t="s">
        <v>9037</v>
      </c>
      <c r="MBT3" t="s">
        <v>9038</v>
      </c>
      <c r="MBU3" t="s">
        <v>9039</v>
      </c>
      <c r="MBV3" t="s">
        <v>9040</v>
      </c>
      <c r="MBW3" t="s">
        <v>9041</v>
      </c>
      <c r="MBX3" t="s">
        <v>9042</v>
      </c>
      <c r="MBY3" t="s">
        <v>9043</v>
      </c>
      <c r="MBZ3" t="s">
        <v>9044</v>
      </c>
      <c r="MCA3" t="s">
        <v>9045</v>
      </c>
      <c r="MCB3" t="s">
        <v>9046</v>
      </c>
      <c r="MCC3" t="s">
        <v>9047</v>
      </c>
      <c r="MCD3" t="s">
        <v>9048</v>
      </c>
      <c r="MCE3" t="s">
        <v>9049</v>
      </c>
      <c r="MCF3" t="s">
        <v>9050</v>
      </c>
      <c r="MCG3" t="s">
        <v>9051</v>
      </c>
      <c r="MCH3" t="s">
        <v>9052</v>
      </c>
      <c r="MCI3" t="s">
        <v>9053</v>
      </c>
      <c r="MCJ3" t="s">
        <v>9054</v>
      </c>
      <c r="MCK3" t="s">
        <v>9055</v>
      </c>
      <c r="MCL3" t="s">
        <v>9056</v>
      </c>
      <c r="MCM3" t="s">
        <v>9057</v>
      </c>
      <c r="MCN3" t="s">
        <v>9058</v>
      </c>
      <c r="MCO3" t="s">
        <v>9059</v>
      </c>
      <c r="MCP3" t="s">
        <v>9060</v>
      </c>
      <c r="MCQ3" t="s">
        <v>9061</v>
      </c>
      <c r="MCR3" t="s">
        <v>9062</v>
      </c>
      <c r="MCS3" t="s">
        <v>9063</v>
      </c>
      <c r="MCT3" t="s">
        <v>9064</v>
      </c>
      <c r="MCU3" t="s">
        <v>9065</v>
      </c>
      <c r="MCV3" t="s">
        <v>9066</v>
      </c>
      <c r="MCW3" t="s">
        <v>9067</v>
      </c>
      <c r="MCX3" t="s">
        <v>9068</v>
      </c>
      <c r="MCY3" t="s">
        <v>9069</v>
      </c>
      <c r="MCZ3" t="s">
        <v>9070</v>
      </c>
      <c r="MDA3" t="s">
        <v>9071</v>
      </c>
      <c r="MDB3" t="s">
        <v>9072</v>
      </c>
      <c r="MDC3" t="s">
        <v>9073</v>
      </c>
      <c r="MDD3" t="s">
        <v>9074</v>
      </c>
      <c r="MDE3" t="s">
        <v>9075</v>
      </c>
      <c r="MDF3" t="s">
        <v>9076</v>
      </c>
      <c r="MDG3" t="s">
        <v>9077</v>
      </c>
      <c r="MDH3" t="s">
        <v>9078</v>
      </c>
      <c r="MDI3" t="s">
        <v>9079</v>
      </c>
      <c r="MDJ3" t="s">
        <v>9080</v>
      </c>
      <c r="MDK3" t="s">
        <v>9081</v>
      </c>
      <c r="MDL3" t="s">
        <v>9082</v>
      </c>
      <c r="MDM3" t="s">
        <v>9083</v>
      </c>
      <c r="MDN3" t="s">
        <v>9084</v>
      </c>
      <c r="MDO3" t="s">
        <v>9085</v>
      </c>
      <c r="MDP3" t="s">
        <v>9086</v>
      </c>
      <c r="MDQ3" t="s">
        <v>9087</v>
      </c>
      <c r="MDR3" t="s">
        <v>9088</v>
      </c>
      <c r="MDS3" t="s">
        <v>9089</v>
      </c>
      <c r="MDT3" t="s">
        <v>9090</v>
      </c>
      <c r="MDU3" t="s">
        <v>9091</v>
      </c>
      <c r="MDV3" t="s">
        <v>9092</v>
      </c>
      <c r="MDW3" t="s">
        <v>9093</v>
      </c>
      <c r="MDX3" t="s">
        <v>9094</v>
      </c>
      <c r="MDY3" t="s">
        <v>9095</v>
      </c>
      <c r="MDZ3" t="s">
        <v>9096</v>
      </c>
      <c r="MEA3" t="s">
        <v>9097</v>
      </c>
      <c r="MEB3" t="s">
        <v>9098</v>
      </c>
      <c r="MEC3" t="s">
        <v>9099</v>
      </c>
      <c r="MED3" t="s">
        <v>9100</v>
      </c>
      <c r="MEE3" t="s">
        <v>9101</v>
      </c>
      <c r="MEF3" t="s">
        <v>9102</v>
      </c>
      <c r="MEG3" t="s">
        <v>9103</v>
      </c>
      <c r="MEH3" t="s">
        <v>9104</v>
      </c>
      <c r="MEI3" t="s">
        <v>9105</v>
      </c>
      <c r="MEJ3" t="s">
        <v>9106</v>
      </c>
      <c r="MEK3" t="s">
        <v>9107</v>
      </c>
      <c r="MEL3" t="s">
        <v>9108</v>
      </c>
      <c r="MEM3" t="s">
        <v>9109</v>
      </c>
      <c r="MEN3" t="s">
        <v>9110</v>
      </c>
      <c r="MEO3" t="s">
        <v>9111</v>
      </c>
      <c r="MEP3" t="s">
        <v>9112</v>
      </c>
      <c r="MEQ3" t="s">
        <v>9113</v>
      </c>
      <c r="MER3" t="s">
        <v>9114</v>
      </c>
      <c r="MES3" t="s">
        <v>9115</v>
      </c>
      <c r="MET3" t="s">
        <v>9116</v>
      </c>
      <c r="MEU3" t="s">
        <v>9117</v>
      </c>
      <c r="MEV3" t="s">
        <v>9118</v>
      </c>
      <c r="MEW3" t="s">
        <v>9119</v>
      </c>
      <c r="MEX3" t="s">
        <v>9120</v>
      </c>
      <c r="MEY3" t="s">
        <v>9121</v>
      </c>
      <c r="MEZ3" t="s">
        <v>9122</v>
      </c>
      <c r="MFA3" t="s">
        <v>9123</v>
      </c>
      <c r="MFB3" t="s">
        <v>9124</v>
      </c>
      <c r="MFC3" t="s">
        <v>9125</v>
      </c>
      <c r="MFD3" t="s">
        <v>9126</v>
      </c>
      <c r="MFE3" t="s">
        <v>9127</v>
      </c>
      <c r="MFF3" t="s">
        <v>9128</v>
      </c>
      <c r="MFG3" t="s">
        <v>9129</v>
      </c>
      <c r="MFH3" t="s">
        <v>9130</v>
      </c>
      <c r="MFI3" t="s">
        <v>9131</v>
      </c>
      <c r="MFJ3" t="s">
        <v>9132</v>
      </c>
      <c r="MFK3" t="s">
        <v>9133</v>
      </c>
      <c r="MFL3" t="s">
        <v>9134</v>
      </c>
      <c r="MFM3" t="s">
        <v>9135</v>
      </c>
      <c r="MFN3" t="s">
        <v>9136</v>
      </c>
      <c r="MFO3" t="s">
        <v>9137</v>
      </c>
      <c r="MFP3" t="s">
        <v>9138</v>
      </c>
      <c r="MFQ3" t="s">
        <v>9139</v>
      </c>
      <c r="MFR3" t="s">
        <v>9140</v>
      </c>
      <c r="MFS3" t="s">
        <v>9141</v>
      </c>
      <c r="MFT3" t="s">
        <v>9142</v>
      </c>
      <c r="MFU3" t="s">
        <v>9143</v>
      </c>
      <c r="MFV3" t="s">
        <v>9144</v>
      </c>
      <c r="MFW3" t="s">
        <v>9145</v>
      </c>
      <c r="MFX3" t="s">
        <v>9146</v>
      </c>
      <c r="MFY3" t="s">
        <v>9147</v>
      </c>
      <c r="MFZ3" t="s">
        <v>9148</v>
      </c>
      <c r="MGA3" t="s">
        <v>9149</v>
      </c>
      <c r="MGB3" t="s">
        <v>9150</v>
      </c>
      <c r="MGC3" t="s">
        <v>9151</v>
      </c>
      <c r="MGD3" t="s">
        <v>9152</v>
      </c>
      <c r="MGE3" t="s">
        <v>9153</v>
      </c>
      <c r="MGF3" t="s">
        <v>9154</v>
      </c>
      <c r="MGG3" t="s">
        <v>9155</v>
      </c>
      <c r="MGH3" t="s">
        <v>9156</v>
      </c>
      <c r="MGI3" t="s">
        <v>9157</v>
      </c>
      <c r="MGJ3" t="s">
        <v>9158</v>
      </c>
      <c r="MGK3" t="s">
        <v>9159</v>
      </c>
      <c r="MGL3" t="s">
        <v>9160</v>
      </c>
      <c r="MGM3" t="s">
        <v>9161</v>
      </c>
      <c r="MGN3" t="s">
        <v>9162</v>
      </c>
      <c r="MGO3" t="s">
        <v>9163</v>
      </c>
      <c r="MGP3" t="s">
        <v>9164</v>
      </c>
      <c r="MGQ3" t="s">
        <v>9165</v>
      </c>
      <c r="MGR3" t="s">
        <v>9166</v>
      </c>
      <c r="MGS3" t="s">
        <v>9167</v>
      </c>
      <c r="MGT3" t="s">
        <v>9168</v>
      </c>
      <c r="MGU3" t="s">
        <v>9169</v>
      </c>
      <c r="MGV3" t="s">
        <v>9170</v>
      </c>
      <c r="MGW3" t="s">
        <v>9171</v>
      </c>
      <c r="MGX3" t="s">
        <v>9172</v>
      </c>
      <c r="MGY3" t="s">
        <v>9173</v>
      </c>
      <c r="MGZ3" t="s">
        <v>9174</v>
      </c>
      <c r="MHA3" t="s">
        <v>9175</v>
      </c>
      <c r="MHB3" t="s">
        <v>9176</v>
      </c>
      <c r="MHC3" t="s">
        <v>9177</v>
      </c>
      <c r="MHD3" t="s">
        <v>9178</v>
      </c>
      <c r="MHE3" t="s">
        <v>9179</v>
      </c>
      <c r="MHF3" t="s">
        <v>9180</v>
      </c>
      <c r="MHG3" t="s">
        <v>9181</v>
      </c>
      <c r="MHH3" t="s">
        <v>9182</v>
      </c>
      <c r="MHI3" t="s">
        <v>9183</v>
      </c>
      <c r="MHJ3" t="s">
        <v>9184</v>
      </c>
      <c r="MHK3" t="s">
        <v>9185</v>
      </c>
      <c r="MHL3" t="s">
        <v>9186</v>
      </c>
      <c r="MHM3" t="s">
        <v>9187</v>
      </c>
      <c r="MHN3" t="s">
        <v>9188</v>
      </c>
      <c r="MHO3" t="s">
        <v>9189</v>
      </c>
      <c r="MHP3" t="s">
        <v>9190</v>
      </c>
      <c r="MHQ3" t="s">
        <v>9191</v>
      </c>
      <c r="MHR3" t="s">
        <v>9192</v>
      </c>
      <c r="MHS3" t="s">
        <v>9193</v>
      </c>
      <c r="MHT3" t="s">
        <v>9194</v>
      </c>
      <c r="MHU3" t="s">
        <v>9195</v>
      </c>
      <c r="MHV3" t="s">
        <v>9196</v>
      </c>
      <c r="MHW3" t="s">
        <v>9197</v>
      </c>
      <c r="MHX3" t="s">
        <v>9198</v>
      </c>
      <c r="MHY3" t="s">
        <v>9199</v>
      </c>
      <c r="MHZ3" t="s">
        <v>9200</v>
      </c>
      <c r="MIA3" t="s">
        <v>9201</v>
      </c>
      <c r="MIB3" t="s">
        <v>9202</v>
      </c>
      <c r="MIC3" t="s">
        <v>9203</v>
      </c>
      <c r="MID3" t="s">
        <v>9204</v>
      </c>
      <c r="MIE3" t="s">
        <v>9205</v>
      </c>
      <c r="MIF3" t="s">
        <v>9206</v>
      </c>
      <c r="MIG3" t="s">
        <v>9207</v>
      </c>
      <c r="MIH3" t="s">
        <v>9208</v>
      </c>
      <c r="MII3" t="s">
        <v>9209</v>
      </c>
      <c r="MIJ3" t="s">
        <v>9210</v>
      </c>
      <c r="MIK3" t="s">
        <v>9211</v>
      </c>
      <c r="MIL3" t="s">
        <v>9212</v>
      </c>
      <c r="MIM3" t="s">
        <v>9213</v>
      </c>
      <c r="MIN3" t="s">
        <v>9214</v>
      </c>
      <c r="MIO3" t="s">
        <v>9215</v>
      </c>
      <c r="MIP3" t="s">
        <v>9216</v>
      </c>
      <c r="MIQ3" t="s">
        <v>9217</v>
      </c>
      <c r="MIR3" t="s">
        <v>9218</v>
      </c>
      <c r="MIS3" t="s">
        <v>9219</v>
      </c>
      <c r="MIT3" t="s">
        <v>9220</v>
      </c>
      <c r="MIU3" t="s">
        <v>9221</v>
      </c>
      <c r="MIV3" t="s">
        <v>9222</v>
      </c>
      <c r="MIW3" t="s">
        <v>9223</v>
      </c>
      <c r="MIX3" t="s">
        <v>9224</v>
      </c>
      <c r="MIY3" t="s">
        <v>9225</v>
      </c>
      <c r="MIZ3" t="s">
        <v>9226</v>
      </c>
      <c r="MJA3" t="s">
        <v>9227</v>
      </c>
      <c r="MJB3" t="s">
        <v>9228</v>
      </c>
      <c r="MJC3" t="s">
        <v>9229</v>
      </c>
      <c r="MJD3" t="s">
        <v>9230</v>
      </c>
      <c r="MJE3" t="s">
        <v>9231</v>
      </c>
      <c r="MJF3" t="s">
        <v>9232</v>
      </c>
      <c r="MJG3" t="s">
        <v>9233</v>
      </c>
      <c r="MJH3" t="s">
        <v>9234</v>
      </c>
      <c r="MJI3" t="s">
        <v>9235</v>
      </c>
      <c r="MJJ3" t="s">
        <v>9236</v>
      </c>
      <c r="MJK3" t="s">
        <v>9237</v>
      </c>
      <c r="MJL3" t="s">
        <v>9238</v>
      </c>
      <c r="MJM3" t="s">
        <v>9239</v>
      </c>
      <c r="MJN3" t="s">
        <v>9240</v>
      </c>
      <c r="MJO3" t="s">
        <v>9241</v>
      </c>
      <c r="MJP3" t="s">
        <v>9242</v>
      </c>
      <c r="MJQ3" t="s">
        <v>9243</v>
      </c>
      <c r="MJR3" t="s">
        <v>9244</v>
      </c>
      <c r="MJS3" t="s">
        <v>9245</v>
      </c>
      <c r="MJT3" t="s">
        <v>9246</v>
      </c>
      <c r="MJU3" t="s">
        <v>9247</v>
      </c>
      <c r="MJV3" t="s">
        <v>9248</v>
      </c>
      <c r="MJW3" t="s">
        <v>9249</v>
      </c>
      <c r="MJX3" t="s">
        <v>9250</v>
      </c>
      <c r="MJY3" t="s">
        <v>9251</v>
      </c>
      <c r="MJZ3" t="s">
        <v>9252</v>
      </c>
      <c r="MKA3" t="s">
        <v>9253</v>
      </c>
      <c r="MKB3" t="s">
        <v>9254</v>
      </c>
      <c r="MKC3" t="s">
        <v>9255</v>
      </c>
      <c r="MKD3" t="s">
        <v>9256</v>
      </c>
      <c r="MKE3" t="s">
        <v>9257</v>
      </c>
      <c r="MKF3" t="s">
        <v>9258</v>
      </c>
      <c r="MKG3" t="s">
        <v>9259</v>
      </c>
      <c r="MKH3" t="s">
        <v>9260</v>
      </c>
      <c r="MKI3" t="s">
        <v>9261</v>
      </c>
      <c r="MKJ3" t="s">
        <v>9262</v>
      </c>
      <c r="MKK3" t="s">
        <v>9263</v>
      </c>
      <c r="MKL3" t="s">
        <v>9264</v>
      </c>
      <c r="MKM3" t="s">
        <v>9265</v>
      </c>
      <c r="MKN3" t="s">
        <v>9266</v>
      </c>
      <c r="MKO3" t="s">
        <v>9267</v>
      </c>
      <c r="MKP3" t="s">
        <v>9268</v>
      </c>
      <c r="MKQ3" t="s">
        <v>9269</v>
      </c>
      <c r="MKR3" t="s">
        <v>9270</v>
      </c>
      <c r="MKS3" t="s">
        <v>9271</v>
      </c>
      <c r="MKT3" t="s">
        <v>9272</v>
      </c>
      <c r="MKU3" t="s">
        <v>9273</v>
      </c>
      <c r="MKV3" t="s">
        <v>9274</v>
      </c>
      <c r="MKW3" t="s">
        <v>9275</v>
      </c>
      <c r="MKX3" t="s">
        <v>9276</v>
      </c>
      <c r="MKY3" t="s">
        <v>9277</v>
      </c>
      <c r="MKZ3" t="s">
        <v>9278</v>
      </c>
      <c r="MLA3" t="s">
        <v>9279</v>
      </c>
      <c r="MLB3" t="s">
        <v>9280</v>
      </c>
      <c r="MLC3" t="s">
        <v>9281</v>
      </c>
      <c r="MLD3" t="s">
        <v>9282</v>
      </c>
      <c r="MLE3" t="s">
        <v>9283</v>
      </c>
      <c r="MLF3" t="s">
        <v>9284</v>
      </c>
      <c r="MLG3" t="s">
        <v>9285</v>
      </c>
      <c r="MLH3" t="s">
        <v>9286</v>
      </c>
      <c r="MLI3" t="s">
        <v>9287</v>
      </c>
      <c r="MLJ3" t="s">
        <v>9288</v>
      </c>
      <c r="MLK3" t="s">
        <v>9289</v>
      </c>
      <c r="MLL3" t="s">
        <v>9290</v>
      </c>
      <c r="MLM3" t="s">
        <v>9291</v>
      </c>
      <c r="MLN3" t="s">
        <v>9292</v>
      </c>
      <c r="MLO3" t="s">
        <v>9293</v>
      </c>
      <c r="MLP3" t="s">
        <v>9294</v>
      </c>
      <c r="MLQ3" t="s">
        <v>9295</v>
      </c>
      <c r="MLR3" t="s">
        <v>9296</v>
      </c>
      <c r="MLS3" t="s">
        <v>9297</v>
      </c>
      <c r="MLT3" t="s">
        <v>9298</v>
      </c>
      <c r="MLU3" t="s">
        <v>9299</v>
      </c>
      <c r="MLV3" t="s">
        <v>9300</v>
      </c>
      <c r="MLW3" t="s">
        <v>9301</v>
      </c>
      <c r="MLX3" t="s">
        <v>9302</v>
      </c>
      <c r="MLY3" t="s">
        <v>9303</v>
      </c>
      <c r="MLZ3" t="s">
        <v>9304</v>
      </c>
      <c r="MMA3" t="s">
        <v>9305</v>
      </c>
      <c r="MMB3" t="s">
        <v>9306</v>
      </c>
      <c r="MMC3" t="s">
        <v>9307</v>
      </c>
      <c r="MMD3" t="s">
        <v>9308</v>
      </c>
      <c r="MME3" t="s">
        <v>9309</v>
      </c>
      <c r="MMF3" t="s">
        <v>9310</v>
      </c>
      <c r="MMG3" t="s">
        <v>9311</v>
      </c>
      <c r="MMH3" t="s">
        <v>9312</v>
      </c>
      <c r="MMI3" t="s">
        <v>9313</v>
      </c>
      <c r="MMJ3" t="s">
        <v>9314</v>
      </c>
      <c r="MMK3" t="s">
        <v>9315</v>
      </c>
      <c r="MML3" t="s">
        <v>9316</v>
      </c>
      <c r="MMM3" t="s">
        <v>9317</v>
      </c>
      <c r="MMN3" t="s">
        <v>9318</v>
      </c>
      <c r="MMO3" t="s">
        <v>9319</v>
      </c>
      <c r="MMP3" t="s">
        <v>9320</v>
      </c>
      <c r="MMQ3" t="s">
        <v>9321</v>
      </c>
      <c r="MMR3" t="s">
        <v>9322</v>
      </c>
      <c r="MMS3" t="s">
        <v>9323</v>
      </c>
      <c r="MMT3" t="s">
        <v>9324</v>
      </c>
      <c r="MMU3" t="s">
        <v>9325</v>
      </c>
      <c r="MMV3" t="s">
        <v>9326</v>
      </c>
      <c r="MMW3" t="s">
        <v>9327</v>
      </c>
      <c r="MMX3" t="s">
        <v>9328</v>
      </c>
      <c r="MMY3" t="s">
        <v>9329</v>
      </c>
      <c r="MMZ3" t="s">
        <v>9330</v>
      </c>
      <c r="MNA3" t="s">
        <v>9331</v>
      </c>
      <c r="MNB3" t="s">
        <v>9332</v>
      </c>
      <c r="MNC3" t="s">
        <v>9333</v>
      </c>
      <c r="MND3" t="s">
        <v>9334</v>
      </c>
      <c r="MNE3" t="s">
        <v>9335</v>
      </c>
      <c r="MNF3" t="s">
        <v>9336</v>
      </c>
      <c r="MNG3" t="s">
        <v>9337</v>
      </c>
      <c r="MNH3" t="s">
        <v>9338</v>
      </c>
      <c r="MNI3" t="s">
        <v>9339</v>
      </c>
      <c r="MNJ3" t="s">
        <v>9340</v>
      </c>
      <c r="MNK3" t="s">
        <v>9341</v>
      </c>
      <c r="MNL3" t="s">
        <v>9342</v>
      </c>
      <c r="MNM3" t="s">
        <v>9343</v>
      </c>
      <c r="MNN3" t="s">
        <v>9344</v>
      </c>
      <c r="MNO3" t="s">
        <v>9345</v>
      </c>
      <c r="MNP3" t="s">
        <v>9346</v>
      </c>
      <c r="MNQ3" t="s">
        <v>9347</v>
      </c>
      <c r="MNR3" t="s">
        <v>9348</v>
      </c>
      <c r="MNS3" t="s">
        <v>9349</v>
      </c>
      <c r="MNT3" t="s">
        <v>9350</v>
      </c>
      <c r="MNU3" t="s">
        <v>9351</v>
      </c>
      <c r="MNV3" t="s">
        <v>9352</v>
      </c>
      <c r="MNW3" t="s">
        <v>9353</v>
      </c>
      <c r="MNX3" t="s">
        <v>9354</v>
      </c>
      <c r="MNY3" t="s">
        <v>9355</v>
      </c>
      <c r="MNZ3" t="s">
        <v>9356</v>
      </c>
      <c r="MOA3" t="s">
        <v>9357</v>
      </c>
      <c r="MOB3" t="s">
        <v>9358</v>
      </c>
      <c r="MOC3" t="s">
        <v>9359</v>
      </c>
      <c r="MOD3" t="s">
        <v>9360</v>
      </c>
      <c r="MOE3" t="s">
        <v>9361</v>
      </c>
      <c r="MOF3" t="s">
        <v>9362</v>
      </c>
      <c r="MOG3" t="s">
        <v>9363</v>
      </c>
      <c r="MOH3" t="s">
        <v>9364</v>
      </c>
      <c r="MOI3" t="s">
        <v>9365</v>
      </c>
      <c r="MOJ3" t="s">
        <v>9366</v>
      </c>
      <c r="MOK3" t="s">
        <v>9367</v>
      </c>
      <c r="MOL3" t="s">
        <v>9368</v>
      </c>
      <c r="MOM3" t="s">
        <v>9369</v>
      </c>
      <c r="MON3" t="s">
        <v>9370</v>
      </c>
      <c r="MOO3" t="s">
        <v>9371</v>
      </c>
      <c r="MOP3" t="s">
        <v>9372</v>
      </c>
      <c r="MOQ3" t="s">
        <v>9373</v>
      </c>
      <c r="MOR3" t="s">
        <v>9374</v>
      </c>
      <c r="MOS3" t="s">
        <v>9375</v>
      </c>
      <c r="MOT3" t="s">
        <v>9376</v>
      </c>
      <c r="MOU3" t="s">
        <v>9377</v>
      </c>
      <c r="MOV3" t="s">
        <v>9378</v>
      </c>
      <c r="MOW3" t="s">
        <v>9379</v>
      </c>
      <c r="MOX3" t="s">
        <v>9380</v>
      </c>
      <c r="MOY3" t="s">
        <v>9381</v>
      </c>
      <c r="MOZ3" t="s">
        <v>9382</v>
      </c>
      <c r="MPA3" t="s">
        <v>9383</v>
      </c>
      <c r="MPB3" t="s">
        <v>9384</v>
      </c>
      <c r="MPC3" t="s">
        <v>9385</v>
      </c>
      <c r="MPD3" t="s">
        <v>9386</v>
      </c>
      <c r="MPE3" t="s">
        <v>9387</v>
      </c>
      <c r="MPF3" t="s">
        <v>9388</v>
      </c>
      <c r="MPG3" t="s">
        <v>9389</v>
      </c>
      <c r="MPH3" t="s">
        <v>9390</v>
      </c>
      <c r="MPI3" t="s">
        <v>9391</v>
      </c>
      <c r="MPJ3" t="s">
        <v>9392</v>
      </c>
      <c r="MPK3" t="s">
        <v>9393</v>
      </c>
      <c r="MPL3" t="s">
        <v>9394</v>
      </c>
      <c r="MPM3" t="s">
        <v>9395</v>
      </c>
      <c r="MPN3" t="s">
        <v>9396</v>
      </c>
      <c r="MPO3" t="s">
        <v>9397</v>
      </c>
      <c r="MPP3" t="s">
        <v>9398</v>
      </c>
      <c r="MPQ3" t="s">
        <v>9399</v>
      </c>
      <c r="MPR3" t="s">
        <v>9400</v>
      </c>
      <c r="MPS3" t="s">
        <v>9401</v>
      </c>
      <c r="MPT3" t="s">
        <v>9402</v>
      </c>
      <c r="MPU3" t="s">
        <v>9403</v>
      </c>
      <c r="MPV3" t="s">
        <v>9404</v>
      </c>
      <c r="MPW3" t="s">
        <v>9405</v>
      </c>
      <c r="MPX3" t="s">
        <v>9406</v>
      </c>
      <c r="MPY3" t="s">
        <v>9407</v>
      </c>
      <c r="MPZ3" t="s">
        <v>9408</v>
      </c>
      <c r="MQA3" t="s">
        <v>9409</v>
      </c>
      <c r="MQB3" t="s">
        <v>9410</v>
      </c>
      <c r="MQC3" t="s">
        <v>9411</v>
      </c>
      <c r="MQD3" t="s">
        <v>9412</v>
      </c>
      <c r="MQE3" t="s">
        <v>9413</v>
      </c>
      <c r="MQF3" t="s">
        <v>9414</v>
      </c>
      <c r="MQG3" t="s">
        <v>9415</v>
      </c>
      <c r="MQH3" t="s">
        <v>9416</v>
      </c>
      <c r="MQI3" t="s">
        <v>9417</v>
      </c>
      <c r="MQJ3" t="s">
        <v>9418</v>
      </c>
      <c r="MQK3" t="s">
        <v>9419</v>
      </c>
      <c r="MQL3" t="s">
        <v>9420</v>
      </c>
      <c r="MQM3" t="s">
        <v>9421</v>
      </c>
      <c r="MQN3" t="s">
        <v>9422</v>
      </c>
      <c r="MQO3" t="s">
        <v>9423</v>
      </c>
      <c r="MQP3" t="s">
        <v>9424</v>
      </c>
      <c r="MQQ3" t="s">
        <v>9425</v>
      </c>
      <c r="MQR3" t="s">
        <v>9426</v>
      </c>
      <c r="MQS3" t="s">
        <v>9427</v>
      </c>
      <c r="MQT3" t="s">
        <v>9428</v>
      </c>
      <c r="MQU3" t="s">
        <v>9429</v>
      </c>
      <c r="MQV3" t="s">
        <v>9430</v>
      </c>
      <c r="MQW3" t="s">
        <v>9431</v>
      </c>
      <c r="MQX3" t="s">
        <v>9432</v>
      </c>
      <c r="MQY3" t="s">
        <v>9433</v>
      </c>
      <c r="MQZ3" t="s">
        <v>9434</v>
      </c>
      <c r="MRA3" t="s">
        <v>9435</v>
      </c>
      <c r="MRB3" t="s">
        <v>9436</v>
      </c>
      <c r="MRC3" t="s">
        <v>9437</v>
      </c>
      <c r="MRD3" t="s">
        <v>9438</v>
      </c>
      <c r="MRE3" t="s">
        <v>9439</v>
      </c>
      <c r="MRF3" t="s">
        <v>9440</v>
      </c>
      <c r="MRG3" t="s">
        <v>9441</v>
      </c>
      <c r="MRH3" t="s">
        <v>9442</v>
      </c>
      <c r="MRI3" t="s">
        <v>9443</v>
      </c>
      <c r="MRJ3" t="s">
        <v>9444</v>
      </c>
      <c r="MRK3" t="s">
        <v>9445</v>
      </c>
      <c r="MRL3" t="s">
        <v>9446</v>
      </c>
      <c r="MRM3" t="s">
        <v>9447</v>
      </c>
      <c r="MRN3" t="s">
        <v>9448</v>
      </c>
      <c r="MRO3" t="s">
        <v>9449</v>
      </c>
      <c r="MRP3" t="s">
        <v>9450</v>
      </c>
      <c r="MRQ3" t="s">
        <v>9451</v>
      </c>
      <c r="MRR3" t="s">
        <v>9452</v>
      </c>
      <c r="MRS3" t="s">
        <v>9453</v>
      </c>
      <c r="MRT3" t="s">
        <v>9454</v>
      </c>
      <c r="MRU3" t="s">
        <v>9455</v>
      </c>
      <c r="MRV3" t="s">
        <v>9456</v>
      </c>
      <c r="MRW3" t="s">
        <v>9457</v>
      </c>
      <c r="MRX3" t="s">
        <v>9458</v>
      </c>
      <c r="MRY3" t="s">
        <v>9459</v>
      </c>
      <c r="MRZ3" t="s">
        <v>9460</v>
      </c>
      <c r="MSA3" t="s">
        <v>9461</v>
      </c>
      <c r="MSB3" t="s">
        <v>9462</v>
      </c>
      <c r="MSC3" t="s">
        <v>9463</v>
      </c>
      <c r="MSD3" t="s">
        <v>9464</v>
      </c>
      <c r="MSE3" t="s">
        <v>9465</v>
      </c>
      <c r="MSF3" t="s">
        <v>9466</v>
      </c>
      <c r="MSG3" t="s">
        <v>9467</v>
      </c>
      <c r="MSH3" t="s">
        <v>9468</v>
      </c>
      <c r="MSI3" t="s">
        <v>9469</v>
      </c>
      <c r="MSJ3" t="s">
        <v>9470</v>
      </c>
      <c r="MSK3" t="s">
        <v>9471</v>
      </c>
      <c r="MSL3" t="s">
        <v>9472</v>
      </c>
      <c r="MSM3" t="s">
        <v>9473</v>
      </c>
      <c r="MSN3" t="s">
        <v>9474</v>
      </c>
      <c r="MSO3" t="s">
        <v>9475</v>
      </c>
      <c r="MSP3" t="s">
        <v>9476</v>
      </c>
      <c r="MSQ3" t="s">
        <v>9477</v>
      </c>
      <c r="MSR3" t="s">
        <v>9478</v>
      </c>
      <c r="MSS3" t="s">
        <v>9479</v>
      </c>
      <c r="MST3" t="s">
        <v>9480</v>
      </c>
      <c r="MSU3" t="s">
        <v>9481</v>
      </c>
      <c r="MSV3" t="s">
        <v>9482</v>
      </c>
      <c r="MSW3" t="s">
        <v>9483</v>
      </c>
      <c r="MSX3" t="s">
        <v>9484</v>
      </c>
      <c r="MSY3" t="s">
        <v>9485</v>
      </c>
      <c r="MSZ3" t="s">
        <v>9486</v>
      </c>
      <c r="MTA3" t="s">
        <v>9487</v>
      </c>
      <c r="MTB3" t="s">
        <v>9488</v>
      </c>
      <c r="MTC3" t="s">
        <v>9489</v>
      </c>
      <c r="MTD3" t="s">
        <v>9490</v>
      </c>
      <c r="MTE3" t="s">
        <v>9491</v>
      </c>
      <c r="MTF3" t="s">
        <v>9492</v>
      </c>
      <c r="MTG3" t="s">
        <v>9493</v>
      </c>
      <c r="MTH3" t="s">
        <v>9494</v>
      </c>
      <c r="MTI3" t="s">
        <v>9495</v>
      </c>
      <c r="MTJ3" t="s">
        <v>9496</v>
      </c>
      <c r="MTK3" t="s">
        <v>9497</v>
      </c>
      <c r="MTL3" t="s">
        <v>9498</v>
      </c>
      <c r="MTM3" t="s">
        <v>9499</v>
      </c>
      <c r="MTN3" t="s">
        <v>9500</v>
      </c>
      <c r="MTO3" t="s">
        <v>9501</v>
      </c>
      <c r="MTP3" t="s">
        <v>9502</v>
      </c>
      <c r="MTQ3" t="s">
        <v>9503</v>
      </c>
      <c r="MTR3" t="s">
        <v>9504</v>
      </c>
      <c r="MTS3" t="s">
        <v>9505</v>
      </c>
      <c r="MTT3" t="s">
        <v>9506</v>
      </c>
      <c r="MTU3" t="s">
        <v>9507</v>
      </c>
      <c r="MTV3" t="s">
        <v>9508</v>
      </c>
      <c r="MTW3" t="s">
        <v>9509</v>
      </c>
      <c r="MTX3" t="s">
        <v>9510</v>
      </c>
      <c r="MTY3" t="s">
        <v>9511</v>
      </c>
      <c r="MTZ3" t="s">
        <v>9512</v>
      </c>
      <c r="MUA3" t="s">
        <v>9513</v>
      </c>
      <c r="MUB3" t="s">
        <v>9514</v>
      </c>
      <c r="MUC3" t="s">
        <v>9515</v>
      </c>
      <c r="MUD3" t="s">
        <v>9516</v>
      </c>
      <c r="MUE3" t="s">
        <v>9517</v>
      </c>
      <c r="MUF3" t="s">
        <v>9518</v>
      </c>
      <c r="MUG3" t="s">
        <v>9519</v>
      </c>
      <c r="MUH3" t="s">
        <v>9520</v>
      </c>
      <c r="MUI3" t="s">
        <v>9521</v>
      </c>
      <c r="MUJ3" t="s">
        <v>9522</v>
      </c>
      <c r="MUK3" t="s">
        <v>9523</v>
      </c>
      <c r="MUL3" t="s">
        <v>9524</v>
      </c>
      <c r="MUM3" t="s">
        <v>9525</v>
      </c>
      <c r="MUN3" t="s">
        <v>9526</v>
      </c>
      <c r="MUO3" t="s">
        <v>9527</v>
      </c>
      <c r="MUP3" t="s">
        <v>9528</v>
      </c>
      <c r="MUQ3" t="s">
        <v>9529</v>
      </c>
      <c r="MUR3" t="s">
        <v>9530</v>
      </c>
      <c r="MUS3" t="s">
        <v>9531</v>
      </c>
      <c r="MUT3" t="s">
        <v>9532</v>
      </c>
      <c r="MUU3" t="s">
        <v>9533</v>
      </c>
      <c r="MUV3" t="s">
        <v>9534</v>
      </c>
      <c r="MUW3" t="s">
        <v>9535</v>
      </c>
      <c r="MUX3" t="s">
        <v>9536</v>
      </c>
      <c r="MUY3" t="s">
        <v>9537</v>
      </c>
      <c r="MUZ3" t="s">
        <v>9538</v>
      </c>
      <c r="MVA3" t="s">
        <v>9539</v>
      </c>
      <c r="MVB3" t="s">
        <v>9540</v>
      </c>
      <c r="MVC3" t="s">
        <v>9541</v>
      </c>
      <c r="MVD3" t="s">
        <v>9542</v>
      </c>
      <c r="MVE3" t="s">
        <v>9543</v>
      </c>
      <c r="MVF3" t="s">
        <v>9544</v>
      </c>
      <c r="MVG3" t="s">
        <v>9545</v>
      </c>
      <c r="MVH3" t="s">
        <v>9546</v>
      </c>
      <c r="MVI3" t="s">
        <v>9547</v>
      </c>
      <c r="MVJ3" t="s">
        <v>9548</v>
      </c>
      <c r="MVK3" t="s">
        <v>9549</v>
      </c>
      <c r="MVL3" t="s">
        <v>9550</v>
      </c>
      <c r="MVM3" t="s">
        <v>9551</v>
      </c>
      <c r="MVN3" t="s">
        <v>9552</v>
      </c>
      <c r="MVO3" t="s">
        <v>9553</v>
      </c>
      <c r="MVP3" t="s">
        <v>9554</v>
      </c>
      <c r="MVQ3" t="s">
        <v>9555</v>
      </c>
      <c r="MVR3" t="s">
        <v>9556</v>
      </c>
      <c r="MVS3" t="s">
        <v>9557</v>
      </c>
      <c r="MVT3" t="s">
        <v>9558</v>
      </c>
      <c r="MVU3" t="s">
        <v>9559</v>
      </c>
      <c r="MVV3" t="s">
        <v>9560</v>
      </c>
      <c r="MVW3" t="s">
        <v>9561</v>
      </c>
      <c r="MVX3" t="s">
        <v>9562</v>
      </c>
      <c r="MVY3" t="s">
        <v>9563</v>
      </c>
      <c r="MVZ3" t="s">
        <v>9564</v>
      </c>
      <c r="MWA3" t="s">
        <v>9565</v>
      </c>
      <c r="MWB3" t="s">
        <v>9566</v>
      </c>
      <c r="MWC3" t="s">
        <v>9567</v>
      </c>
      <c r="MWD3" t="s">
        <v>9568</v>
      </c>
      <c r="MWE3" t="s">
        <v>9569</v>
      </c>
      <c r="MWF3" t="s">
        <v>9570</v>
      </c>
      <c r="MWG3" t="s">
        <v>9571</v>
      </c>
      <c r="MWH3" t="s">
        <v>9572</v>
      </c>
      <c r="MWI3" t="s">
        <v>9573</v>
      </c>
      <c r="MWJ3" t="s">
        <v>9574</v>
      </c>
      <c r="MWK3" t="s">
        <v>9575</v>
      </c>
      <c r="MWL3" t="s">
        <v>9576</v>
      </c>
      <c r="MWM3" t="s">
        <v>9577</v>
      </c>
      <c r="MWN3" t="s">
        <v>9578</v>
      </c>
      <c r="MWO3" t="s">
        <v>9579</v>
      </c>
      <c r="MWP3" t="s">
        <v>9580</v>
      </c>
      <c r="MWQ3" t="s">
        <v>9581</v>
      </c>
      <c r="MWR3" t="s">
        <v>9582</v>
      </c>
      <c r="MWS3" t="s">
        <v>9583</v>
      </c>
      <c r="MWT3" t="s">
        <v>9584</v>
      </c>
      <c r="MWU3" t="s">
        <v>9585</v>
      </c>
      <c r="MWV3" t="s">
        <v>9586</v>
      </c>
      <c r="MWW3" t="s">
        <v>9587</v>
      </c>
      <c r="MWX3" t="s">
        <v>9588</v>
      </c>
      <c r="MWY3" t="s">
        <v>9589</v>
      </c>
      <c r="MWZ3" t="s">
        <v>9590</v>
      </c>
      <c r="MXA3" t="s">
        <v>9591</v>
      </c>
      <c r="MXB3" t="s">
        <v>9592</v>
      </c>
      <c r="MXC3" t="s">
        <v>9593</v>
      </c>
      <c r="MXD3" t="s">
        <v>9594</v>
      </c>
      <c r="MXE3" t="s">
        <v>9595</v>
      </c>
      <c r="MXF3" t="s">
        <v>9596</v>
      </c>
      <c r="MXG3" t="s">
        <v>9597</v>
      </c>
      <c r="MXH3" t="s">
        <v>9598</v>
      </c>
      <c r="MXI3" t="s">
        <v>9599</v>
      </c>
      <c r="MXJ3" t="s">
        <v>9600</v>
      </c>
      <c r="MXK3" t="s">
        <v>9601</v>
      </c>
      <c r="MXL3" t="s">
        <v>9602</v>
      </c>
      <c r="MXM3" t="s">
        <v>9603</v>
      </c>
      <c r="MXN3" t="s">
        <v>9604</v>
      </c>
      <c r="MXO3" t="s">
        <v>9605</v>
      </c>
      <c r="MXP3" t="s">
        <v>9606</v>
      </c>
      <c r="MXQ3" t="s">
        <v>9607</v>
      </c>
      <c r="MXR3" t="s">
        <v>9608</v>
      </c>
      <c r="MXS3" t="s">
        <v>9609</v>
      </c>
      <c r="MXT3" t="s">
        <v>9610</v>
      </c>
      <c r="MXU3" t="s">
        <v>9611</v>
      </c>
      <c r="MXV3" t="s">
        <v>9612</v>
      </c>
      <c r="MXW3" t="s">
        <v>9613</v>
      </c>
      <c r="MXX3" t="s">
        <v>9614</v>
      </c>
      <c r="MXY3" t="s">
        <v>9615</v>
      </c>
      <c r="MXZ3" t="s">
        <v>9616</v>
      </c>
      <c r="MYA3" t="s">
        <v>9617</v>
      </c>
      <c r="MYB3" t="s">
        <v>9618</v>
      </c>
      <c r="MYC3" t="s">
        <v>9619</v>
      </c>
      <c r="MYD3" t="s">
        <v>9620</v>
      </c>
      <c r="MYE3" t="s">
        <v>9621</v>
      </c>
      <c r="MYF3" t="s">
        <v>9622</v>
      </c>
      <c r="MYG3" t="s">
        <v>9623</v>
      </c>
      <c r="MYH3" t="s">
        <v>9624</v>
      </c>
      <c r="MYI3" t="s">
        <v>9625</v>
      </c>
      <c r="MYJ3" t="s">
        <v>9626</v>
      </c>
      <c r="MYK3" t="s">
        <v>9627</v>
      </c>
      <c r="MYL3" t="s">
        <v>9628</v>
      </c>
      <c r="MYM3" t="s">
        <v>9629</v>
      </c>
      <c r="MYN3" t="s">
        <v>9630</v>
      </c>
      <c r="MYO3" t="s">
        <v>9631</v>
      </c>
      <c r="MYP3" t="s">
        <v>9632</v>
      </c>
      <c r="MYQ3" t="s">
        <v>9633</v>
      </c>
      <c r="MYR3" t="s">
        <v>9634</v>
      </c>
      <c r="MYS3" t="s">
        <v>9635</v>
      </c>
      <c r="MYT3" t="s">
        <v>9636</v>
      </c>
      <c r="MYU3" t="s">
        <v>9637</v>
      </c>
      <c r="MYV3" t="s">
        <v>9638</v>
      </c>
      <c r="MYW3" t="s">
        <v>9639</v>
      </c>
      <c r="MYX3" t="s">
        <v>9640</v>
      </c>
      <c r="MYY3" t="s">
        <v>9641</v>
      </c>
      <c r="MYZ3" t="s">
        <v>9642</v>
      </c>
      <c r="MZA3" t="s">
        <v>9643</v>
      </c>
      <c r="MZB3" t="s">
        <v>9644</v>
      </c>
      <c r="MZC3" t="s">
        <v>9645</v>
      </c>
      <c r="MZD3" t="s">
        <v>9646</v>
      </c>
      <c r="MZE3" t="s">
        <v>9647</v>
      </c>
      <c r="MZF3" t="s">
        <v>9648</v>
      </c>
      <c r="MZG3" t="s">
        <v>9649</v>
      </c>
      <c r="MZH3" t="s">
        <v>9650</v>
      </c>
      <c r="MZI3" t="s">
        <v>9651</v>
      </c>
      <c r="MZJ3" t="s">
        <v>9652</v>
      </c>
      <c r="MZK3" t="s">
        <v>9653</v>
      </c>
      <c r="MZL3" t="s">
        <v>9654</v>
      </c>
      <c r="MZM3" t="s">
        <v>9655</v>
      </c>
      <c r="MZN3" t="s">
        <v>9656</v>
      </c>
      <c r="MZO3" t="s">
        <v>9657</v>
      </c>
      <c r="MZP3" t="s">
        <v>9658</v>
      </c>
      <c r="MZQ3" t="s">
        <v>9659</v>
      </c>
      <c r="MZR3" t="s">
        <v>9660</v>
      </c>
      <c r="MZS3" t="s">
        <v>9661</v>
      </c>
      <c r="MZT3" t="s">
        <v>9662</v>
      </c>
      <c r="MZU3" t="s">
        <v>9663</v>
      </c>
      <c r="MZV3" t="s">
        <v>9664</v>
      </c>
      <c r="MZW3" t="s">
        <v>9665</v>
      </c>
      <c r="MZX3" t="s">
        <v>9666</v>
      </c>
      <c r="MZY3" t="s">
        <v>9667</v>
      </c>
      <c r="MZZ3" t="s">
        <v>9668</v>
      </c>
      <c r="NAA3" t="s">
        <v>9669</v>
      </c>
      <c r="NAB3" t="s">
        <v>9670</v>
      </c>
      <c r="NAC3" t="s">
        <v>9671</v>
      </c>
      <c r="NAD3" t="s">
        <v>9672</v>
      </c>
      <c r="NAE3" t="s">
        <v>9673</v>
      </c>
      <c r="NAF3" t="s">
        <v>9674</v>
      </c>
      <c r="NAG3" t="s">
        <v>9675</v>
      </c>
      <c r="NAH3" t="s">
        <v>9676</v>
      </c>
      <c r="NAI3" t="s">
        <v>9677</v>
      </c>
      <c r="NAJ3" t="s">
        <v>9678</v>
      </c>
      <c r="NAK3" t="s">
        <v>9679</v>
      </c>
      <c r="NAL3" t="s">
        <v>9680</v>
      </c>
      <c r="NAM3" t="s">
        <v>9681</v>
      </c>
      <c r="NAN3" t="s">
        <v>9682</v>
      </c>
      <c r="NAO3" t="s">
        <v>9683</v>
      </c>
      <c r="NAP3" t="s">
        <v>9684</v>
      </c>
      <c r="NAQ3" t="s">
        <v>9685</v>
      </c>
      <c r="NAR3" t="s">
        <v>9686</v>
      </c>
      <c r="NAS3" t="s">
        <v>9687</v>
      </c>
      <c r="NAT3" t="s">
        <v>9688</v>
      </c>
      <c r="NAU3" t="s">
        <v>9689</v>
      </c>
      <c r="NAV3" t="s">
        <v>9690</v>
      </c>
      <c r="NAW3" t="s">
        <v>9691</v>
      </c>
      <c r="NAX3" t="s">
        <v>9692</v>
      </c>
      <c r="NAY3" t="s">
        <v>9693</v>
      </c>
      <c r="NAZ3" t="s">
        <v>9694</v>
      </c>
      <c r="NBA3" t="s">
        <v>9695</v>
      </c>
      <c r="NBB3" t="s">
        <v>9696</v>
      </c>
      <c r="NBC3" t="s">
        <v>9697</v>
      </c>
      <c r="NBD3" t="s">
        <v>9698</v>
      </c>
      <c r="NBE3" t="s">
        <v>9699</v>
      </c>
      <c r="NBF3" t="s">
        <v>9700</v>
      </c>
      <c r="NBG3" t="s">
        <v>9701</v>
      </c>
      <c r="NBH3" t="s">
        <v>9702</v>
      </c>
      <c r="NBI3" t="s">
        <v>9703</v>
      </c>
      <c r="NBJ3" t="s">
        <v>9704</v>
      </c>
      <c r="NBK3" t="s">
        <v>9705</v>
      </c>
      <c r="NBL3" t="s">
        <v>9706</v>
      </c>
      <c r="NBM3" t="s">
        <v>9707</v>
      </c>
      <c r="NBN3" t="s">
        <v>9708</v>
      </c>
      <c r="NBO3" t="s">
        <v>9709</v>
      </c>
      <c r="NBP3" t="s">
        <v>9710</v>
      </c>
      <c r="NBQ3" t="s">
        <v>9711</v>
      </c>
      <c r="NBR3" t="s">
        <v>9712</v>
      </c>
      <c r="NBS3" t="s">
        <v>9713</v>
      </c>
      <c r="NBT3" t="s">
        <v>9714</v>
      </c>
      <c r="NBU3" t="s">
        <v>9715</v>
      </c>
      <c r="NBV3" t="s">
        <v>9716</v>
      </c>
      <c r="NBW3" t="s">
        <v>9717</v>
      </c>
      <c r="NBX3" t="s">
        <v>9718</v>
      </c>
      <c r="NBY3" t="s">
        <v>9719</v>
      </c>
      <c r="NBZ3" t="s">
        <v>9720</v>
      </c>
      <c r="NCA3" t="s">
        <v>9721</v>
      </c>
      <c r="NCB3" t="s">
        <v>9722</v>
      </c>
      <c r="NCC3" t="s">
        <v>9723</v>
      </c>
      <c r="NCD3" t="s">
        <v>9724</v>
      </c>
      <c r="NCE3" t="s">
        <v>9725</v>
      </c>
      <c r="NCF3" t="s">
        <v>9726</v>
      </c>
      <c r="NCG3" t="s">
        <v>9727</v>
      </c>
      <c r="NCH3" t="s">
        <v>9728</v>
      </c>
      <c r="NCI3" t="s">
        <v>9729</v>
      </c>
      <c r="NCJ3" t="s">
        <v>9730</v>
      </c>
      <c r="NCK3" t="s">
        <v>9731</v>
      </c>
      <c r="NCL3" t="s">
        <v>9732</v>
      </c>
      <c r="NCM3" t="s">
        <v>9733</v>
      </c>
      <c r="NCN3" t="s">
        <v>9734</v>
      </c>
      <c r="NCO3" t="s">
        <v>9735</v>
      </c>
      <c r="NCP3" t="s">
        <v>9736</v>
      </c>
      <c r="NCQ3" t="s">
        <v>9737</v>
      </c>
      <c r="NCR3" t="s">
        <v>9738</v>
      </c>
      <c r="NCS3" t="s">
        <v>9739</v>
      </c>
      <c r="NCT3" t="s">
        <v>9740</v>
      </c>
      <c r="NCU3" t="s">
        <v>9741</v>
      </c>
      <c r="NCV3" t="s">
        <v>9742</v>
      </c>
      <c r="NCW3" t="s">
        <v>9743</v>
      </c>
      <c r="NCX3" t="s">
        <v>9744</v>
      </c>
      <c r="NCY3" t="s">
        <v>9745</v>
      </c>
      <c r="NCZ3" t="s">
        <v>9746</v>
      </c>
      <c r="NDA3" t="s">
        <v>9747</v>
      </c>
      <c r="NDB3" t="s">
        <v>9748</v>
      </c>
      <c r="NDC3" t="s">
        <v>9749</v>
      </c>
      <c r="NDD3" t="s">
        <v>9750</v>
      </c>
      <c r="NDE3" t="s">
        <v>9751</v>
      </c>
      <c r="NDF3" t="s">
        <v>9752</v>
      </c>
      <c r="NDG3" t="s">
        <v>9753</v>
      </c>
      <c r="NDH3" t="s">
        <v>9754</v>
      </c>
      <c r="NDI3" t="s">
        <v>9755</v>
      </c>
      <c r="NDJ3" t="s">
        <v>9756</v>
      </c>
      <c r="NDK3" t="s">
        <v>9757</v>
      </c>
      <c r="NDL3" t="s">
        <v>9758</v>
      </c>
      <c r="NDM3" t="s">
        <v>9759</v>
      </c>
      <c r="NDN3" t="s">
        <v>9760</v>
      </c>
      <c r="NDO3" t="s">
        <v>9761</v>
      </c>
      <c r="NDP3" t="s">
        <v>9762</v>
      </c>
      <c r="NDQ3" t="s">
        <v>9763</v>
      </c>
      <c r="NDR3" t="s">
        <v>9764</v>
      </c>
      <c r="NDS3" t="s">
        <v>9765</v>
      </c>
      <c r="NDT3" t="s">
        <v>9766</v>
      </c>
      <c r="NDU3" t="s">
        <v>9767</v>
      </c>
      <c r="NDV3" t="s">
        <v>9768</v>
      </c>
      <c r="NDW3" t="s">
        <v>9769</v>
      </c>
      <c r="NDX3" t="s">
        <v>9770</v>
      </c>
      <c r="NDY3" t="s">
        <v>9771</v>
      </c>
      <c r="NDZ3" t="s">
        <v>9772</v>
      </c>
      <c r="NEA3" t="s">
        <v>9773</v>
      </c>
      <c r="NEB3" t="s">
        <v>9774</v>
      </c>
      <c r="NEC3" t="s">
        <v>9775</v>
      </c>
      <c r="NED3" t="s">
        <v>9776</v>
      </c>
      <c r="NEE3" t="s">
        <v>9777</v>
      </c>
      <c r="NEF3" t="s">
        <v>9778</v>
      </c>
      <c r="NEG3" t="s">
        <v>9779</v>
      </c>
      <c r="NEH3" t="s">
        <v>9780</v>
      </c>
      <c r="NEI3" t="s">
        <v>9781</v>
      </c>
      <c r="NEJ3" t="s">
        <v>9782</v>
      </c>
      <c r="NEK3" t="s">
        <v>9783</v>
      </c>
      <c r="NEL3" t="s">
        <v>9784</v>
      </c>
      <c r="NEM3" t="s">
        <v>9785</v>
      </c>
      <c r="NEN3" t="s">
        <v>9786</v>
      </c>
      <c r="NEO3" t="s">
        <v>9787</v>
      </c>
      <c r="NEP3" t="s">
        <v>9788</v>
      </c>
      <c r="NEQ3" t="s">
        <v>9789</v>
      </c>
      <c r="NER3" t="s">
        <v>9790</v>
      </c>
      <c r="NES3" t="s">
        <v>9791</v>
      </c>
      <c r="NET3" t="s">
        <v>9792</v>
      </c>
      <c r="NEU3" t="s">
        <v>9793</v>
      </c>
      <c r="NEV3" t="s">
        <v>9794</v>
      </c>
      <c r="NEW3" t="s">
        <v>9795</v>
      </c>
      <c r="NEX3" t="s">
        <v>9796</v>
      </c>
      <c r="NEY3" t="s">
        <v>9797</v>
      </c>
      <c r="NEZ3" t="s">
        <v>9798</v>
      </c>
      <c r="NFA3" t="s">
        <v>9799</v>
      </c>
      <c r="NFB3" t="s">
        <v>9800</v>
      </c>
      <c r="NFC3" t="s">
        <v>9801</v>
      </c>
      <c r="NFD3" t="s">
        <v>9802</v>
      </c>
      <c r="NFE3" t="s">
        <v>9803</v>
      </c>
      <c r="NFF3" t="s">
        <v>9804</v>
      </c>
      <c r="NFG3" t="s">
        <v>9805</v>
      </c>
      <c r="NFH3" t="s">
        <v>9806</v>
      </c>
      <c r="NFI3" t="s">
        <v>9807</v>
      </c>
      <c r="NFJ3" t="s">
        <v>9808</v>
      </c>
      <c r="NFK3" t="s">
        <v>9809</v>
      </c>
      <c r="NFL3" t="s">
        <v>9810</v>
      </c>
      <c r="NFM3" t="s">
        <v>9811</v>
      </c>
      <c r="NFN3" t="s">
        <v>9812</v>
      </c>
      <c r="NFO3" t="s">
        <v>9813</v>
      </c>
      <c r="NFP3" t="s">
        <v>9814</v>
      </c>
      <c r="NFQ3" t="s">
        <v>9815</v>
      </c>
      <c r="NFR3" t="s">
        <v>9816</v>
      </c>
      <c r="NFS3" t="s">
        <v>9817</v>
      </c>
      <c r="NFT3" t="s">
        <v>9818</v>
      </c>
      <c r="NFU3" t="s">
        <v>9819</v>
      </c>
      <c r="NFV3" t="s">
        <v>9820</v>
      </c>
      <c r="NFW3" t="s">
        <v>9821</v>
      </c>
      <c r="NFX3" t="s">
        <v>9822</v>
      </c>
      <c r="NFY3" t="s">
        <v>9823</v>
      </c>
      <c r="NFZ3" t="s">
        <v>9824</v>
      </c>
      <c r="NGA3" t="s">
        <v>9825</v>
      </c>
      <c r="NGB3" t="s">
        <v>9826</v>
      </c>
      <c r="NGC3" t="s">
        <v>9827</v>
      </c>
      <c r="NGD3" t="s">
        <v>9828</v>
      </c>
      <c r="NGE3" t="s">
        <v>9829</v>
      </c>
      <c r="NGF3" t="s">
        <v>9830</v>
      </c>
      <c r="NGG3" t="s">
        <v>9831</v>
      </c>
      <c r="NGH3" t="s">
        <v>9832</v>
      </c>
      <c r="NGI3" t="s">
        <v>9833</v>
      </c>
      <c r="NGJ3" t="s">
        <v>9834</v>
      </c>
      <c r="NGK3" t="s">
        <v>9835</v>
      </c>
      <c r="NGL3" t="s">
        <v>9836</v>
      </c>
      <c r="NGM3" t="s">
        <v>9837</v>
      </c>
      <c r="NGN3" t="s">
        <v>9838</v>
      </c>
      <c r="NGO3" t="s">
        <v>9839</v>
      </c>
      <c r="NGP3" t="s">
        <v>9840</v>
      </c>
      <c r="NGQ3" t="s">
        <v>9841</v>
      </c>
      <c r="NGR3" t="s">
        <v>9842</v>
      </c>
      <c r="NGS3" t="s">
        <v>9843</v>
      </c>
      <c r="NGT3" t="s">
        <v>9844</v>
      </c>
      <c r="NGU3" t="s">
        <v>9845</v>
      </c>
      <c r="NGV3" t="s">
        <v>9846</v>
      </c>
      <c r="NGW3" t="s">
        <v>9847</v>
      </c>
      <c r="NGX3" t="s">
        <v>9848</v>
      </c>
      <c r="NGY3" t="s">
        <v>9849</v>
      </c>
      <c r="NGZ3" t="s">
        <v>9850</v>
      </c>
      <c r="NHA3" t="s">
        <v>9851</v>
      </c>
      <c r="NHB3" t="s">
        <v>9852</v>
      </c>
      <c r="NHC3" t="s">
        <v>9853</v>
      </c>
      <c r="NHD3" t="s">
        <v>9854</v>
      </c>
      <c r="NHE3" t="s">
        <v>9855</v>
      </c>
      <c r="NHF3" t="s">
        <v>9856</v>
      </c>
      <c r="NHG3" t="s">
        <v>9857</v>
      </c>
      <c r="NHH3" t="s">
        <v>9858</v>
      </c>
      <c r="NHI3" t="s">
        <v>9859</v>
      </c>
      <c r="NHJ3" t="s">
        <v>9860</v>
      </c>
      <c r="NHK3" t="s">
        <v>9861</v>
      </c>
      <c r="NHL3" t="s">
        <v>9862</v>
      </c>
      <c r="NHM3" t="s">
        <v>9863</v>
      </c>
      <c r="NHN3" t="s">
        <v>9864</v>
      </c>
      <c r="NHO3" t="s">
        <v>9865</v>
      </c>
      <c r="NHP3" t="s">
        <v>9866</v>
      </c>
      <c r="NHQ3" t="s">
        <v>9867</v>
      </c>
      <c r="NHR3" t="s">
        <v>9868</v>
      </c>
      <c r="NHS3" t="s">
        <v>9869</v>
      </c>
      <c r="NHT3" t="s">
        <v>9870</v>
      </c>
      <c r="NHU3" t="s">
        <v>9871</v>
      </c>
      <c r="NHV3" t="s">
        <v>9872</v>
      </c>
      <c r="NHW3" t="s">
        <v>9873</v>
      </c>
      <c r="NHX3" t="s">
        <v>9874</v>
      </c>
      <c r="NHY3" t="s">
        <v>9875</v>
      </c>
      <c r="NHZ3" t="s">
        <v>9876</v>
      </c>
      <c r="NIA3" t="s">
        <v>9877</v>
      </c>
      <c r="NIB3" t="s">
        <v>9878</v>
      </c>
      <c r="NIC3" t="s">
        <v>9879</v>
      </c>
      <c r="NID3" t="s">
        <v>9880</v>
      </c>
      <c r="NIE3" t="s">
        <v>9881</v>
      </c>
      <c r="NIF3" t="s">
        <v>9882</v>
      </c>
      <c r="NIG3" t="s">
        <v>9883</v>
      </c>
      <c r="NIH3" t="s">
        <v>9884</v>
      </c>
      <c r="NII3" t="s">
        <v>9885</v>
      </c>
      <c r="NIJ3" t="s">
        <v>9886</v>
      </c>
      <c r="NIK3" t="s">
        <v>9887</v>
      </c>
      <c r="NIL3" t="s">
        <v>9888</v>
      </c>
      <c r="NIM3" t="s">
        <v>9889</v>
      </c>
      <c r="NIN3" t="s">
        <v>9890</v>
      </c>
      <c r="NIO3" t="s">
        <v>9891</v>
      </c>
      <c r="NIP3" t="s">
        <v>9892</v>
      </c>
      <c r="NIQ3" t="s">
        <v>9893</v>
      </c>
      <c r="NIR3" t="s">
        <v>9894</v>
      </c>
      <c r="NIS3" t="s">
        <v>9895</v>
      </c>
      <c r="NIT3" t="s">
        <v>9896</v>
      </c>
      <c r="NIU3" t="s">
        <v>9897</v>
      </c>
      <c r="NIV3" t="s">
        <v>9898</v>
      </c>
      <c r="NIW3" t="s">
        <v>9899</v>
      </c>
      <c r="NIX3" t="s">
        <v>9900</v>
      </c>
      <c r="NIY3" t="s">
        <v>9901</v>
      </c>
      <c r="NIZ3" t="s">
        <v>9902</v>
      </c>
      <c r="NJA3" t="s">
        <v>9903</v>
      </c>
      <c r="NJB3" t="s">
        <v>9904</v>
      </c>
      <c r="NJC3" t="s">
        <v>9905</v>
      </c>
      <c r="NJD3" t="s">
        <v>9906</v>
      </c>
      <c r="NJE3" t="s">
        <v>9907</v>
      </c>
      <c r="NJF3" t="s">
        <v>9908</v>
      </c>
      <c r="NJG3" t="s">
        <v>9909</v>
      </c>
      <c r="NJH3" t="s">
        <v>9910</v>
      </c>
      <c r="NJI3" t="s">
        <v>9911</v>
      </c>
      <c r="NJJ3" t="s">
        <v>9912</v>
      </c>
      <c r="NJK3" t="s">
        <v>9913</v>
      </c>
      <c r="NJL3" t="s">
        <v>9914</v>
      </c>
      <c r="NJM3" t="s">
        <v>9915</v>
      </c>
      <c r="NJN3" t="s">
        <v>9916</v>
      </c>
      <c r="NJO3" t="s">
        <v>9917</v>
      </c>
      <c r="NJP3" t="s">
        <v>9918</v>
      </c>
      <c r="NJQ3" t="s">
        <v>9919</v>
      </c>
      <c r="NJR3" t="s">
        <v>9920</v>
      </c>
      <c r="NJS3" t="s">
        <v>9921</v>
      </c>
      <c r="NJT3" t="s">
        <v>9922</v>
      </c>
      <c r="NJU3" t="s">
        <v>9923</v>
      </c>
      <c r="NJV3" t="s">
        <v>9924</v>
      </c>
      <c r="NJW3" t="s">
        <v>9925</v>
      </c>
      <c r="NJX3" t="s">
        <v>9926</v>
      </c>
      <c r="NJY3" t="s">
        <v>9927</v>
      </c>
      <c r="NJZ3" t="s">
        <v>9928</v>
      </c>
      <c r="NKA3" t="s">
        <v>9929</v>
      </c>
      <c r="NKB3" t="s">
        <v>9930</v>
      </c>
      <c r="NKC3" t="s">
        <v>9931</v>
      </c>
      <c r="NKD3" t="s">
        <v>9932</v>
      </c>
      <c r="NKE3" t="s">
        <v>9933</v>
      </c>
      <c r="NKF3" t="s">
        <v>9934</v>
      </c>
      <c r="NKG3" t="s">
        <v>9935</v>
      </c>
      <c r="NKH3" t="s">
        <v>9936</v>
      </c>
      <c r="NKI3" t="s">
        <v>9937</v>
      </c>
      <c r="NKJ3" t="s">
        <v>9938</v>
      </c>
      <c r="NKK3" t="s">
        <v>9939</v>
      </c>
      <c r="NKL3" t="s">
        <v>9940</v>
      </c>
      <c r="NKM3" t="s">
        <v>9941</v>
      </c>
      <c r="NKN3" t="s">
        <v>9942</v>
      </c>
      <c r="NKO3" t="s">
        <v>9943</v>
      </c>
      <c r="NKP3" t="s">
        <v>9944</v>
      </c>
      <c r="NKQ3" t="s">
        <v>9945</v>
      </c>
      <c r="NKR3" t="s">
        <v>9946</v>
      </c>
      <c r="NKS3" t="s">
        <v>9947</v>
      </c>
      <c r="NKT3" t="s">
        <v>9948</v>
      </c>
      <c r="NKU3" t="s">
        <v>9949</v>
      </c>
      <c r="NKV3" t="s">
        <v>9950</v>
      </c>
      <c r="NKW3" t="s">
        <v>9951</v>
      </c>
      <c r="NKX3" t="s">
        <v>9952</v>
      </c>
      <c r="NKY3" t="s">
        <v>9953</v>
      </c>
      <c r="NKZ3" t="s">
        <v>9954</v>
      </c>
      <c r="NLA3" t="s">
        <v>9955</v>
      </c>
      <c r="NLB3" t="s">
        <v>9956</v>
      </c>
      <c r="NLC3" t="s">
        <v>9957</v>
      </c>
      <c r="NLD3" t="s">
        <v>9958</v>
      </c>
      <c r="NLE3" t="s">
        <v>9959</v>
      </c>
      <c r="NLF3" t="s">
        <v>9960</v>
      </c>
      <c r="NLG3" t="s">
        <v>9961</v>
      </c>
      <c r="NLH3" t="s">
        <v>9962</v>
      </c>
      <c r="NLI3" t="s">
        <v>9963</v>
      </c>
      <c r="NLJ3" t="s">
        <v>9964</v>
      </c>
      <c r="NLK3" t="s">
        <v>9965</v>
      </c>
      <c r="NLL3" t="s">
        <v>9966</v>
      </c>
      <c r="NLM3" t="s">
        <v>9967</v>
      </c>
      <c r="NLN3" t="s">
        <v>9968</v>
      </c>
      <c r="NLO3" t="s">
        <v>9969</v>
      </c>
      <c r="NLP3" t="s">
        <v>9970</v>
      </c>
      <c r="NLQ3" t="s">
        <v>9971</v>
      </c>
      <c r="NLR3" t="s">
        <v>9972</v>
      </c>
      <c r="NLS3" t="s">
        <v>9973</v>
      </c>
      <c r="NLT3" t="s">
        <v>9974</v>
      </c>
      <c r="NLU3" t="s">
        <v>9975</v>
      </c>
      <c r="NLV3" t="s">
        <v>9976</v>
      </c>
      <c r="NLW3" t="s">
        <v>9977</v>
      </c>
      <c r="NLX3" t="s">
        <v>9978</v>
      </c>
      <c r="NLY3" t="s">
        <v>9979</v>
      </c>
      <c r="NLZ3" t="s">
        <v>9980</v>
      </c>
      <c r="NMA3" t="s">
        <v>9981</v>
      </c>
      <c r="NMB3" t="s">
        <v>9982</v>
      </c>
      <c r="NMC3" t="s">
        <v>9983</v>
      </c>
      <c r="NMD3" t="s">
        <v>9984</v>
      </c>
      <c r="NME3" t="s">
        <v>9985</v>
      </c>
      <c r="NMF3" t="s">
        <v>9986</v>
      </c>
      <c r="NMG3" t="s">
        <v>9987</v>
      </c>
      <c r="NMH3" t="s">
        <v>9988</v>
      </c>
      <c r="NMI3" t="s">
        <v>9989</v>
      </c>
      <c r="NMJ3" t="s">
        <v>9990</v>
      </c>
      <c r="NMK3" t="s">
        <v>9991</v>
      </c>
      <c r="NML3" t="s">
        <v>9992</v>
      </c>
      <c r="NMM3" t="s">
        <v>9993</v>
      </c>
      <c r="NMN3" t="s">
        <v>9994</v>
      </c>
      <c r="NMO3" t="s">
        <v>9995</v>
      </c>
      <c r="NMP3" t="s">
        <v>9996</v>
      </c>
      <c r="NMQ3" t="s">
        <v>9997</v>
      </c>
      <c r="NMR3" t="s">
        <v>9998</v>
      </c>
      <c r="NMS3" t="s">
        <v>9999</v>
      </c>
      <c r="NMT3" t="s">
        <v>10000</v>
      </c>
      <c r="NMU3" t="s">
        <v>10001</v>
      </c>
      <c r="NMV3" t="s">
        <v>10002</v>
      </c>
      <c r="NMW3" t="s">
        <v>10003</v>
      </c>
      <c r="NMX3" t="s">
        <v>10004</v>
      </c>
      <c r="NMY3" t="s">
        <v>10005</v>
      </c>
      <c r="NMZ3" t="s">
        <v>10006</v>
      </c>
      <c r="NNA3" t="s">
        <v>10007</v>
      </c>
      <c r="NNB3" t="s">
        <v>10008</v>
      </c>
      <c r="NNC3" t="s">
        <v>10009</v>
      </c>
      <c r="NND3" t="s">
        <v>10010</v>
      </c>
      <c r="NNE3" t="s">
        <v>10011</v>
      </c>
      <c r="NNF3" t="s">
        <v>10012</v>
      </c>
      <c r="NNG3" t="s">
        <v>10013</v>
      </c>
      <c r="NNH3" t="s">
        <v>10014</v>
      </c>
      <c r="NNI3" t="s">
        <v>10015</v>
      </c>
      <c r="NNJ3" t="s">
        <v>10016</v>
      </c>
      <c r="NNK3" t="s">
        <v>10017</v>
      </c>
      <c r="NNL3" t="s">
        <v>10018</v>
      </c>
      <c r="NNM3" t="s">
        <v>10019</v>
      </c>
      <c r="NNN3" t="s">
        <v>10020</v>
      </c>
      <c r="NNO3" t="s">
        <v>10021</v>
      </c>
      <c r="NNP3" t="s">
        <v>10022</v>
      </c>
      <c r="NNQ3" t="s">
        <v>10023</v>
      </c>
      <c r="NNR3" t="s">
        <v>10024</v>
      </c>
      <c r="NNS3" t="s">
        <v>10025</v>
      </c>
      <c r="NNT3" t="s">
        <v>10026</v>
      </c>
      <c r="NNU3" t="s">
        <v>10027</v>
      </c>
      <c r="NNV3" t="s">
        <v>10028</v>
      </c>
      <c r="NNW3" t="s">
        <v>10029</v>
      </c>
      <c r="NNX3" t="s">
        <v>10030</v>
      </c>
      <c r="NNY3" t="s">
        <v>10031</v>
      </c>
      <c r="NNZ3" t="s">
        <v>10032</v>
      </c>
      <c r="NOA3" t="s">
        <v>10033</v>
      </c>
      <c r="NOB3" t="s">
        <v>10034</v>
      </c>
      <c r="NOC3" t="s">
        <v>10035</v>
      </c>
      <c r="NOD3" t="s">
        <v>10036</v>
      </c>
      <c r="NOE3" t="s">
        <v>10037</v>
      </c>
      <c r="NOF3" t="s">
        <v>10038</v>
      </c>
      <c r="NOG3" t="s">
        <v>10039</v>
      </c>
      <c r="NOH3" t="s">
        <v>10040</v>
      </c>
      <c r="NOI3" t="s">
        <v>10041</v>
      </c>
      <c r="NOJ3" t="s">
        <v>10042</v>
      </c>
      <c r="NOK3" t="s">
        <v>10043</v>
      </c>
      <c r="NOL3" t="s">
        <v>10044</v>
      </c>
      <c r="NOM3" t="s">
        <v>10045</v>
      </c>
      <c r="NON3" t="s">
        <v>10046</v>
      </c>
      <c r="NOO3" t="s">
        <v>10047</v>
      </c>
      <c r="NOP3" t="s">
        <v>10048</v>
      </c>
      <c r="NOQ3" t="s">
        <v>10049</v>
      </c>
      <c r="NOR3" t="s">
        <v>10050</v>
      </c>
      <c r="NOS3" t="s">
        <v>10051</v>
      </c>
      <c r="NOT3" t="s">
        <v>10052</v>
      </c>
      <c r="NOU3" t="s">
        <v>10053</v>
      </c>
      <c r="NOV3" t="s">
        <v>10054</v>
      </c>
      <c r="NOW3" t="s">
        <v>10055</v>
      </c>
      <c r="NOX3" t="s">
        <v>10056</v>
      </c>
      <c r="NOY3" t="s">
        <v>10057</v>
      </c>
      <c r="NOZ3" t="s">
        <v>10058</v>
      </c>
      <c r="NPA3" t="s">
        <v>10059</v>
      </c>
      <c r="NPB3" t="s">
        <v>10060</v>
      </c>
      <c r="NPC3" t="s">
        <v>10061</v>
      </c>
      <c r="NPD3" t="s">
        <v>10062</v>
      </c>
      <c r="NPE3" t="s">
        <v>10063</v>
      </c>
      <c r="NPF3" t="s">
        <v>10064</v>
      </c>
      <c r="NPG3" t="s">
        <v>10065</v>
      </c>
      <c r="NPH3" t="s">
        <v>10066</v>
      </c>
      <c r="NPI3" t="s">
        <v>10067</v>
      </c>
      <c r="NPJ3" t="s">
        <v>10068</v>
      </c>
      <c r="NPK3" t="s">
        <v>10069</v>
      </c>
      <c r="NPL3" t="s">
        <v>10070</v>
      </c>
      <c r="NPM3" t="s">
        <v>10071</v>
      </c>
      <c r="NPN3" t="s">
        <v>10072</v>
      </c>
      <c r="NPO3" t="s">
        <v>10073</v>
      </c>
      <c r="NPP3" t="s">
        <v>10074</v>
      </c>
      <c r="NPQ3" t="s">
        <v>10075</v>
      </c>
      <c r="NPR3" t="s">
        <v>10076</v>
      </c>
      <c r="NPS3" t="s">
        <v>10077</v>
      </c>
      <c r="NPT3" t="s">
        <v>10078</v>
      </c>
      <c r="NPU3" t="s">
        <v>10079</v>
      </c>
      <c r="NPV3" t="s">
        <v>10080</v>
      </c>
      <c r="NPW3" t="s">
        <v>10081</v>
      </c>
      <c r="NPX3" t="s">
        <v>10082</v>
      </c>
      <c r="NPY3" t="s">
        <v>10083</v>
      </c>
      <c r="NPZ3" t="s">
        <v>10084</v>
      </c>
      <c r="NQA3" t="s">
        <v>10085</v>
      </c>
      <c r="NQB3" t="s">
        <v>10086</v>
      </c>
      <c r="NQC3" t="s">
        <v>10087</v>
      </c>
      <c r="NQD3" t="s">
        <v>10088</v>
      </c>
      <c r="NQE3" t="s">
        <v>10089</v>
      </c>
      <c r="NQF3" t="s">
        <v>10090</v>
      </c>
      <c r="NQG3" t="s">
        <v>10091</v>
      </c>
      <c r="NQH3" t="s">
        <v>10092</v>
      </c>
      <c r="NQI3" t="s">
        <v>10093</v>
      </c>
      <c r="NQJ3" t="s">
        <v>10094</v>
      </c>
      <c r="NQK3" t="s">
        <v>10095</v>
      </c>
      <c r="NQL3" t="s">
        <v>10096</v>
      </c>
      <c r="NQM3" t="s">
        <v>10097</v>
      </c>
      <c r="NQN3" t="s">
        <v>10098</v>
      </c>
      <c r="NQO3" t="s">
        <v>10099</v>
      </c>
      <c r="NQP3" t="s">
        <v>10100</v>
      </c>
      <c r="NQQ3" t="s">
        <v>10101</v>
      </c>
      <c r="NQR3" t="s">
        <v>10102</v>
      </c>
      <c r="NQS3" t="s">
        <v>10103</v>
      </c>
      <c r="NQT3" t="s">
        <v>10104</v>
      </c>
      <c r="NQU3" t="s">
        <v>10105</v>
      </c>
      <c r="NQV3" t="s">
        <v>10106</v>
      </c>
      <c r="NQW3" t="s">
        <v>10107</v>
      </c>
      <c r="NQX3" t="s">
        <v>10108</v>
      </c>
      <c r="NQY3" t="s">
        <v>10109</v>
      </c>
      <c r="NQZ3" t="s">
        <v>10110</v>
      </c>
      <c r="NRA3" t="s">
        <v>10111</v>
      </c>
      <c r="NRB3" t="s">
        <v>10112</v>
      </c>
      <c r="NRC3" t="s">
        <v>10113</v>
      </c>
      <c r="NRD3" t="s">
        <v>10114</v>
      </c>
      <c r="NRE3" t="s">
        <v>10115</v>
      </c>
      <c r="NRF3" t="s">
        <v>10116</v>
      </c>
      <c r="NRG3" t="s">
        <v>10117</v>
      </c>
      <c r="NRH3" t="s">
        <v>10118</v>
      </c>
      <c r="NRI3" t="s">
        <v>10119</v>
      </c>
      <c r="NRJ3" t="s">
        <v>10120</v>
      </c>
      <c r="NRK3" t="s">
        <v>10121</v>
      </c>
      <c r="NRL3" t="s">
        <v>10122</v>
      </c>
      <c r="NRM3" t="s">
        <v>10123</v>
      </c>
      <c r="NRN3" t="s">
        <v>10124</v>
      </c>
      <c r="NRO3" t="s">
        <v>10125</v>
      </c>
      <c r="NRP3" t="s">
        <v>10126</v>
      </c>
      <c r="NRQ3" t="s">
        <v>10127</v>
      </c>
      <c r="NRR3" t="s">
        <v>10128</v>
      </c>
      <c r="NRS3" t="s">
        <v>10129</v>
      </c>
      <c r="NRT3" t="s">
        <v>10130</v>
      </c>
      <c r="NRU3" t="s">
        <v>10131</v>
      </c>
      <c r="NRV3" t="s">
        <v>10132</v>
      </c>
      <c r="NRW3" t="s">
        <v>10133</v>
      </c>
      <c r="NRX3" t="s">
        <v>10134</v>
      </c>
      <c r="NRY3" t="s">
        <v>10135</v>
      </c>
      <c r="NRZ3" t="s">
        <v>10136</v>
      </c>
      <c r="NSA3" t="s">
        <v>10137</v>
      </c>
      <c r="NSB3" t="s">
        <v>10138</v>
      </c>
      <c r="NSC3" t="s">
        <v>10139</v>
      </c>
      <c r="NSD3" t="s">
        <v>10140</v>
      </c>
      <c r="NSE3" t="s">
        <v>10141</v>
      </c>
      <c r="NSF3" t="s">
        <v>10142</v>
      </c>
      <c r="NSG3" t="s">
        <v>10143</v>
      </c>
      <c r="NSH3" t="s">
        <v>10144</v>
      </c>
      <c r="NSI3" t="s">
        <v>10145</v>
      </c>
      <c r="NSJ3" t="s">
        <v>10146</v>
      </c>
      <c r="NSK3" t="s">
        <v>10147</v>
      </c>
      <c r="NSL3" t="s">
        <v>10148</v>
      </c>
      <c r="NSM3" t="s">
        <v>10149</v>
      </c>
      <c r="NSN3" t="s">
        <v>10150</v>
      </c>
      <c r="NSO3" t="s">
        <v>10151</v>
      </c>
      <c r="NSP3" t="s">
        <v>10152</v>
      </c>
      <c r="NSQ3" t="s">
        <v>10153</v>
      </c>
      <c r="NSR3" t="s">
        <v>10154</v>
      </c>
      <c r="NSS3" t="s">
        <v>10155</v>
      </c>
      <c r="NST3" t="s">
        <v>10156</v>
      </c>
      <c r="NSU3" t="s">
        <v>10157</v>
      </c>
      <c r="NSV3" t="s">
        <v>10158</v>
      </c>
      <c r="NSW3" t="s">
        <v>10159</v>
      </c>
      <c r="NSX3" t="s">
        <v>10160</v>
      </c>
      <c r="NSY3" t="s">
        <v>10161</v>
      </c>
      <c r="NSZ3" t="s">
        <v>10162</v>
      </c>
      <c r="NTA3" t="s">
        <v>10163</v>
      </c>
      <c r="NTB3" t="s">
        <v>10164</v>
      </c>
      <c r="NTC3" t="s">
        <v>10165</v>
      </c>
      <c r="NTD3" t="s">
        <v>10166</v>
      </c>
      <c r="NTE3" t="s">
        <v>10167</v>
      </c>
      <c r="NTF3" t="s">
        <v>10168</v>
      </c>
      <c r="NTG3" t="s">
        <v>10169</v>
      </c>
      <c r="NTH3" t="s">
        <v>10170</v>
      </c>
      <c r="NTI3" t="s">
        <v>10171</v>
      </c>
      <c r="NTJ3" t="s">
        <v>10172</v>
      </c>
      <c r="NTK3" t="s">
        <v>10173</v>
      </c>
      <c r="NTL3" t="s">
        <v>10174</v>
      </c>
      <c r="NTM3" t="s">
        <v>10175</v>
      </c>
      <c r="NTN3" t="s">
        <v>10176</v>
      </c>
      <c r="NTO3" t="s">
        <v>10177</v>
      </c>
      <c r="NTP3" t="s">
        <v>10178</v>
      </c>
      <c r="NTQ3" t="s">
        <v>10179</v>
      </c>
      <c r="NTR3" t="s">
        <v>10180</v>
      </c>
      <c r="NTS3" t="s">
        <v>10181</v>
      </c>
      <c r="NTT3" t="s">
        <v>10182</v>
      </c>
      <c r="NTU3" t="s">
        <v>10183</v>
      </c>
      <c r="NTV3" t="s">
        <v>10184</v>
      </c>
      <c r="NTW3" t="s">
        <v>10185</v>
      </c>
      <c r="NTX3" t="s">
        <v>10186</v>
      </c>
      <c r="NTY3" t="s">
        <v>10187</v>
      </c>
      <c r="NTZ3" t="s">
        <v>10188</v>
      </c>
      <c r="NUA3" t="s">
        <v>10189</v>
      </c>
      <c r="NUB3" t="s">
        <v>10190</v>
      </c>
      <c r="NUC3" t="s">
        <v>10191</v>
      </c>
      <c r="NUD3" t="s">
        <v>10192</v>
      </c>
      <c r="NUE3" t="s">
        <v>10193</v>
      </c>
      <c r="NUF3" t="s">
        <v>10194</v>
      </c>
      <c r="NUG3" t="s">
        <v>10195</v>
      </c>
      <c r="NUH3" t="s">
        <v>10196</v>
      </c>
      <c r="NUI3" t="s">
        <v>10197</v>
      </c>
      <c r="NUJ3" t="s">
        <v>10198</v>
      </c>
      <c r="NUK3" t="s">
        <v>10199</v>
      </c>
      <c r="NUL3" t="s">
        <v>10200</v>
      </c>
      <c r="NUM3" t="s">
        <v>10201</v>
      </c>
      <c r="NUN3" t="s">
        <v>10202</v>
      </c>
      <c r="NUO3" t="s">
        <v>10203</v>
      </c>
      <c r="NUP3" t="s">
        <v>10204</v>
      </c>
      <c r="NUQ3" t="s">
        <v>10205</v>
      </c>
      <c r="NUR3" t="s">
        <v>10206</v>
      </c>
      <c r="NUS3" t="s">
        <v>10207</v>
      </c>
      <c r="NUT3" t="s">
        <v>10208</v>
      </c>
      <c r="NUU3" t="s">
        <v>10209</v>
      </c>
      <c r="NUV3" t="s">
        <v>10210</v>
      </c>
      <c r="NUW3" t="s">
        <v>10211</v>
      </c>
      <c r="NUX3" t="s">
        <v>10212</v>
      </c>
      <c r="NUY3" t="s">
        <v>10213</v>
      </c>
      <c r="NUZ3" t="s">
        <v>10214</v>
      </c>
      <c r="NVA3" t="s">
        <v>10215</v>
      </c>
      <c r="NVB3" t="s">
        <v>10216</v>
      </c>
      <c r="NVC3" t="s">
        <v>10217</v>
      </c>
      <c r="NVD3" t="s">
        <v>10218</v>
      </c>
      <c r="NVE3" t="s">
        <v>10219</v>
      </c>
      <c r="NVF3" t="s">
        <v>10220</v>
      </c>
      <c r="NVG3" t="s">
        <v>10221</v>
      </c>
      <c r="NVH3" t="s">
        <v>10222</v>
      </c>
      <c r="NVI3" t="s">
        <v>10223</v>
      </c>
      <c r="NVJ3" t="s">
        <v>10224</v>
      </c>
      <c r="NVK3" t="s">
        <v>10225</v>
      </c>
      <c r="NVL3" t="s">
        <v>10226</v>
      </c>
      <c r="NVM3" t="s">
        <v>10227</v>
      </c>
      <c r="NVN3" t="s">
        <v>10228</v>
      </c>
      <c r="NVO3" t="s">
        <v>10229</v>
      </c>
      <c r="NVP3" t="s">
        <v>10230</v>
      </c>
      <c r="NVQ3" t="s">
        <v>10231</v>
      </c>
      <c r="NVR3" t="s">
        <v>10232</v>
      </c>
      <c r="NVS3" t="s">
        <v>10233</v>
      </c>
      <c r="NVT3" t="s">
        <v>10234</v>
      </c>
      <c r="NVU3" t="s">
        <v>10235</v>
      </c>
      <c r="NVV3" t="s">
        <v>10236</v>
      </c>
      <c r="NVW3" t="s">
        <v>10237</v>
      </c>
      <c r="NVX3" t="s">
        <v>10238</v>
      </c>
      <c r="NVY3" t="s">
        <v>10239</v>
      </c>
      <c r="NVZ3" t="s">
        <v>10240</v>
      </c>
      <c r="NWA3" t="s">
        <v>10241</v>
      </c>
      <c r="NWB3" t="s">
        <v>10242</v>
      </c>
      <c r="NWC3" t="s">
        <v>10243</v>
      </c>
      <c r="NWD3" t="s">
        <v>10244</v>
      </c>
      <c r="NWE3" t="s">
        <v>10245</v>
      </c>
      <c r="NWF3" t="s">
        <v>10246</v>
      </c>
      <c r="NWG3" t="s">
        <v>10247</v>
      </c>
      <c r="NWH3" t="s">
        <v>10248</v>
      </c>
      <c r="NWI3" t="s">
        <v>10249</v>
      </c>
      <c r="NWJ3" t="s">
        <v>10250</v>
      </c>
      <c r="NWK3" t="s">
        <v>10251</v>
      </c>
      <c r="NWL3" t="s">
        <v>10252</v>
      </c>
      <c r="NWM3" t="s">
        <v>10253</v>
      </c>
      <c r="NWN3" t="s">
        <v>10254</v>
      </c>
      <c r="NWO3" t="s">
        <v>10255</v>
      </c>
      <c r="NWP3" t="s">
        <v>10256</v>
      </c>
      <c r="NWQ3" t="s">
        <v>10257</v>
      </c>
      <c r="NWR3" t="s">
        <v>10258</v>
      </c>
      <c r="NWS3" t="s">
        <v>10259</v>
      </c>
      <c r="NWT3" t="s">
        <v>10260</v>
      </c>
      <c r="NWU3" t="s">
        <v>10261</v>
      </c>
      <c r="NWV3" t="s">
        <v>10262</v>
      </c>
      <c r="NWW3" t="s">
        <v>10263</v>
      </c>
      <c r="NWX3" t="s">
        <v>10264</v>
      </c>
      <c r="NWY3" t="s">
        <v>10265</v>
      </c>
      <c r="NWZ3" t="s">
        <v>10266</v>
      </c>
      <c r="NXA3" t="s">
        <v>10267</v>
      </c>
      <c r="NXB3" t="s">
        <v>10268</v>
      </c>
      <c r="NXC3" t="s">
        <v>10269</v>
      </c>
      <c r="NXD3" t="s">
        <v>10270</v>
      </c>
      <c r="NXE3" t="s">
        <v>10271</v>
      </c>
      <c r="NXF3" t="s">
        <v>10272</v>
      </c>
      <c r="NXG3" t="s">
        <v>10273</v>
      </c>
      <c r="NXH3" t="s">
        <v>10274</v>
      </c>
      <c r="NXI3" t="s">
        <v>10275</v>
      </c>
      <c r="NXJ3" t="s">
        <v>10276</v>
      </c>
      <c r="NXK3" t="s">
        <v>10277</v>
      </c>
      <c r="NXL3" t="s">
        <v>10278</v>
      </c>
      <c r="NXM3" t="s">
        <v>10279</v>
      </c>
      <c r="NXN3" t="s">
        <v>10280</v>
      </c>
      <c r="NXO3" t="s">
        <v>10281</v>
      </c>
      <c r="NXP3" t="s">
        <v>10282</v>
      </c>
      <c r="NXQ3" t="s">
        <v>10283</v>
      </c>
      <c r="NXR3" t="s">
        <v>10284</v>
      </c>
      <c r="NXS3" t="s">
        <v>10285</v>
      </c>
      <c r="NXT3" t="s">
        <v>10286</v>
      </c>
      <c r="NXU3" t="s">
        <v>10287</v>
      </c>
      <c r="NXV3" t="s">
        <v>10288</v>
      </c>
      <c r="NXW3" t="s">
        <v>10289</v>
      </c>
      <c r="NXX3" t="s">
        <v>10290</v>
      </c>
      <c r="NXY3" t="s">
        <v>10291</v>
      </c>
      <c r="NXZ3" t="s">
        <v>10292</v>
      </c>
      <c r="NYA3" t="s">
        <v>10293</v>
      </c>
      <c r="NYB3" t="s">
        <v>10294</v>
      </c>
      <c r="NYC3" t="s">
        <v>10295</v>
      </c>
      <c r="NYD3" t="s">
        <v>10296</v>
      </c>
      <c r="NYE3" t="s">
        <v>10297</v>
      </c>
      <c r="NYF3" t="s">
        <v>10298</v>
      </c>
      <c r="NYG3" t="s">
        <v>10299</v>
      </c>
      <c r="NYH3" t="s">
        <v>10300</v>
      </c>
      <c r="NYI3" t="s">
        <v>10301</v>
      </c>
      <c r="NYJ3" t="s">
        <v>10302</v>
      </c>
      <c r="NYK3" t="s">
        <v>10303</v>
      </c>
      <c r="NYL3" t="s">
        <v>10304</v>
      </c>
      <c r="NYM3" t="s">
        <v>10305</v>
      </c>
      <c r="NYN3" t="s">
        <v>10306</v>
      </c>
      <c r="NYO3" t="s">
        <v>10307</v>
      </c>
      <c r="NYP3" t="s">
        <v>10308</v>
      </c>
      <c r="NYQ3" t="s">
        <v>10309</v>
      </c>
      <c r="NYR3" t="s">
        <v>10310</v>
      </c>
      <c r="NYS3" t="s">
        <v>10311</v>
      </c>
      <c r="NYT3" t="s">
        <v>10312</v>
      </c>
      <c r="NYU3" t="s">
        <v>10313</v>
      </c>
      <c r="NYV3" t="s">
        <v>10314</v>
      </c>
      <c r="NYW3" t="s">
        <v>10315</v>
      </c>
      <c r="NYX3" t="s">
        <v>10316</v>
      </c>
      <c r="NYY3" t="s">
        <v>10317</v>
      </c>
      <c r="NYZ3" t="s">
        <v>10318</v>
      </c>
      <c r="NZA3" t="s">
        <v>10319</v>
      </c>
      <c r="NZB3" t="s">
        <v>10320</v>
      </c>
      <c r="NZC3" t="s">
        <v>10321</v>
      </c>
      <c r="NZD3" t="s">
        <v>10322</v>
      </c>
      <c r="NZE3" t="s">
        <v>10323</v>
      </c>
      <c r="NZF3" t="s">
        <v>10324</v>
      </c>
      <c r="NZG3" t="s">
        <v>10325</v>
      </c>
      <c r="NZH3" t="s">
        <v>10326</v>
      </c>
      <c r="NZI3" t="s">
        <v>10327</v>
      </c>
      <c r="NZJ3" t="s">
        <v>10328</v>
      </c>
      <c r="NZK3" t="s">
        <v>10329</v>
      </c>
      <c r="NZL3" t="s">
        <v>10330</v>
      </c>
      <c r="NZM3" t="s">
        <v>10331</v>
      </c>
      <c r="NZN3" t="s">
        <v>10332</v>
      </c>
      <c r="NZO3" t="s">
        <v>10333</v>
      </c>
      <c r="NZP3" t="s">
        <v>10334</v>
      </c>
      <c r="NZQ3" t="s">
        <v>10335</v>
      </c>
      <c r="NZR3" t="s">
        <v>10336</v>
      </c>
      <c r="NZS3" t="s">
        <v>10337</v>
      </c>
      <c r="NZT3" t="s">
        <v>10338</v>
      </c>
      <c r="NZU3" t="s">
        <v>10339</v>
      </c>
      <c r="NZV3" t="s">
        <v>10340</v>
      </c>
      <c r="NZW3" t="s">
        <v>10341</v>
      </c>
      <c r="NZX3" t="s">
        <v>10342</v>
      </c>
      <c r="NZY3" t="s">
        <v>10343</v>
      </c>
      <c r="NZZ3" t="s">
        <v>10344</v>
      </c>
      <c r="OAA3" t="s">
        <v>10345</v>
      </c>
      <c r="OAB3" t="s">
        <v>10346</v>
      </c>
      <c r="OAC3" t="s">
        <v>10347</v>
      </c>
      <c r="OAD3" t="s">
        <v>10348</v>
      </c>
      <c r="OAE3" t="s">
        <v>10349</v>
      </c>
      <c r="OAF3" t="s">
        <v>10350</v>
      </c>
      <c r="OAG3" t="s">
        <v>10351</v>
      </c>
      <c r="OAH3" t="s">
        <v>10352</v>
      </c>
      <c r="OAI3" t="s">
        <v>10353</v>
      </c>
      <c r="OAJ3" t="s">
        <v>10354</v>
      </c>
      <c r="OAK3" t="s">
        <v>10355</v>
      </c>
      <c r="OAL3" t="s">
        <v>10356</v>
      </c>
      <c r="OAM3" t="s">
        <v>10357</v>
      </c>
      <c r="OAN3" t="s">
        <v>10358</v>
      </c>
      <c r="OAO3" t="s">
        <v>10359</v>
      </c>
      <c r="OAP3" t="s">
        <v>10360</v>
      </c>
      <c r="OAQ3" t="s">
        <v>10361</v>
      </c>
      <c r="OAR3" t="s">
        <v>10362</v>
      </c>
      <c r="OAS3" t="s">
        <v>10363</v>
      </c>
      <c r="OAT3" t="s">
        <v>10364</v>
      </c>
      <c r="OAU3" t="s">
        <v>10365</v>
      </c>
      <c r="OAV3" t="s">
        <v>10366</v>
      </c>
      <c r="OAW3" t="s">
        <v>10367</v>
      </c>
      <c r="OAX3" t="s">
        <v>10368</v>
      </c>
      <c r="OAY3" t="s">
        <v>10369</v>
      </c>
      <c r="OAZ3" t="s">
        <v>10370</v>
      </c>
      <c r="OBA3" t="s">
        <v>10371</v>
      </c>
      <c r="OBB3" t="s">
        <v>10372</v>
      </c>
      <c r="OBC3" t="s">
        <v>10373</v>
      </c>
      <c r="OBD3" t="s">
        <v>10374</v>
      </c>
      <c r="OBE3" t="s">
        <v>10375</v>
      </c>
      <c r="OBF3" t="s">
        <v>10376</v>
      </c>
      <c r="OBG3" t="s">
        <v>10377</v>
      </c>
      <c r="OBH3" t="s">
        <v>10378</v>
      </c>
      <c r="OBI3" t="s">
        <v>10379</v>
      </c>
      <c r="OBJ3" t="s">
        <v>10380</v>
      </c>
      <c r="OBK3" t="s">
        <v>10381</v>
      </c>
      <c r="OBL3" t="s">
        <v>10382</v>
      </c>
      <c r="OBM3" t="s">
        <v>10383</v>
      </c>
      <c r="OBN3" t="s">
        <v>10384</v>
      </c>
      <c r="OBO3" t="s">
        <v>10385</v>
      </c>
      <c r="OBP3" t="s">
        <v>10386</v>
      </c>
      <c r="OBQ3" t="s">
        <v>10387</v>
      </c>
      <c r="OBR3" t="s">
        <v>10388</v>
      </c>
      <c r="OBS3" t="s">
        <v>10389</v>
      </c>
      <c r="OBT3" t="s">
        <v>10390</v>
      </c>
      <c r="OBU3" t="s">
        <v>10391</v>
      </c>
      <c r="OBV3" t="s">
        <v>10392</v>
      </c>
      <c r="OBW3" t="s">
        <v>10393</v>
      </c>
      <c r="OBX3" t="s">
        <v>10394</v>
      </c>
      <c r="OBY3" t="s">
        <v>10395</v>
      </c>
      <c r="OBZ3" t="s">
        <v>10396</v>
      </c>
      <c r="OCA3" t="s">
        <v>10397</v>
      </c>
      <c r="OCB3" t="s">
        <v>10398</v>
      </c>
      <c r="OCC3" t="s">
        <v>10399</v>
      </c>
      <c r="OCD3" t="s">
        <v>10400</v>
      </c>
      <c r="OCE3" t="s">
        <v>10401</v>
      </c>
      <c r="OCF3" t="s">
        <v>10402</v>
      </c>
      <c r="OCG3" t="s">
        <v>10403</v>
      </c>
      <c r="OCH3" t="s">
        <v>10404</v>
      </c>
      <c r="OCI3" t="s">
        <v>10405</v>
      </c>
      <c r="OCJ3" t="s">
        <v>10406</v>
      </c>
      <c r="OCK3" t="s">
        <v>10407</v>
      </c>
      <c r="OCL3" t="s">
        <v>10408</v>
      </c>
      <c r="OCM3" t="s">
        <v>10409</v>
      </c>
      <c r="OCN3" t="s">
        <v>10410</v>
      </c>
      <c r="OCO3" t="s">
        <v>10411</v>
      </c>
      <c r="OCP3" t="s">
        <v>10412</v>
      </c>
      <c r="OCQ3" t="s">
        <v>10413</v>
      </c>
      <c r="OCR3" t="s">
        <v>10414</v>
      </c>
      <c r="OCS3" t="s">
        <v>10415</v>
      </c>
      <c r="OCT3" t="s">
        <v>10416</v>
      </c>
      <c r="OCU3" t="s">
        <v>10417</v>
      </c>
      <c r="OCV3" t="s">
        <v>10418</v>
      </c>
      <c r="OCW3" t="s">
        <v>10419</v>
      </c>
      <c r="OCX3" t="s">
        <v>10420</v>
      </c>
      <c r="OCY3" t="s">
        <v>10421</v>
      </c>
      <c r="OCZ3" t="s">
        <v>10422</v>
      </c>
      <c r="ODA3" t="s">
        <v>10423</v>
      </c>
      <c r="ODB3" t="s">
        <v>10424</v>
      </c>
      <c r="ODC3" t="s">
        <v>10425</v>
      </c>
      <c r="ODD3" t="s">
        <v>10426</v>
      </c>
      <c r="ODE3" t="s">
        <v>10427</v>
      </c>
      <c r="ODF3" t="s">
        <v>10428</v>
      </c>
      <c r="ODG3" t="s">
        <v>10429</v>
      </c>
      <c r="ODH3" t="s">
        <v>10430</v>
      </c>
      <c r="ODI3" t="s">
        <v>10431</v>
      </c>
      <c r="ODJ3" t="s">
        <v>10432</v>
      </c>
      <c r="ODK3" t="s">
        <v>10433</v>
      </c>
      <c r="ODL3" t="s">
        <v>10434</v>
      </c>
      <c r="ODM3" t="s">
        <v>10435</v>
      </c>
      <c r="ODN3" t="s">
        <v>10436</v>
      </c>
      <c r="ODO3" t="s">
        <v>10437</v>
      </c>
      <c r="ODP3" t="s">
        <v>10438</v>
      </c>
      <c r="ODQ3" t="s">
        <v>10439</v>
      </c>
      <c r="ODR3" t="s">
        <v>10440</v>
      </c>
      <c r="ODS3" t="s">
        <v>10441</v>
      </c>
      <c r="ODT3" t="s">
        <v>10442</v>
      </c>
      <c r="ODU3" t="s">
        <v>10443</v>
      </c>
      <c r="ODV3" t="s">
        <v>10444</v>
      </c>
      <c r="ODW3" t="s">
        <v>10445</v>
      </c>
      <c r="ODX3" t="s">
        <v>10446</v>
      </c>
      <c r="ODY3" t="s">
        <v>10447</v>
      </c>
      <c r="ODZ3" t="s">
        <v>10448</v>
      </c>
      <c r="OEA3" t="s">
        <v>10449</v>
      </c>
      <c r="OEB3" t="s">
        <v>10450</v>
      </c>
      <c r="OEC3" t="s">
        <v>10451</v>
      </c>
      <c r="OED3" t="s">
        <v>10452</v>
      </c>
      <c r="OEE3" t="s">
        <v>10453</v>
      </c>
      <c r="OEF3" t="s">
        <v>10454</v>
      </c>
      <c r="OEG3" t="s">
        <v>10455</v>
      </c>
      <c r="OEH3" t="s">
        <v>10456</v>
      </c>
      <c r="OEI3" t="s">
        <v>10457</v>
      </c>
      <c r="OEJ3" t="s">
        <v>10458</v>
      </c>
      <c r="OEK3" t="s">
        <v>10459</v>
      </c>
      <c r="OEL3" t="s">
        <v>10460</v>
      </c>
      <c r="OEM3" t="s">
        <v>10461</v>
      </c>
      <c r="OEN3" t="s">
        <v>10462</v>
      </c>
      <c r="OEO3" t="s">
        <v>10463</v>
      </c>
      <c r="OEP3" t="s">
        <v>10464</v>
      </c>
      <c r="OEQ3" t="s">
        <v>10465</v>
      </c>
      <c r="OER3" t="s">
        <v>10466</v>
      </c>
      <c r="OES3" t="s">
        <v>10467</v>
      </c>
      <c r="OET3" t="s">
        <v>10468</v>
      </c>
      <c r="OEU3" t="s">
        <v>10469</v>
      </c>
      <c r="OEV3" t="s">
        <v>10470</v>
      </c>
      <c r="OEW3" t="s">
        <v>10471</v>
      </c>
      <c r="OEX3" t="s">
        <v>10472</v>
      </c>
      <c r="OEY3" t="s">
        <v>10473</v>
      </c>
      <c r="OEZ3" t="s">
        <v>10474</v>
      </c>
      <c r="OFA3" t="s">
        <v>10475</v>
      </c>
      <c r="OFB3" t="s">
        <v>10476</v>
      </c>
      <c r="OFC3" t="s">
        <v>10477</v>
      </c>
      <c r="OFD3" t="s">
        <v>10478</v>
      </c>
      <c r="OFE3" t="s">
        <v>10479</v>
      </c>
      <c r="OFF3" t="s">
        <v>10480</v>
      </c>
      <c r="OFG3" t="s">
        <v>10481</v>
      </c>
      <c r="OFH3" t="s">
        <v>10482</v>
      </c>
      <c r="OFI3" t="s">
        <v>10483</v>
      </c>
      <c r="OFJ3" t="s">
        <v>10484</v>
      </c>
      <c r="OFK3" t="s">
        <v>10485</v>
      </c>
      <c r="OFL3" t="s">
        <v>10486</v>
      </c>
      <c r="OFM3" t="s">
        <v>10487</v>
      </c>
      <c r="OFN3" t="s">
        <v>10488</v>
      </c>
      <c r="OFO3" t="s">
        <v>10489</v>
      </c>
      <c r="OFP3" t="s">
        <v>10490</v>
      </c>
      <c r="OFQ3" t="s">
        <v>10491</v>
      </c>
      <c r="OFR3" t="s">
        <v>10492</v>
      </c>
      <c r="OFS3" t="s">
        <v>10493</v>
      </c>
      <c r="OFT3" t="s">
        <v>10494</v>
      </c>
      <c r="OFU3" t="s">
        <v>10495</v>
      </c>
      <c r="OFV3" t="s">
        <v>10496</v>
      </c>
      <c r="OFW3" t="s">
        <v>10497</v>
      </c>
      <c r="OFX3" t="s">
        <v>10498</v>
      </c>
      <c r="OFY3" t="s">
        <v>10499</v>
      </c>
      <c r="OFZ3" t="s">
        <v>10500</v>
      </c>
      <c r="OGA3" t="s">
        <v>10501</v>
      </c>
      <c r="OGB3" t="s">
        <v>10502</v>
      </c>
      <c r="OGC3" t="s">
        <v>10503</v>
      </c>
      <c r="OGD3" t="s">
        <v>10504</v>
      </c>
      <c r="OGE3" t="s">
        <v>10505</v>
      </c>
      <c r="OGF3" t="s">
        <v>10506</v>
      </c>
      <c r="OGG3" t="s">
        <v>10507</v>
      </c>
      <c r="OGH3" t="s">
        <v>10508</v>
      </c>
      <c r="OGI3" t="s">
        <v>10509</v>
      </c>
      <c r="OGJ3" t="s">
        <v>10510</v>
      </c>
      <c r="OGK3" t="s">
        <v>10511</v>
      </c>
      <c r="OGL3" t="s">
        <v>10512</v>
      </c>
      <c r="OGM3" t="s">
        <v>10513</v>
      </c>
      <c r="OGN3" t="s">
        <v>10514</v>
      </c>
      <c r="OGO3" t="s">
        <v>10515</v>
      </c>
      <c r="OGP3" t="s">
        <v>10516</v>
      </c>
      <c r="OGQ3" t="s">
        <v>10517</v>
      </c>
      <c r="OGR3" t="s">
        <v>10518</v>
      </c>
      <c r="OGS3" t="s">
        <v>10519</v>
      </c>
      <c r="OGT3" t="s">
        <v>10520</v>
      </c>
      <c r="OGU3" t="s">
        <v>10521</v>
      </c>
      <c r="OGV3" t="s">
        <v>10522</v>
      </c>
      <c r="OGW3" t="s">
        <v>10523</v>
      </c>
      <c r="OGX3" t="s">
        <v>10524</v>
      </c>
      <c r="OGY3" t="s">
        <v>10525</v>
      </c>
      <c r="OGZ3" t="s">
        <v>10526</v>
      </c>
      <c r="OHA3" t="s">
        <v>10527</v>
      </c>
      <c r="OHB3" t="s">
        <v>10528</v>
      </c>
      <c r="OHC3" t="s">
        <v>10529</v>
      </c>
      <c r="OHD3" t="s">
        <v>10530</v>
      </c>
      <c r="OHE3" t="s">
        <v>10531</v>
      </c>
      <c r="OHF3" t="s">
        <v>10532</v>
      </c>
      <c r="OHG3" t="s">
        <v>10533</v>
      </c>
      <c r="OHH3" t="s">
        <v>10534</v>
      </c>
      <c r="OHI3" t="s">
        <v>10535</v>
      </c>
      <c r="OHJ3" t="s">
        <v>10536</v>
      </c>
      <c r="OHK3" t="s">
        <v>10537</v>
      </c>
      <c r="OHL3" t="s">
        <v>10538</v>
      </c>
      <c r="OHM3" t="s">
        <v>10539</v>
      </c>
      <c r="OHN3" t="s">
        <v>10540</v>
      </c>
      <c r="OHO3" t="s">
        <v>10541</v>
      </c>
      <c r="OHP3" t="s">
        <v>10542</v>
      </c>
      <c r="OHQ3" t="s">
        <v>10543</v>
      </c>
      <c r="OHR3" t="s">
        <v>10544</v>
      </c>
      <c r="OHS3" t="s">
        <v>10545</v>
      </c>
      <c r="OHT3" t="s">
        <v>10546</v>
      </c>
      <c r="OHU3" t="s">
        <v>10547</v>
      </c>
      <c r="OHV3" t="s">
        <v>10548</v>
      </c>
      <c r="OHW3" t="s">
        <v>10549</v>
      </c>
      <c r="OHX3" t="s">
        <v>10550</v>
      </c>
      <c r="OHY3" t="s">
        <v>10551</v>
      </c>
      <c r="OHZ3" t="s">
        <v>10552</v>
      </c>
      <c r="OIA3" t="s">
        <v>10553</v>
      </c>
      <c r="OIB3" t="s">
        <v>10554</v>
      </c>
      <c r="OIC3" t="s">
        <v>10555</v>
      </c>
      <c r="OID3" t="s">
        <v>10556</v>
      </c>
      <c r="OIE3" t="s">
        <v>10557</v>
      </c>
      <c r="OIF3" t="s">
        <v>10558</v>
      </c>
      <c r="OIG3" t="s">
        <v>10559</v>
      </c>
      <c r="OIH3" t="s">
        <v>10560</v>
      </c>
      <c r="OII3" t="s">
        <v>10561</v>
      </c>
      <c r="OIJ3" t="s">
        <v>10562</v>
      </c>
      <c r="OIK3" t="s">
        <v>10563</v>
      </c>
      <c r="OIL3" t="s">
        <v>10564</v>
      </c>
      <c r="OIM3" t="s">
        <v>10565</v>
      </c>
      <c r="OIN3" t="s">
        <v>10566</v>
      </c>
      <c r="OIO3" t="s">
        <v>10567</v>
      </c>
      <c r="OIP3" t="s">
        <v>10568</v>
      </c>
      <c r="OIQ3" t="s">
        <v>10569</v>
      </c>
      <c r="OIR3" t="s">
        <v>10570</v>
      </c>
      <c r="OIS3" t="s">
        <v>10571</v>
      </c>
      <c r="OIT3" t="s">
        <v>10572</v>
      </c>
      <c r="OIU3" t="s">
        <v>10573</v>
      </c>
      <c r="OIV3" t="s">
        <v>10574</v>
      </c>
      <c r="OIW3" t="s">
        <v>10575</v>
      </c>
      <c r="OIX3" t="s">
        <v>10576</v>
      </c>
      <c r="OIY3" t="s">
        <v>10577</v>
      </c>
      <c r="OIZ3" t="s">
        <v>10578</v>
      </c>
      <c r="OJA3" t="s">
        <v>10579</v>
      </c>
      <c r="OJB3" t="s">
        <v>10580</v>
      </c>
      <c r="OJC3" t="s">
        <v>10581</v>
      </c>
      <c r="OJD3" t="s">
        <v>10582</v>
      </c>
      <c r="OJE3" t="s">
        <v>10583</v>
      </c>
      <c r="OJF3" t="s">
        <v>10584</v>
      </c>
      <c r="OJG3" t="s">
        <v>10585</v>
      </c>
      <c r="OJH3" t="s">
        <v>10586</v>
      </c>
      <c r="OJI3" t="s">
        <v>10587</v>
      </c>
      <c r="OJJ3" t="s">
        <v>10588</v>
      </c>
      <c r="OJK3" t="s">
        <v>10589</v>
      </c>
      <c r="OJL3" t="s">
        <v>10590</v>
      </c>
      <c r="OJM3" t="s">
        <v>10591</v>
      </c>
      <c r="OJN3" t="s">
        <v>10592</v>
      </c>
      <c r="OJO3" t="s">
        <v>10593</v>
      </c>
      <c r="OJP3" t="s">
        <v>10594</v>
      </c>
      <c r="OJQ3" t="s">
        <v>10595</v>
      </c>
      <c r="OJR3" t="s">
        <v>10596</v>
      </c>
      <c r="OJS3" t="s">
        <v>10597</v>
      </c>
      <c r="OJT3" t="s">
        <v>10598</v>
      </c>
      <c r="OJU3" t="s">
        <v>10599</v>
      </c>
      <c r="OJV3" t="s">
        <v>10600</v>
      </c>
      <c r="OJW3" t="s">
        <v>10601</v>
      </c>
      <c r="OJX3" t="s">
        <v>10602</v>
      </c>
      <c r="OJY3" t="s">
        <v>10603</v>
      </c>
      <c r="OJZ3" t="s">
        <v>10604</v>
      </c>
      <c r="OKA3" t="s">
        <v>10605</v>
      </c>
      <c r="OKB3" t="s">
        <v>10606</v>
      </c>
      <c r="OKC3" t="s">
        <v>10607</v>
      </c>
      <c r="OKD3" t="s">
        <v>10608</v>
      </c>
      <c r="OKE3" t="s">
        <v>10609</v>
      </c>
      <c r="OKF3" t="s">
        <v>10610</v>
      </c>
      <c r="OKG3" t="s">
        <v>10611</v>
      </c>
      <c r="OKH3" t="s">
        <v>10612</v>
      </c>
      <c r="OKI3" t="s">
        <v>10613</v>
      </c>
      <c r="OKJ3" t="s">
        <v>10614</v>
      </c>
      <c r="OKK3" t="s">
        <v>10615</v>
      </c>
      <c r="OKL3" t="s">
        <v>10616</v>
      </c>
      <c r="OKM3" t="s">
        <v>10617</v>
      </c>
      <c r="OKN3" t="s">
        <v>10618</v>
      </c>
      <c r="OKO3" t="s">
        <v>10619</v>
      </c>
      <c r="OKP3" t="s">
        <v>10620</v>
      </c>
      <c r="OKQ3" t="s">
        <v>10621</v>
      </c>
      <c r="OKR3" t="s">
        <v>10622</v>
      </c>
      <c r="OKS3" t="s">
        <v>10623</v>
      </c>
      <c r="OKT3" t="s">
        <v>10624</v>
      </c>
      <c r="OKU3" t="s">
        <v>10625</v>
      </c>
      <c r="OKV3" t="s">
        <v>10626</v>
      </c>
      <c r="OKW3" t="s">
        <v>10627</v>
      </c>
      <c r="OKX3" t="s">
        <v>10628</v>
      </c>
      <c r="OKY3" t="s">
        <v>10629</v>
      </c>
      <c r="OKZ3" t="s">
        <v>10630</v>
      </c>
      <c r="OLA3" t="s">
        <v>10631</v>
      </c>
      <c r="OLB3" t="s">
        <v>10632</v>
      </c>
      <c r="OLC3" t="s">
        <v>10633</v>
      </c>
      <c r="OLD3" t="s">
        <v>10634</v>
      </c>
      <c r="OLE3" t="s">
        <v>10635</v>
      </c>
      <c r="OLF3" t="s">
        <v>10636</v>
      </c>
      <c r="OLG3" t="s">
        <v>10637</v>
      </c>
      <c r="OLH3" t="s">
        <v>10638</v>
      </c>
      <c r="OLI3" t="s">
        <v>10639</v>
      </c>
      <c r="OLJ3" t="s">
        <v>10640</v>
      </c>
      <c r="OLK3" t="s">
        <v>10641</v>
      </c>
      <c r="OLL3" t="s">
        <v>10642</v>
      </c>
      <c r="OLM3" t="s">
        <v>10643</v>
      </c>
      <c r="OLN3" t="s">
        <v>10644</v>
      </c>
      <c r="OLO3" t="s">
        <v>10645</v>
      </c>
      <c r="OLP3" t="s">
        <v>10646</v>
      </c>
      <c r="OLQ3" t="s">
        <v>10647</v>
      </c>
      <c r="OLR3" t="s">
        <v>10648</v>
      </c>
      <c r="OLS3" t="s">
        <v>10649</v>
      </c>
      <c r="OLT3" t="s">
        <v>10650</v>
      </c>
      <c r="OLU3" t="s">
        <v>10651</v>
      </c>
      <c r="OLV3" t="s">
        <v>10652</v>
      </c>
      <c r="OLW3" t="s">
        <v>10653</v>
      </c>
      <c r="OLX3" t="s">
        <v>10654</v>
      </c>
      <c r="OLY3" t="s">
        <v>10655</v>
      </c>
      <c r="OLZ3" t="s">
        <v>10656</v>
      </c>
      <c r="OMA3" t="s">
        <v>10657</v>
      </c>
      <c r="OMB3" t="s">
        <v>10658</v>
      </c>
      <c r="OMC3" t="s">
        <v>10659</v>
      </c>
      <c r="OMD3" t="s">
        <v>10660</v>
      </c>
      <c r="OME3" t="s">
        <v>10661</v>
      </c>
      <c r="OMF3" t="s">
        <v>10662</v>
      </c>
      <c r="OMG3" t="s">
        <v>10663</v>
      </c>
      <c r="OMH3" t="s">
        <v>10664</v>
      </c>
      <c r="OMI3" t="s">
        <v>10665</v>
      </c>
      <c r="OMJ3" t="s">
        <v>10666</v>
      </c>
      <c r="OMK3" t="s">
        <v>10667</v>
      </c>
      <c r="OML3" t="s">
        <v>10668</v>
      </c>
      <c r="OMM3" t="s">
        <v>10669</v>
      </c>
      <c r="OMN3" t="s">
        <v>10670</v>
      </c>
      <c r="OMO3" t="s">
        <v>10671</v>
      </c>
      <c r="OMP3" t="s">
        <v>10672</v>
      </c>
      <c r="OMQ3" t="s">
        <v>10673</v>
      </c>
      <c r="OMR3" t="s">
        <v>10674</v>
      </c>
      <c r="OMS3" t="s">
        <v>10675</v>
      </c>
      <c r="OMT3" t="s">
        <v>10676</v>
      </c>
      <c r="OMU3" t="s">
        <v>10677</v>
      </c>
      <c r="OMV3" t="s">
        <v>10678</v>
      </c>
      <c r="OMW3" t="s">
        <v>10679</v>
      </c>
      <c r="OMX3" t="s">
        <v>10680</v>
      </c>
      <c r="OMY3" t="s">
        <v>10681</v>
      </c>
      <c r="OMZ3" t="s">
        <v>10682</v>
      </c>
      <c r="ONA3" t="s">
        <v>10683</v>
      </c>
      <c r="ONB3" t="s">
        <v>10684</v>
      </c>
      <c r="ONC3" t="s">
        <v>10685</v>
      </c>
      <c r="OND3" t="s">
        <v>10686</v>
      </c>
      <c r="ONE3" t="s">
        <v>10687</v>
      </c>
      <c r="ONF3" t="s">
        <v>10688</v>
      </c>
      <c r="ONG3" t="s">
        <v>10689</v>
      </c>
      <c r="ONH3" t="s">
        <v>10690</v>
      </c>
      <c r="ONI3" t="s">
        <v>10691</v>
      </c>
      <c r="ONJ3" t="s">
        <v>10692</v>
      </c>
      <c r="ONK3" t="s">
        <v>10693</v>
      </c>
      <c r="ONL3" t="s">
        <v>10694</v>
      </c>
      <c r="ONM3" t="s">
        <v>10695</v>
      </c>
      <c r="ONN3" t="s">
        <v>10696</v>
      </c>
      <c r="ONO3" t="s">
        <v>10697</v>
      </c>
      <c r="ONP3" t="s">
        <v>10698</v>
      </c>
      <c r="ONQ3" t="s">
        <v>10699</v>
      </c>
      <c r="ONR3" t="s">
        <v>10700</v>
      </c>
      <c r="ONS3" t="s">
        <v>10701</v>
      </c>
      <c r="ONT3" t="s">
        <v>10702</v>
      </c>
      <c r="ONU3" t="s">
        <v>10703</v>
      </c>
      <c r="ONV3" t="s">
        <v>10704</v>
      </c>
      <c r="ONW3" t="s">
        <v>10705</v>
      </c>
      <c r="ONX3" t="s">
        <v>10706</v>
      </c>
      <c r="ONY3" t="s">
        <v>10707</v>
      </c>
      <c r="ONZ3" t="s">
        <v>10708</v>
      </c>
      <c r="OOA3" t="s">
        <v>10709</v>
      </c>
      <c r="OOB3" t="s">
        <v>10710</v>
      </c>
      <c r="OOC3" t="s">
        <v>10711</v>
      </c>
      <c r="OOD3" t="s">
        <v>10712</v>
      </c>
      <c r="OOE3" t="s">
        <v>10713</v>
      </c>
      <c r="OOF3" t="s">
        <v>10714</v>
      </c>
      <c r="OOG3" t="s">
        <v>10715</v>
      </c>
      <c r="OOH3" t="s">
        <v>10716</v>
      </c>
      <c r="OOI3" t="s">
        <v>10717</v>
      </c>
      <c r="OOJ3" t="s">
        <v>10718</v>
      </c>
      <c r="OOK3" t="s">
        <v>10719</v>
      </c>
      <c r="OOL3" t="s">
        <v>10720</v>
      </c>
      <c r="OOM3" t="s">
        <v>10721</v>
      </c>
      <c r="OON3" t="s">
        <v>10722</v>
      </c>
      <c r="OOO3" t="s">
        <v>10723</v>
      </c>
      <c r="OOP3" t="s">
        <v>10724</v>
      </c>
      <c r="OOQ3" t="s">
        <v>10725</v>
      </c>
      <c r="OOR3" t="s">
        <v>10726</v>
      </c>
      <c r="OOS3" t="s">
        <v>10727</v>
      </c>
      <c r="OOT3" t="s">
        <v>10728</v>
      </c>
      <c r="OOU3" t="s">
        <v>10729</v>
      </c>
      <c r="OOV3" t="s">
        <v>10730</v>
      </c>
      <c r="OOW3" t="s">
        <v>10731</v>
      </c>
      <c r="OOX3" t="s">
        <v>10732</v>
      </c>
      <c r="OOY3" t="s">
        <v>10733</v>
      </c>
      <c r="OOZ3" t="s">
        <v>10734</v>
      </c>
      <c r="OPA3" t="s">
        <v>10735</v>
      </c>
      <c r="OPB3" t="s">
        <v>10736</v>
      </c>
      <c r="OPC3" t="s">
        <v>10737</v>
      </c>
      <c r="OPD3" t="s">
        <v>10738</v>
      </c>
      <c r="OPE3" t="s">
        <v>10739</v>
      </c>
      <c r="OPF3" t="s">
        <v>10740</v>
      </c>
      <c r="OPG3" t="s">
        <v>10741</v>
      </c>
      <c r="OPH3" t="s">
        <v>10742</v>
      </c>
      <c r="OPI3" t="s">
        <v>10743</v>
      </c>
      <c r="OPJ3" t="s">
        <v>10744</v>
      </c>
      <c r="OPK3" t="s">
        <v>10745</v>
      </c>
      <c r="OPL3" t="s">
        <v>10746</v>
      </c>
      <c r="OPM3" t="s">
        <v>10747</v>
      </c>
      <c r="OPN3" t="s">
        <v>10748</v>
      </c>
      <c r="OPO3" t="s">
        <v>10749</v>
      </c>
      <c r="OPP3" t="s">
        <v>10750</v>
      </c>
      <c r="OPQ3" t="s">
        <v>10751</v>
      </c>
      <c r="OPR3" t="s">
        <v>10752</v>
      </c>
      <c r="OPS3" t="s">
        <v>10753</v>
      </c>
      <c r="OPT3" t="s">
        <v>10754</v>
      </c>
      <c r="OPU3" t="s">
        <v>10755</v>
      </c>
      <c r="OPV3" t="s">
        <v>10756</v>
      </c>
      <c r="OPW3" t="s">
        <v>10757</v>
      </c>
      <c r="OPX3" t="s">
        <v>10758</v>
      </c>
      <c r="OPY3" t="s">
        <v>10759</v>
      </c>
      <c r="OPZ3" t="s">
        <v>10760</v>
      </c>
      <c r="OQA3" t="s">
        <v>10761</v>
      </c>
      <c r="OQB3" t="s">
        <v>10762</v>
      </c>
      <c r="OQC3" t="s">
        <v>10763</v>
      </c>
      <c r="OQD3" t="s">
        <v>10764</v>
      </c>
      <c r="OQE3" t="s">
        <v>10765</v>
      </c>
      <c r="OQF3" t="s">
        <v>10766</v>
      </c>
      <c r="OQG3" t="s">
        <v>10767</v>
      </c>
      <c r="OQH3" t="s">
        <v>10768</v>
      </c>
      <c r="OQI3" t="s">
        <v>10769</v>
      </c>
      <c r="OQJ3" t="s">
        <v>10770</v>
      </c>
      <c r="OQK3" t="s">
        <v>10771</v>
      </c>
      <c r="OQL3" t="s">
        <v>10772</v>
      </c>
      <c r="OQM3" t="s">
        <v>10773</v>
      </c>
      <c r="OQN3" t="s">
        <v>10774</v>
      </c>
      <c r="OQO3" t="s">
        <v>10775</v>
      </c>
      <c r="OQP3" t="s">
        <v>10776</v>
      </c>
      <c r="OQQ3" t="s">
        <v>10777</v>
      </c>
      <c r="OQR3" t="s">
        <v>10778</v>
      </c>
      <c r="OQS3" t="s">
        <v>10779</v>
      </c>
      <c r="OQT3" t="s">
        <v>10780</v>
      </c>
      <c r="OQU3" t="s">
        <v>10781</v>
      </c>
      <c r="OQV3" t="s">
        <v>10782</v>
      </c>
      <c r="OQW3" t="s">
        <v>10783</v>
      </c>
      <c r="OQX3" t="s">
        <v>10784</v>
      </c>
      <c r="OQY3" t="s">
        <v>10785</v>
      </c>
      <c r="OQZ3" t="s">
        <v>10786</v>
      </c>
      <c r="ORA3" t="s">
        <v>10787</v>
      </c>
      <c r="ORB3" t="s">
        <v>10788</v>
      </c>
      <c r="ORC3" t="s">
        <v>10789</v>
      </c>
      <c r="ORD3" t="s">
        <v>10790</v>
      </c>
      <c r="ORE3" t="s">
        <v>10791</v>
      </c>
      <c r="ORF3" t="s">
        <v>10792</v>
      </c>
      <c r="ORG3" t="s">
        <v>10793</v>
      </c>
      <c r="ORH3" t="s">
        <v>10794</v>
      </c>
      <c r="ORI3" t="s">
        <v>10795</v>
      </c>
      <c r="ORJ3" t="s">
        <v>10796</v>
      </c>
      <c r="ORK3" t="s">
        <v>10797</v>
      </c>
      <c r="ORL3" t="s">
        <v>10798</v>
      </c>
      <c r="ORM3" t="s">
        <v>10799</v>
      </c>
      <c r="ORN3" t="s">
        <v>10800</v>
      </c>
      <c r="ORO3" t="s">
        <v>10801</v>
      </c>
      <c r="ORP3" t="s">
        <v>10802</v>
      </c>
      <c r="ORQ3" t="s">
        <v>10803</v>
      </c>
      <c r="ORR3" t="s">
        <v>10804</v>
      </c>
      <c r="ORS3" t="s">
        <v>10805</v>
      </c>
      <c r="ORT3" t="s">
        <v>10806</v>
      </c>
      <c r="ORU3" t="s">
        <v>10807</v>
      </c>
      <c r="ORV3" t="s">
        <v>10808</v>
      </c>
      <c r="ORW3" t="s">
        <v>10809</v>
      </c>
      <c r="ORX3" t="s">
        <v>10810</v>
      </c>
      <c r="ORY3" t="s">
        <v>10811</v>
      </c>
      <c r="ORZ3" t="s">
        <v>10812</v>
      </c>
      <c r="OSA3" t="s">
        <v>10813</v>
      </c>
      <c r="OSB3" t="s">
        <v>10814</v>
      </c>
      <c r="OSC3" t="s">
        <v>10815</v>
      </c>
      <c r="OSD3" t="s">
        <v>10816</v>
      </c>
      <c r="OSE3" t="s">
        <v>10817</v>
      </c>
      <c r="OSF3" t="s">
        <v>10818</v>
      </c>
      <c r="OSG3" t="s">
        <v>10819</v>
      </c>
      <c r="OSH3" t="s">
        <v>10820</v>
      </c>
      <c r="OSI3" t="s">
        <v>10821</v>
      </c>
      <c r="OSJ3" t="s">
        <v>10822</v>
      </c>
      <c r="OSK3" t="s">
        <v>10823</v>
      </c>
      <c r="OSL3" t="s">
        <v>10824</v>
      </c>
      <c r="OSM3" t="s">
        <v>10825</v>
      </c>
      <c r="OSN3" t="s">
        <v>10826</v>
      </c>
      <c r="OSO3" t="s">
        <v>10827</v>
      </c>
      <c r="OSP3" t="s">
        <v>10828</v>
      </c>
      <c r="OSQ3" t="s">
        <v>10829</v>
      </c>
      <c r="OSR3" t="s">
        <v>10830</v>
      </c>
      <c r="OSS3" t="s">
        <v>10831</v>
      </c>
      <c r="OST3" t="s">
        <v>10832</v>
      </c>
      <c r="OSU3" t="s">
        <v>10833</v>
      </c>
      <c r="OSV3" t="s">
        <v>10834</v>
      </c>
      <c r="OSW3" t="s">
        <v>10835</v>
      </c>
      <c r="OSX3" t="s">
        <v>10836</v>
      </c>
      <c r="OSY3" t="s">
        <v>10837</v>
      </c>
      <c r="OSZ3" t="s">
        <v>10838</v>
      </c>
      <c r="OTA3" t="s">
        <v>10839</v>
      </c>
      <c r="OTB3" t="s">
        <v>10840</v>
      </c>
      <c r="OTC3" t="s">
        <v>10841</v>
      </c>
      <c r="OTD3" t="s">
        <v>10842</v>
      </c>
      <c r="OTE3" t="s">
        <v>10843</v>
      </c>
      <c r="OTF3" t="s">
        <v>10844</v>
      </c>
      <c r="OTG3" t="s">
        <v>10845</v>
      </c>
      <c r="OTH3" t="s">
        <v>10846</v>
      </c>
      <c r="OTI3" t="s">
        <v>10847</v>
      </c>
      <c r="OTJ3" t="s">
        <v>10848</v>
      </c>
      <c r="OTK3" t="s">
        <v>10849</v>
      </c>
      <c r="OTL3" t="s">
        <v>10850</v>
      </c>
      <c r="OTM3" t="s">
        <v>10851</v>
      </c>
      <c r="OTN3" t="s">
        <v>10852</v>
      </c>
      <c r="OTO3" t="s">
        <v>10853</v>
      </c>
      <c r="OTP3" t="s">
        <v>10854</v>
      </c>
      <c r="OTQ3" t="s">
        <v>10855</v>
      </c>
      <c r="OTR3" t="s">
        <v>10856</v>
      </c>
      <c r="OTS3" t="s">
        <v>10857</v>
      </c>
      <c r="OTT3" t="s">
        <v>10858</v>
      </c>
      <c r="OTU3" t="s">
        <v>10859</v>
      </c>
      <c r="OTV3" t="s">
        <v>10860</v>
      </c>
      <c r="OTW3" t="s">
        <v>10861</v>
      </c>
      <c r="OTX3" t="s">
        <v>10862</v>
      </c>
      <c r="OTY3" t="s">
        <v>10863</v>
      </c>
      <c r="OTZ3" t="s">
        <v>10864</v>
      </c>
      <c r="OUA3" t="s">
        <v>10865</v>
      </c>
      <c r="OUB3" t="s">
        <v>10866</v>
      </c>
      <c r="OUC3" t="s">
        <v>10867</v>
      </c>
      <c r="OUD3" t="s">
        <v>10868</v>
      </c>
      <c r="OUE3" t="s">
        <v>10869</v>
      </c>
      <c r="OUF3" t="s">
        <v>10870</v>
      </c>
      <c r="OUG3" t="s">
        <v>10871</v>
      </c>
      <c r="OUH3" t="s">
        <v>10872</v>
      </c>
      <c r="OUI3" t="s">
        <v>10873</v>
      </c>
      <c r="OUJ3" t="s">
        <v>10874</v>
      </c>
      <c r="OUK3" t="s">
        <v>10875</v>
      </c>
      <c r="OUL3" t="s">
        <v>10876</v>
      </c>
      <c r="OUM3" t="s">
        <v>10877</v>
      </c>
      <c r="OUN3" t="s">
        <v>10878</v>
      </c>
      <c r="OUO3" t="s">
        <v>10879</v>
      </c>
      <c r="OUP3" t="s">
        <v>10880</v>
      </c>
      <c r="OUQ3" t="s">
        <v>10881</v>
      </c>
      <c r="OUR3" t="s">
        <v>10882</v>
      </c>
      <c r="OUS3" t="s">
        <v>10883</v>
      </c>
      <c r="OUT3" t="s">
        <v>10884</v>
      </c>
      <c r="OUU3" t="s">
        <v>10885</v>
      </c>
      <c r="OUV3" t="s">
        <v>10886</v>
      </c>
      <c r="OUW3" t="s">
        <v>10887</v>
      </c>
      <c r="OUX3" t="s">
        <v>10888</v>
      </c>
      <c r="OUY3" t="s">
        <v>10889</v>
      </c>
      <c r="OUZ3" t="s">
        <v>10890</v>
      </c>
      <c r="OVA3" t="s">
        <v>10891</v>
      </c>
      <c r="OVB3" t="s">
        <v>10892</v>
      </c>
      <c r="OVC3" t="s">
        <v>10893</v>
      </c>
      <c r="OVD3" t="s">
        <v>10894</v>
      </c>
      <c r="OVE3" t="s">
        <v>10895</v>
      </c>
      <c r="OVF3" t="s">
        <v>10896</v>
      </c>
      <c r="OVG3" t="s">
        <v>10897</v>
      </c>
      <c r="OVH3" t="s">
        <v>10898</v>
      </c>
      <c r="OVI3" t="s">
        <v>10899</v>
      </c>
      <c r="OVJ3" t="s">
        <v>10900</v>
      </c>
      <c r="OVK3" t="s">
        <v>10901</v>
      </c>
      <c r="OVL3" t="s">
        <v>10902</v>
      </c>
      <c r="OVM3" t="s">
        <v>10903</v>
      </c>
      <c r="OVN3" t="s">
        <v>10904</v>
      </c>
      <c r="OVO3" t="s">
        <v>10905</v>
      </c>
      <c r="OVP3" t="s">
        <v>10906</v>
      </c>
      <c r="OVQ3" t="s">
        <v>10907</v>
      </c>
      <c r="OVR3" t="s">
        <v>10908</v>
      </c>
      <c r="OVS3" t="s">
        <v>10909</v>
      </c>
      <c r="OVT3" t="s">
        <v>10910</v>
      </c>
      <c r="OVU3" t="s">
        <v>10911</v>
      </c>
      <c r="OVV3" t="s">
        <v>10912</v>
      </c>
      <c r="OVW3" t="s">
        <v>10913</v>
      </c>
      <c r="OVX3" t="s">
        <v>10914</v>
      </c>
      <c r="OVY3" t="s">
        <v>10915</v>
      </c>
      <c r="OVZ3" t="s">
        <v>10916</v>
      </c>
      <c r="OWA3" t="s">
        <v>10917</v>
      </c>
      <c r="OWB3" t="s">
        <v>10918</v>
      </c>
      <c r="OWC3" t="s">
        <v>10919</v>
      </c>
      <c r="OWD3" t="s">
        <v>10920</v>
      </c>
      <c r="OWE3" t="s">
        <v>10921</v>
      </c>
      <c r="OWF3" t="s">
        <v>10922</v>
      </c>
      <c r="OWG3" t="s">
        <v>10923</v>
      </c>
      <c r="OWH3" t="s">
        <v>10924</v>
      </c>
      <c r="OWI3" t="s">
        <v>10925</v>
      </c>
      <c r="OWJ3" t="s">
        <v>10926</v>
      </c>
      <c r="OWK3" t="s">
        <v>10927</v>
      </c>
      <c r="OWL3" t="s">
        <v>10928</v>
      </c>
      <c r="OWM3" t="s">
        <v>10929</v>
      </c>
      <c r="OWN3" t="s">
        <v>10930</v>
      </c>
      <c r="OWO3" t="s">
        <v>10931</v>
      </c>
      <c r="OWP3" t="s">
        <v>10932</v>
      </c>
      <c r="OWQ3" t="s">
        <v>10933</v>
      </c>
      <c r="OWR3" t="s">
        <v>10934</v>
      </c>
      <c r="OWS3" t="s">
        <v>10935</v>
      </c>
      <c r="OWT3" t="s">
        <v>10936</v>
      </c>
      <c r="OWU3" t="s">
        <v>10937</v>
      </c>
      <c r="OWV3" t="s">
        <v>10938</v>
      </c>
      <c r="OWW3" t="s">
        <v>10939</v>
      </c>
      <c r="OWX3" t="s">
        <v>10940</v>
      </c>
      <c r="OWY3" t="s">
        <v>10941</v>
      </c>
      <c r="OWZ3" t="s">
        <v>10942</v>
      </c>
      <c r="OXA3" t="s">
        <v>10943</v>
      </c>
      <c r="OXB3" t="s">
        <v>10944</v>
      </c>
      <c r="OXC3" t="s">
        <v>10945</v>
      </c>
      <c r="OXD3" t="s">
        <v>10946</v>
      </c>
      <c r="OXE3" t="s">
        <v>10947</v>
      </c>
      <c r="OXF3" t="s">
        <v>10948</v>
      </c>
      <c r="OXG3" t="s">
        <v>10949</v>
      </c>
      <c r="OXH3" t="s">
        <v>10950</v>
      </c>
      <c r="OXI3" t="s">
        <v>10951</v>
      </c>
      <c r="OXJ3" t="s">
        <v>10952</v>
      </c>
      <c r="OXK3" t="s">
        <v>10953</v>
      </c>
      <c r="OXL3" t="s">
        <v>10954</v>
      </c>
      <c r="OXM3" t="s">
        <v>10955</v>
      </c>
      <c r="OXN3" t="s">
        <v>10956</v>
      </c>
      <c r="OXO3" t="s">
        <v>10957</v>
      </c>
      <c r="OXP3" t="s">
        <v>10958</v>
      </c>
      <c r="OXQ3" t="s">
        <v>10959</v>
      </c>
      <c r="OXR3" t="s">
        <v>10960</v>
      </c>
      <c r="OXS3" t="s">
        <v>10961</v>
      </c>
      <c r="OXT3" t="s">
        <v>10962</v>
      </c>
      <c r="OXU3" t="s">
        <v>10963</v>
      </c>
      <c r="OXV3" t="s">
        <v>10964</v>
      </c>
      <c r="OXW3" t="s">
        <v>10965</v>
      </c>
      <c r="OXX3" t="s">
        <v>10966</v>
      </c>
      <c r="OXY3" t="s">
        <v>10967</v>
      </c>
      <c r="OXZ3" t="s">
        <v>10968</v>
      </c>
      <c r="OYA3" t="s">
        <v>10969</v>
      </c>
      <c r="OYB3" t="s">
        <v>10970</v>
      </c>
      <c r="OYC3" t="s">
        <v>10971</v>
      </c>
      <c r="OYD3" t="s">
        <v>10972</v>
      </c>
      <c r="OYE3" t="s">
        <v>10973</v>
      </c>
      <c r="OYF3" t="s">
        <v>10974</v>
      </c>
      <c r="OYG3" t="s">
        <v>10975</v>
      </c>
      <c r="OYH3" t="s">
        <v>10976</v>
      </c>
      <c r="OYI3" t="s">
        <v>10977</v>
      </c>
      <c r="OYJ3" t="s">
        <v>10978</v>
      </c>
      <c r="OYK3" t="s">
        <v>10979</v>
      </c>
      <c r="OYL3" t="s">
        <v>10980</v>
      </c>
      <c r="OYM3" t="s">
        <v>10981</v>
      </c>
      <c r="OYN3" t="s">
        <v>10982</v>
      </c>
      <c r="OYO3" t="s">
        <v>10983</v>
      </c>
      <c r="OYP3" t="s">
        <v>10984</v>
      </c>
      <c r="OYQ3" t="s">
        <v>10985</v>
      </c>
      <c r="OYR3" t="s">
        <v>10986</v>
      </c>
      <c r="OYS3" t="s">
        <v>10987</v>
      </c>
      <c r="OYT3" t="s">
        <v>10988</v>
      </c>
      <c r="OYU3" t="s">
        <v>10989</v>
      </c>
      <c r="OYV3" t="s">
        <v>10990</v>
      </c>
      <c r="OYW3" t="s">
        <v>10991</v>
      </c>
      <c r="OYX3" t="s">
        <v>10992</v>
      </c>
      <c r="OYY3" t="s">
        <v>10993</v>
      </c>
      <c r="OYZ3" t="s">
        <v>10994</v>
      </c>
      <c r="OZA3" t="s">
        <v>10995</v>
      </c>
      <c r="OZB3" t="s">
        <v>10996</v>
      </c>
      <c r="OZC3" t="s">
        <v>10997</v>
      </c>
      <c r="OZD3" t="s">
        <v>10998</v>
      </c>
      <c r="OZE3" t="s">
        <v>10999</v>
      </c>
      <c r="OZF3" t="s">
        <v>11000</v>
      </c>
      <c r="OZG3" t="s">
        <v>11001</v>
      </c>
      <c r="OZH3" t="s">
        <v>11002</v>
      </c>
      <c r="OZI3" t="s">
        <v>11003</v>
      </c>
      <c r="OZJ3" t="s">
        <v>11004</v>
      </c>
      <c r="OZK3" t="s">
        <v>11005</v>
      </c>
      <c r="OZL3" t="s">
        <v>11006</v>
      </c>
      <c r="OZM3" t="s">
        <v>11007</v>
      </c>
      <c r="OZN3" t="s">
        <v>11008</v>
      </c>
      <c r="OZO3" t="s">
        <v>11009</v>
      </c>
      <c r="OZP3" t="s">
        <v>11010</v>
      </c>
      <c r="OZQ3" t="s">
        <v>11011</v>
      </c>
      <c r="OZR3" t="s">
        <v>11012</v>
      </c>
      <c r="OZS3" t="s">
        <v>11013</v>
      </c>
      <c r="OZT3" t="s">
        <v>11014</v>
      </c>
      <c r="OZU3" t="s">
        <v>11015</v>
      </c>
      <c r="OZV3" t="s">
        <v>11016</v>
      </c>
      <c r="OZW3" t="s">
        <v>11017</v>
      </c>
      <c r="OZX3" t="s">
        <v>11018</v>
      </c>
      <c r="OZY3" t="s">
        <v>11019</v>
      </c>
      <c r="OZZ3" t="s">
        <v>11020</v>
      </c>
      <c r="PAA3" t="s">
        <v>11021</v>
      </c>
      <c r="PAB3" t="s">
        <v>11022</v>
      </c>
      <c r="PAC3" t="s">
        <v>11023</v>
      </c>
      <c r="PAD3" t="s">
        <v>11024</v>
      </c>
      <c r="PAE3" t="s">
        <v>11025</v>
      </c>
      <c r="PAF3" t="s">
        <v>11026</v>
      </c>
      <c r="PAG3" t="s">
        <v>11027</v>
      </c>
      <c r="PAH3" t="s">
        <v>11028</v>
      </c>
      <c r="PAI3" t="s">
        <v>11029</v>
      </c>
      <c r="PAJ3" t="s">
        <v>11030</v>
      </c>
      <c r="PAK3" t="s">
        <v>11031</v>
      </c>
      <c r="PAL3" t="s">
        <v>11032</v>
      </c>
      <c r="PAM3" t="s">
        <v>11033</v>
      </c>
      <c r="PAN3" t="s">
        <v>11034</v>
      </c>
      <c r="PAO3" t="s">
        <v>11035</v>
      </c>
      <c r="PAP3" t="s">
        <v>11036</v>
      </c>
      <c r="PAQ3" t="s">
        <v>11037</v>
      </c>
      <c r="PAR3" t="s">
        <v>11038</v>
      </c>
      <c r="PAS3" t="s">
        <v>11039</v>
      </c>
      <c r="PAT3" t="s">
        <v>11040</v>
      </c>
      <c r="PAU3" t="s">
        <v>11041</v>
      </c>
      <c r="PAV3" t="s">
        <v>11042</v>
      </c>
      <c r="PAW3" t="s">
        <v>11043</v>
      </c>
      <c r="PAX3" t="s">
        <v>11044</v>
      </c>
      <c r="PAY3" t="s">
        <v>11045</v>
      </c>
      <c r="PAZ3" t="s">
        <v>11046</v>
      </c>
      <c r="PBA3" t="s">
        <v>11047</v>
      </c>
      <c r="PBB3" t="s">
        <v>11048</v>
      </c>
      <c r="PBC3" t="s">
        <v>11049</v>
      </c>
      <c r="PBD3" t="s">
        <v>11050</v>
      </c>
      <c r="PBE3" t="s">
        <v>11051</v>
      </c>
      <c r="PBF3" t="s">
        <v>11052</v>
      </c>
      <c r="PBG3" t="s">
        <v>11053</v>
      </c>
      <c r="PBH3" t="s">
        <v>11054</v>
      </c>
      <c r="PBI3" t="s">
        <v>11055</v>
      </c>
      <c r="PBJ3" t="s">
        <v>11056</v>
      </c>
      <c r="PBK3" t="s">
        <v>11057</v>
      </c>
      <c r="PBL3" t="s">
        <v>11058</v>
      </c>
      <c r="PBM3" t="s">
        <v>11059</v>
      </c>
      <c r="PBN3" t="s">
        <v>11060</v>
      </c>
      <c r="PBO3" t="s">
        <v>11061</v>
      </c>
      <c r="PBP3" t="s">
        <v>11062</v>
      </c>
      <c r="PBQ3" t="s">
        <v>11063</v>
      </c>
      <c r="PBR3" t="s">
        <v>11064</v>
      </c>
      <c r="PBS3" t="s">
        <v>11065</v>
      </c>
      <c r="PBT3" t="s">
        <v>11066</v>
      </c>
      <c r="PBU3" t="s">
        <v>11067</v>
      </c>
      <c r="PBV3" t="s">
        <v>11068</v>
      </c>
      <c r="PBW3" t="s">
        <v>11069</v>
      </c>
      <c r="PBX3" t="s">
        <v>11070</v>
      </c>
      <c r="PBY3" t="s">
        <v>11071</v>
      </c>
      <c r="PBZ3" t="s">
        <v>11072</v>
      </c>
      <c r="PCA3" t="s">
        <v>11073</v>
      </c>
      <c r="PCB3" t="s">
        <v>11074</v>
      </c>
      <c r="PCC3" t="s">
        <v>11075</v>
      </c>
      <c r="PCD3" t="s">
        <v>11076</v>
      </c>
      <c r="PCE3" t="s">
        <v>11077</v>
      </c>
      <c r="PCF3" t="s">
        <v>11078</v>
      </c>
      <c r="PCG3" t="s">
        <v>11079</v>
      </c>
      <c r="PCH3" t="s">
        <v>11080</v>
      </c>
      <c r="PCI3" t="s">
        <v>11081</v>
      </c>
      <c r="PCJ3" t="s">
        <v>11082</v>
      </c>
      <c r="PCK3" t="s">
        <v>11083</v>
      </c>
      <c r="PCL3" t="s">
        <v>11084</v>
      </c>
      <c r="PCM3" t="s">
        <v>11085</v>
      </c>
      <c r="PCN3" t="s">
        <v>11086</v>
      </c>
      <c r="PCO3" t="s">
        <v>11087</v>
      </c>
      <c r="PCP3" t="s">
        <v>11088</v>
      </c>
      <c r="PCQ3" t="s">
        <v>11089</v>
      </c>
      <c r="PCR3" t="s">
        <v>11090</v>
      </c>
      <c r="PCS3" t="s">
        <v>11091</v>
      </c>
      <c r="PCT3" t="s">
        <v>11092</v>
      </c>
      <c r="PCU3" t="s">
        <v>11093</v>
      </c>
      <c r="PCV3" t="s">
        <v>11094</v>
      </c>
      <c r="PCW3" t="s">
        <v>11095</v>
      </c>
      <c r="PCX3" t="s">
        <v>11096</v>
      </c>
      <c r="PCY3" t="s">
        <v>11097</v>
      </c>
      <c r="PCZ3" t="s">
        <v>11098</v>
      </c>
      <c r="PDA3" t="s">
        <v>11099</v>
      </c>
      <c r="PDB3" t="s">
        <v>11100</v>
      </c>
      <c r="PDC3" t="s">
        <v>11101</v>
      </c>
      <c r="PDD3" t="s">
        <v>11102</v>
      </c>
      <c r="PDE3" t="s">
        <v>11103</v>
      </c>
      <c r="PDF3" t="s">
        <v>11104</v>
      </c>
      <c r="PDG3" t="s">
        <v>11105</v>
      </c>
      <c r="PDH3" t="s">
        <v>11106</v>
      </c>
      <c r="PDI3" t="s">
        <v>11107</v>
      </c>
      <c r="PDJ3" t="s">
        <v>11108</v>
      </c>
      <c r="PDK3" t="s">
        <v>11109</v>
      </c>
      <c r="PDL3" t="s">
        <v>11110</v>
      </c>
      <c r="PDM3" t="s">
        <v>11111</v>
      </c>
      <c r="PDN3" t="s">
        <v>11112</v>
      </c>
      <c r="PDO3" t="s">
        <v>11113</v>
      </c>
      <c r="PDP3" t="s">
        <v>11114</v>
      </c>
      <c r="PDQ3" t="s">
        <v>11115</v>
      </c>
      <c r="PDR3" t="s">
        <v>11116</v>
      </c>
      <c r="PDS3" t="s">
        <v>11117</v>
      </c>
      <c r="PDT3" t="s">
        <v>11118</v>
      </c>
      <c r="PDU3" t="s">
        <v>11119</v>
      </c>
      <c r="PDV3" t="s">
        <v>11120</v>
      </c>
      <c r="PDW3" t="s">
        <v>11121</v>
      </c>
      <c r="PDX3" t="s">
        <v>11122</v>
      </c>
      <c r="PDY3" t="s">
        <v>11123</v>
      </c>
      <c r="PDZ3" t="s">
        <v>11124</v>
      </c>
      <c r="PEA3" t="s">
        <v>11125</v>
      </c>
      <c r="PEB3" t="s">
        <v>11126</v>
      </c>
      <c r="PEC3" t="s">
        <v>11127</v>
      </c>
      <c r="PED3" t="s">
        <v>11128</v>
      </c>
      <c r="PEE3" t="s">
        <v>11129</v>
      </c>
      <c r="PEF3" t="s">
        <v>11130</v>
      </c>
      <c r="PEG3" t="s">
        <v>11131</v>
      </c>
      <c r="PEH3" t="s">
        <v>11132</v>
      </c>
      <c r="PEI3" t="s">
        <v>11133</v>
      </c>
      <c r="PEJ3" t="s">
        <v>11134</v>
      </c>
      <c r="PEK3" t="s">
        <v>11135</v>
      </c>
      <c r="PEL3" t="s">
        <v>11136</v>
      </c>
      <c r="PEM3" t="s">
        <v>11137</v>
      </c>
      <c r="PEN3" t="s">
        <v>11138</v>
      </c>
      <c r="PEO3" t="s">
        <v>11139</v>
      </c>
      <c r="PEP3" t="s">
        <v>11140</v>
      </c>
      <c r="PEQ3" t="s">
        <v>11141</v>
      </c>
      <c r="PER3" t="s">
        <v>11142</v>
      </c>
      <c r="PES3" t="s">
        <v>11143</v>
      </c>
      <c r="PET3" t="s">
        <v>11144</v>
      </c>
      <c r="PEU3" t="s">
        <v>11145</v>
      </c>
      <c r="PEV3" t="s">
        <v>11146</v>
      </c>
      <c r="PEW3" t="s">
        <v>11147</v>
      </c>
      <c r="PEX3" t="s">
        <v>11148</v>
      </c>
      <c r="PEY3" t="s">
        <v>11149</v>
      </c>
      <c r="PEZ3" t="s">
        <v>11150</v>
      </c>
      <c r="PFA3" t="s">
        <v>11151</v>
      </c>
      <c r="PFB3" t="s">
        <v>11152</v>
      </c>
      <c r="PFC3" t="s">
        <v>11153</v>
      </c>
      <c r="PFD3" t="s">
        <v>11154</v>
      </c>
      <c r="PFE3" t="s">
        <v>11155</v>
      </c>
      <c r="PFF3" t="s">
        <v>11156</v>
      </c>
      <c r="PFG3" t="s">
        <v>11157</v>
      </c>
      <c r="PFH3" t="s">
        <v>11158</v>
      </c>
      <c r="PFI3" t="s">
        <v>11159</v>
      </c>
      <c r="PFJ3" t="s">
        <v>11160</v>
      </c>
      <c r="PFK3" t="s">
        <v>11161</v>
      </c>
      <c r="PFL3" t="s">
        <v>11162</v>
      </c>
      <c r="PFM3" t="s">
        <v>11163</v>
      </c>
      <c r="PFN3" t="s">
        <v>11164</v>
      </c>
      <c r="PFO3" t="s">
        <v>11165</v>
      </c>
      <c r="PFP3" t="s">
        <v>11166</v>
      </c>
      <c r="PFQ3" t="s">
        <v>11167</v>
      </c>
      <c r="PFR3" t="s">
        <v>11168</v>
      </c>
      <c r="PFS3" t="s">
        <v>11169</v>
      </c>
      <c r="PFT3" t="s">
        <v>11170</v>
      </c>
      <c r="PFU3" t="s">
        <v>11171</v>
      </c>
      <c r="PFV3" t="s">
        <v>11172</v>
      </c>
      <c r="PFW3" t="s">
        <v>11173</v>
      </c>
      <c r="PFX3" t="s">
        <v>11174</v>
      </c>
      <c r="PFY3" t="s">
        <v>11175</v>
      </c>
      <c r="PFZ3" t="s">
        <v>11176</v>
      </c>
      <c r="PGA3" t="s">
        <v>11177</v>
      </c>
      <c r="PGB3" t="s">
        <v>11178</v>
      </c>
      <c r="PGC3" t="s">
        <v>11179</v>
      </c>
      <c r="PGD3" t="s">
        <v>11180</v>
      </c>
      <c r="PGE3" t="s">
        <v>11181</v>
      </c>
      <c r="PGF3" t="s">
        <v>11182</v>
      </c>
      <c r="PGG3" t="s">
        <v>11183</v>
      </c>
      <c r="PGH3" t="s">
        <v>11184</v>
      </c>
      <c r="PGI3" t="s">
        <v>11185</v>
      </c>
      <c r="PGJ3" t="s">
        <v>11186</v>
      </c>
      <c r="PGK3" t="s">
        <v>11187</v>
      </c>
      <c r="PGL3" t="s">
        <v>11188</v>
      </c>
      <c r="PGM3" t="s">
        <v>11189</v>
      </c>
      <c r="PGN3" t="s">
        <v>11190</v>
      </c>
      <c r="PGO3" t="s">
        <v>11191</v>
      </c>
      <c r="PGP3" t="s">
        <v>11192</v>
      </c>
      <c r="PGQ3" t="s">
        <v>11193</v>
      </c>
      <c r="PGR3" t="s">
        <v>11194</v>
      </c>
      <c r="PGS3" t="s">
        <v>11195</v>
      </c>
      <c r="PGT3" t="s">
        <v>11196</v>
      </c>
      <c r="PGU3" t="s">
        <v>11197</v>
      </c>
      <c r="PGV3" t="s">
        <v>11198</v>
      </c>
      <c r="PGW3" t="s">
        <v>11199</v>
      </c>
      <c r="PGX3" t="s">
        <v>11200</v>
      </c>
      <c r="PGY3" t="s">
        <v>11201</v>
      </c>
      <c r="PGZ3" t="s">
        <v>11202</v>
      </c>
      <c r="PHA3" t="s">
        <v>11203</v>
      </c>
      <c r="PHB3" t="s">
        <v>11204</v>
      </c>
      <c r="PHC3" t="s">
        <v>11205</v>
      </c>
      <c r="PHD3" t="s">
        <v>11206</v>
      </c>
      <c r="PHE3" t="s">
        <v>11207</v>
      </c>
      <c r="PHF3" t="s">
        <v>11208</v>
      </c>
      <c r="PHG3" t="s">
        <v>11209</v>
      </c>
      <c r="PHH3" t="s">
        <v>11210</v>
      </c>
      <c r="PHI3" t="s">
        <v>11211</v>
      </c>
      <c r="PHJ3" t="s">
        <v>11212</v>
      </c>
      <c r="PHK3" t="s">
        <v>11213</v>
      </c>
      <c r="PHL3" t="s">
        <v>11214</v>
      </c>
      <c r="PHM3" t="s">
        <v>11215</v>
      </c>
      <c r="PHN3" t="s">
        <v>11216</v>
      </c>
      <c r="PHO3" t="s">
        <v>11217</v>
      </c>
      <c r="PHP3" t="s">
        <v>11218</v>
      </c>
      <c r="PHQ3" t="s">
        <v>11219</v>
      </c>
      <c r="PHR3" t="s">
        <v>11220</v>
      </c>
      <c r="PHS3" t="s">
        <v>11221</v>
      </c>
      <c r="PHT3" t="s">
        <v>11222</v>
      </c>
      <c r="PHU3" t="s">
        <v>11223</v>
      </c>
      <c r="PHV3" t="s">
        <v>11224</v>
      </c>
      <c r="PHW3" t="s">
        <v>11225</v>
      </c>
      <c r="PHX3" t="s">
        <v>11226</v>
      </c>
      <c r="PHY3" t="s">
        <v>11227</v>
      </c>
      <c r="PHZ3" t="s">
        <v>11228</v>
      </c>
      <c r="PIA3" t="s">
        <v>11229</v>
      </c>
      <c r="PIB3" t="s">
        <v>11230</v>
      </c>
      <c r="PIC3" t="s">
        <v>11231</v>
      </c>
      <c r="PID3" t="s">
        <v>11232</v>
      </c>
      <c r="PIE3" t="s">
        <v>11233</v>
      </c>
      <c r="PIF3" t="s">
        <v>11234</v>
      </c>
      <c r="PIG3" t="s">
        <v>11235</v>
      </c>
      <c r="PIH3" t="s">
        <v>11236</v>
      </c>
      <c r="PII3" t="s">
        <v>11237</v>
      </c>
      <c r="PIJ3" t="s">
        <v>11238</v>
      </c>
      <c r="PIK3" t="s">
        <v>11239</v>
      </c>
      <c r="PIL3" t="s">
        <v>11240</v>
      </c>
      <c r="PIM3" t="s">
        <v>11241</v>
      </c>
      <c r="PIN3" t="s">
        <v>11242</v>
      </c>
      <c r="PIO3" t="s">
        <v>11243</v>
      </c>
      <c r="PIP3" t="s">
        <v>11244</v>
      </c>
      <c r="PIQ3" t="s">
        <v>11245</v>
      </c>
      <c r="PIR3" t="s">
        <v>11246</v>
      </c>
      <c r="PIS3" t="s">
        <v>11247</v>
      </c>
      <c r="PIT3" t="s">
        <v>11248</v>
      </c>
      <c r="PIU3" t="s">
        <v>11249</v>
      </c>
      <c r="PIV3" t="s">
        <v>11250</v>
      </c>
      <c r="PIW3" t="s">
        <v>11251</v>
      </c>
      <c r="PIX3" t="s">
        <v>11252</v>
      </c>
      <c r="PIY3" t="s">
        <v>11253</v>
      </c>
      <c r="PIZ3" t="s">
        <v>11254</v>
      </c>
      <c r="PJA3" t="s">
        <v>11255</v>
      </c>
      <c r="PJB3" t="s">
        <v>11256</v>
      </c>
      <c r="PJC3" t="s">
        <v>11257</v>
      </c>
      <c r="PJD3" t="s">
        <v>11258</v>
      </c>
      <c r="PJE3" t="s">
        <v>11259</v>
      </c>
      <c r="PJF3" t="s">
        <v>11260</v>
      </c>
      <c r="PJG3" t="s">
        <v>11261</v>
      </c>
      <c r="PJH3" t="s">
        <v>11262</v>
      </c>
      <c r="PJI3" t="s">
        <v>11263</v>
      </c>
      <c r="PJJ3" t="s">
        <v>11264</v>
      </c>
      <c r="PJK3" t="s">
        <v>11265</v>
      </c>
      <c r="PJL3" t="s">
        <v>11266</v>
      </c>
      <c r="PJM3" t="s">
        <v>11267</v>
      </c>
      <c r="PJN3" t="s">
        <v>11268</v>
      </c>
      <c r="PJO3" t="s">
        <v>11269</v>
      </c>
      <c r="PJP3" t="s">
        <v>11270</v>
      </c>
      <c r="PJQ3" t="s">
        <v>11271</v>
      </c>
      <c r="PJR3" t="s">
        <v>11272</v>
      </c>
      <c r="PJS3" t="s">
        <v>11273</v>
      </c>
      <c r="PJT3" t="s">
        <v>11274</v>
      </c>
      <c r="PJU3" t="s">
        <v>11275</v>
      </c>
      <c r="PJV3" t="s">
        <v>11276</v>
      </c>
      <c r="PJW3" t="s">
        <v>11277</v>
      </c>
      <c r="PJX3" t="s">
        <v>11278</v>
      </c>
      <c r="PJY3" t="s">
        <v>11279</v>
      </c>
      <c r="PJZ3" t="s">
        <v>11280</v>
      </c>
      <c r="PKA3" t="s">
        <v>11281</v>
      </c>
      <c r="PKB3" t="s">
        <v>11282</v>
      </c>
      <c r="PKC3" t="s">
        <v>11283</v>
      </c>
      <c r="PKD3" t="s">
        <v>11284</v>
      </c>
      <c r="PKE3" t="s">
        <v>11285</v>
      </c>
      <c r="PKF3" t="s">
        <v>11286</v>
      </c>
      <c r="PKG3" t="s">
        <v>11287</v>
      </c>
      <c r="PKH3" t="s">
        <v>11288</v>
      </c>
      <c r="PKI3" t="s">
        <v>11289</v>
      </c>
      <c r="PKJ3" t="s">
        <v>11290</v>
      </c>
      <c r="PKK3" t="s">
        <v>11291</v>
      </c>
      <c r="PKL3" t="s">
        <v>11292</v>
      </c>
      <c r="PKM3" t="s">
        <v>11293</v>
      </c>
      <c r="PKN3" t="s">
        <v>11294</v>
      </c>
      <c r="PKO3" t="s">
        <v>11295</v>
      </c>
      <c r="PKP3" t="s">
        <v>11296</v>
      </c>
      <c r="PKQ3" t="s">
        <v>11297</v>
      </c>
      <c r="PKR3" t="s">
        <v>11298</v>
      </c>
      <c r="PKS3" t="s">
        <v>11299</v>
      </c>
      <c r="PKT3" t="s">
        <v>11300</v>
      </c>
      <c r="PKU3" t="s">
        <v>11301</v>
      </c>
      <c r="PKV3" t="s">
        <v>11302</v>
      </c>
      <c r="PKW3" t="s">
        <v>11303</v>
      </c>
      <c r="PKX3" t="s">
        <v>11304</v>
      </c>
      <c r="PKY3" t="s">
        <v>11305</v>
      </c>
      <c r="PKZ3" t="s">
        <v>11306</v>
      </c>
      <c r="PLA3" t="s">
        <v>11307</v>
      </c>
      <c r="PLB3" t="s">
        <v>11308</v>
      </c>
      <c r="PLC3" t="s">
        <v>11309</v>
      </c>
      <c r="PLD3" t="s">
        <v>11310</v>
      </c>
      <c r="PLE3" t="s">
        <v>11311</v>
      </c>
      <c r="PLF3" t="s">
        <v>11312</v>
      </c>
      <c r="PLG3" t="s">
        <v>11313</v>
      </c>
      <c r="PLH3" t="s">
        <v>11314</v>
      </c>
      <c r="PLI3" t="s">
        <v>11315</v>
      </c>
      <c r="PLJ3" t="s">
        <v>11316</v>
      </c>
      <c r="PLK3" t="s">
        <v>11317</v>
      </c>
      <c r="PLL3" t="s">
        <v>11318</v>
      </c>
      <c r="PLM3" t="s">
        <v>11319</v>
      </c>
      <c r="PLN3" t="s">
        <v>11320</v>
      </c>
      <c r="PLO3" t="s">
        <v>11321</v>
      </c>
      <c r="PLP3" t="s">
        <v>11322</v>
      </c>
      <c r="PLQ3" t="s">
        <v>11323</v>
      </c>
      <c r="PLR3" t="s">
        <v>11324</v>
      </c>
      <c r="PLS3" t="s">
        <v>11325</v>
      </c>
      <c r="PLT3" t="s">
        <v>11326</v>
      </c>
      <c r="PLU3" t="s">
        <v>11327</v>
      </c>
      <c r="PLV3" t="s">
        <v>11328</v>
      </c>
      <c r="PLW3" t="s">
        <v>11329</v>
      </c>
      <c r="PLX3" t="s">
        <v>11330</v>
      </c>
      <c r="PLY3" t="s">
        <v>11331</v>
      </c>
      <c r="PLZ3" t="s">
        <v>11332</v>
      </c>
      <c r="PMA3" t="s">
        <v>11333</v>
      </c>
      <c r="PMB3" t="s">
        <v>11334</v>
      </c>
      <c r="PMC3" t="s">
        <v>11335</v>
      </c>
      <c r="PMD3" t="s">
        <v>11336</v>
      </c>
      <c r="PME3" t="s">
        <v>11337</v>
      </c>
      <c r="PMF3" t="s">
        <v>11338</v>
      </c>
      <c r="PMG3" t="s">
        <v>11339</v>
      </c>
      <c r="PMH3" t="s">
        <v>11340</v>
      </c>
      <c r="PMI3" t="s">
        <v>11341</v>
      </c>
      <c r="PMJ3" t="s">
        <v>11342</v>
      </c>
      <c r="PMK3" t="s">
        <v>11343</v>
      </c>
      <c r="PML3" t="s">
        <v>11344</v>
      </c>
      <c r="PMM3" t="s">
        <v>11345</v>
      </c>
      <c r="PMN3" t="s">
        <v>11346</v>
      </c>
      <c r="PMO3" t="s">
        <v>11347</v>
      </c>
      <c r="PMP3" t="s">
        <v>11348</v>
      </c>
      <c r="PMQ3" t="s">
        <v>11349</v>
      </c>
      <c r="PMR3" t="s">
        <v>11350</v>
      </c>
      <c r="PMS3" t="s">
        <v>11351</v>
      </c>
      <c r="PMT3" t="s">
        <v>11352</v>
      </c>
      <c r="PMU3" t="s">
        <v>11353</v>
      </c>
      <c r="PMV3" t="s">
        <v>11354</v>
      </c>
      <c r="PMW3" t="s">
        <v>11355</v>
      </c>
      <c r="PMX3" t="s">
        <v>11356</v>
      </c>
      <c r="PMY3" t="s">
        <v>11357</v>
      </c>
      <c r="PMZ3" t="s">
        <v>11358</v>
      </c>
      <c r="PNA3" t="s">
        <v>11359</v>
      </c>
      <c r="PNB3" t="s">
        <v>11360</v>
      </c>
      <c r="PNC3" t="s">
        <v>11361</v>
      </c>
      <c r="PND3" t="s">
        <v>11362</v>
      </c>
      <c r="PNE3" t="s">
        <v>11363</v>
      </c>
      <c r="PNF3" t="s">
        <v>11364</v>
      </c>
      <c r="PNG3" t="s">
        <v>11365</v>
      </c>
      <c r="PNH3" t="s">
        <v>11366</v>
      </c>
      <c r="PNI3" t="s">
        <v>11367</v>
      </c>
      <c r="PNJ3" t="s">
        <v>11368</v>
      </c>
      <c r="PNK3" t="s">
        <v>11369</v>
      </c>
      <c r="PNL3" t="s">
        <v>11370</v>
      </c>
      <c r="PNM3" t="s">
        <v>11371</v>
      </c>
      <c r="PNN3" t="s">
        <v>11372</v>
      </c>
      <c r="PNO3" t="s">
        <v>11373</v>
      </c>
      <c r="PNP3" t="s">
        <v>11374</v>
      </c>
      <c r="PNQ3" t="s">
        <v>11375</v>
      </c>
      <c r="PNR3" t="s">
        <v>11376</v>
      </c>
      <c r="PNS3" t="s">
        <v>11377</v>
      </c>
      <c r="PNT3" t="s">
        <v>11378</v>
      </c>
      <c r="PNU3" t="s">
        <v>11379</v>
      </c>
      <c r="PNV3" t="s">
        <v>11380</v>
      </c>
      <c r="PNW3" t="s">
        <v>11381</v>
      </c>
      <c r="PNX3" t="s">
        <v>11382</v>
      </c>
      <c r="PNY3" t="s">
        <v>11383</v>
      </c>
      <c r="PNZ3" t="s">
        <v>11384</v>
      </c>
      <c r="POA3" t="s">
        <v>11385</v>
      </c>
      <c r="POB3" t="s">
        <v>11386</v>
      </c>
      <c r="POC3" t="s">
        <v>11387</v>
      </c>
      <c r="POD3" t="s">
        <v>11388</v>
      </c>
      <c r="POE3" t="s">
        <v>11389</v>
      </c>
      <c r="POF3" t="s">
        <v>11390</v>
      </c>
      <c r="POG3" t="s">
        <v>11391</v>
      </c>
      <c r="POH3" t="s">
        <v>11392</v>
      </c>
      <c r="POI3" t="s">
        <v>11393</v>
      </c>
      <c r="POJ3" t="s">
        <v>11394</v>
      </c>
      <c r="POK3" t="s">
        <v>11395</v>
      </c>
      <c r="POL3" t="s">
        <v>11396</v>
      </c>
      <c r="POM3" t="s">
        <v>11397</v>
      </c>
      <c r="PON3" t="s">
        <v>11398</v>
      </c>
      <c r="POO3" t="s">
        <v>11399</v>
      </c>
      <c r="POP3" t="s">
        <v>11400</v>
      </c>
      <c r="POQ3" t="s">
        <v>11401</v>
      </c>
      <c r="POR3" t="s">
        <v>11402</v>
      </c>
      <c r="POS3" t="s">
        <v>11403</v>
      </c>
      <c r="POT3" t="s">
        <v>11404</v>
      </c>
      <c r="POU3" t="s">
        <v>11405</v>
      </c>
      <c r="POV3" t="s">
        <v>11406</v>
      </c>
      <c r="POW3" t="s">
        <v>11407</v>
      </c>
      <c r="POX3" t="s">
        <v>11408</v>
      </c>
      <c r="POY3" t="s">
        <v>11409</v>
      </c>
      <c r="POZ3" t="s">
        <v>11410</v>
      </c>
      <c r="PPA3" t="s">
        <v>11411</v>
      </c>
      <c r="PPB3" t="s">
        <v>11412</v>
      </c>
      <c r="PPC3" t="s">
        <v>11413</v>
      </c>
      <c r="PPD3" t="s">
        <v>11414</v>
      </c>
      <c r="PPE3" t="s">
        <v>11415</v>
      </c>
      <c r="PPF3" t="s">
        <v>11416</v>
      </c>
      <c r="PPG3" t="s">
        <v>11417</v>
      </c>
      <c r="PPH3" t="s">
        <v>11418</v>
      </c>
      <c r="PPI3" t="s">
        <v>11419</v>
      </c>
      <c r="PPJ3" t="s">
        <v>11420</v>
      </c>
      <c r="PPK3" t="s">
        <v>11421</v>
      </c>
      <c r="PPL3" t="s">
        <v>11422</v>
      </c>
      <c r="PPM3" t="s">
        <v>11423</v>
      </c>
      <c r="PPN3" t="s">
        <v>11424</v>
      </c>
      <c r="PPO3" t="s">
        <v>11425</v>
      </c>
      <c r="PPP3" t="s">
        <v>11426</v>
      </c>
      <c r="PPQ3" t="s">
        <v>11427</v>
      </c>
      <c r="PPR3" t="s">
        <v>11428</v>
      </c>
      <c r="PPS3" t="s">
        <v>11429</v>
      </c>
      <c r="PPT3" t="s">
        <v>11430</v>
      </c>
      <c r="PPU3" t="s">
        <v>11431</v>
      </c>
      <c r="PPV3" t="s">
        <v>11432</v>
      </c>
      <c r="PPW3" t="s">
        <v>11433</v>
      </c>
      <c r="PPX3" t="s">
        <v>11434</v>
      </c>
      <c r="PPY3" t="s">
        <v>11435</v>
      </c>
      <c r="PPZ3" t="s">
        <v>11436</v>
      </c>
      <c r="PQA3" t="s">
        <v>11437</v>
      </c>
      <c r="PQB3" t="s">
        <v>11438</v>
      </c>
      <c r="PQC3" t="s">
        <v>11439</v>
      </c>
      <c r="PQD3" t="s">
        <v>11440</v>
      </c>
      <c r="PQE3" t="s">
        <v>11441</v>
      </c>
      <c r="PQF3" t="s">
        <v>11442</v>
      </c>
      <c r="PQG3" t="s">
        <v>11443</v>
      </c>
      <c r="PQH3" t="s">
        <v>11444</v>
      </c>
      <c r="PQI3" t="s">
        <v>11445</v>
      </c>
      <c r="PQJ3" t="s">
        <v>11446</v>
      </c>
      <c r="PQK3" t="s">
        <v>11447</v>
      </c>
      <c r="PQL3" t="s">
        <v>11448</v>
      </c>
      <c r="PQM3" t="s">
        <v>11449</v>
      </c>
      <c r="PQN3" t="s">
        <v>11450</v>
      </c>
      <c r="PQO3" t="s">
        <v>11451</v>
      </c>
      <c r="PQP3" t="s">
        <v>11452</v>
      </c>
      <c r="PQQ3" t="s">
        <v>11453</v>
      </c>
      <c r="PQR3" t="s">
        <v>11454</v>
      </c>
      <c r="PQS3" t="s">
        <v>11455</v>
      </c>
      <c r="PQT3" t="s">
        <v>11456</v>
      </c>
      <c r="PQU3" t="s">
        <v>11457</v>
      </c>
      <c r="PQV3" t="s">
        <v>11458</v>
      </c>
      <c r="PQW3" t="s">
        <v>11459</v>
      </c>
      <c r="PQX3" t="s">
        <v>11460</v>
      </c>
      <c r="PQY3" t="s">
        <v>11461</v>
      </c>
      <c r="PQZ3" t="s">
        <v>11462</v>
      </c>
      <c r="PRA3" t="s">
        <v>11463</v>
      </c>
      <c r="PRB3" t="s">
        <v>11464</v>
      </c>
      <c r="PRC3" t="s">
        <v>11465</v>
      </c>
      <c r="PRD3" t="s">
        <v>11466</v>
      </c>
      <c r="PRE3" t="s">
        <v>11467</v>
      </c>
      <c r="PRF3" t="s">
        <v>11468</v>
      </c>
      <c r="PRG3" t="s">
        <v>11469</v>
      </c>
      <c r="PRH3" t="s">
        <v>11470</v>
      </c>
      <c r="PRI3" t="s">
        <v>11471</v>
      </c>
      <c r="PRJ3" t="s">
        <v>11472</v>
      </c>
      <c r="PRK3" t="s">
        <v>11473</v>
      </c>
      <c r="PRL3" t="s">
        <v>11474</v>
      </c>
      <c r="PRM3" t="s">
        <v>11475</v>
      </c>
      <c r="PRN3" t="s">
        <v>11476</v>
      </c>
      <c r="PRO3" t="s">
        <v>11477</v>
      </c>
      <c r="PRP3" t="s">
        <v>11478</v>
      </c>
      <c r="PRQ3" t="s">
        <v>11479</v>
      </c>
      <c r="PRR3" t="s">
        <v>11480</v>
      </c>
      <c r="PRS3" t="s">
        <v>11481</v>
      </c>
      <c r="PRT3" t="s">
        <v>11482</v>
      </c>
      <c r="PRU3" t="s">
        <v>11483</v>
      </c>
      <c r="PRV3" t="s">
        <v>11484</v>
      </c>
      <c r="PRW3" t="s">
        <v>11485</v>
      </c>
      <c r="PRX3" t="s">
        <v>11486</v>
      </c>
      <c r="PRY3" t="s">
        <v>11487</v>
      </c>
      <c r="PRZ3" t="s">
        <v>11488</v>
      </c>
      <c r="PSA3" t="s">
        <v>11489</v>
      </c>
      <c r="PSB3" t="s">
        <v>11490</v>
      </c>
      <c r="PSC3" t="s">
        <v>11491</v>
      </c>
      <c r="PSD3" t="s">
        <v>11492</v>
      </c>
      <c r="PSE3" t="s">
        <v>11493</v>
      </c>
      <c r="PSF3" t="s">
        <v>11494</v>
      </c>
      <c r="PSG3" t="s">
        <v>11495</v>
      </c>
      <c r="PSH3" t="s">
        <v>11496</v>
      </c>
      <c r="PSI3" t="s">
        <v>11497</v>
      </c>
      <c r="PSJ3" t="s">
        <v>11498</v>
      </c>
      <c r="PSK3" t="s">
        <v>11499</v>
      </c>
      <c r="PSL3" t="s">
        <v>11500</v>
      </c>
      <c r="PSM3" t="s">
        <v>11501</v>
      </c>
      <c r="PSN3" t="s">
        <v>11502</v>
      </c>
      <c r="PSO3" t="s">
        <v>11503</v>
      </c>
      <c r="PSP3" t="s">
        <v>11504</v>
      </c>
      <c r="PSQ3" t="s">
        <v>11505</v>
      </c>
      <c r="PSR3" t="s">
        <v>11506</v>
      </c>
      <c r="PSS3" t="s">
        <v>11507</v>
      </c>
      <c r="PST3" t="s">
        <v>11508</v>
      </c>
      <c r="PSU3" t="s">
        <v>11509</v>
      </c>
      <c r="PSV3" t="s">
        <v>11510</v>
      </c>
      <c r="PSW3" t="s">
        <v>11511</v>
      </c>
      <c r="PSX3" t="s">
        <v>11512</v>
      </c>
      <c r="PSY3" t="s">
        <v>11513</v>
      </c>
      <c r="PSZ3" t="s">
        <v>11514</v>
      </c>
      <c r="PTA3" t="s">
        <v>11515</v>
      </c>
      <c r="PTB3" t="s">
        <v>11516</v>
      </c>
      <c r="PTC3" t="s">
        <v>11517</v>
      </c>
      <c r="PTD3" t="s">
        <v>11518</v>
      </c>
      <c r="PTE3" t="s">
        <v>11519</v>
      </c>
      <c r="PTF3" t="s">
        <v>11520</v>
      </c>
      <c r="PTG3" t="s">
        <v>11521</v>
      </c>
      <c r="PTH3" t="s">
        <v>11522</v>
      </c>
      <c r="PTI3" t="s">
        <v>11523</v>
      </c>
      <c r="PTJ3" t="s">
        <v>11524</v>
      </c>
      <c r="PTK3" t="s">
        <v>11525</v>
      </c>
      <c r="PTL3" t="s">
        <v>11526</v>
      </c>
      <c r="PTM3" t="s">
        <v>11527</v>
      </c>
      <c r="PTN3" t="s">
        <v>11528</v>
      </c>
      <c r="PTO3" t="s">
        <v>11529</v>
      </c>
      <c r="PTP3" t="s">
        <v>11530</v>
      </c>
      <c r="PTQ3" t="s">
        <v>11531</v>
      </c>
      <c r="PTR3" t="s">
        <v>11532</v>
      </c>
      <c r="PTS3" t="s">
        <v>11533</v>
      </c>
      <c r="PTT3" t="s">
        <v>11534</v>
      </c>
      <c r="PTU3" t="s">
        <v>11535</v>
      </c>
      <c r="PTV3" t="s">
        <v>11536</v>
      </c>
      <c r="PTW3" t="s">
        <v>11537</v>
      </c>
      <c r="PTX3" t="s">
        <v>11538</v>
      </c>
      <c r="PTY3" t="s">
        <v>11539</v>
      </c>
      <c r="PTZ3" t="s">
        <v>11540</v>
      </c>
      <c r="PUA3" t="s">
        <v>11541</v>
      </c>
      <c r="PUB3" t="s">
        <v>11542</v>
      </c>
      <c r="PUC3" t="s">
        <v>11543</v>
      </c>
      <c r="PUD3" t="s">
        <v>11544</v>
      </c>
      <c r="PUE3" t="s">
        <v>11545</v>
      </c>
      <c r="PUF3" t="s">
        <v>11546</v>
      </c>
      <c r="PUG3" t="s">
        <v>11547</v>
      </c>
      <c r="PUH3" t="s">
        <v>11548</v>
      </c>
      <c r="PUI3" t="s">
        <v>11549</v>
      </c>
      <c r="PUJ3" t="s">
        <v>11550</v>
      </c>
      <c r="PUK3" t="s">
        <v>11551</v>
      </c>
      <c r="PUL3" t="s">
        <v>11552</v>
      </c>
      <c r="PUM3" t="s">
        <v>11553</v>
      </c>
      <c r="PUN3" t="s">
        <v>11554</v>
      </c>
      <c r="PUO3" t="s">
        <v>11555</v>
      </c>
      <c r="PUP3" t="s">
        <v>11556</v>
      </c>
      <c r="PUQ3" t="s">
        <v>11557</v>
      </c>
      <c r="PUR3" t="s">
        <v>11558</v>
      </c>
      <c r="PUS3" t="s">
        <v>11559</v>
      </c>
      <c r="PUT3" t="s">
        <v>11560</v>
      </c>
      <c r="PUU3" t="s">
        <v>11561</v>
      </c>
      <c r="PUV3" t="s">
        <v>11562</v>
      </c>
      <c r="PUW3" t="s">
        <v>11563</v>
      </c>
      <c r="PUX3" t="s">
        <v>11564</v>
      </c>
      <c r="PUY3" t="s">
        <v>11565</v>
      </c>
      <c r="PUZ3" t="s">
        <v>11566</v>
      </c>
      <c r="PVA3" t="s">
        <v>11567</v>
      </c>
      <c r="PVB3" t="s">
        <v>11568</v>
      </c>
      <c r="PVC3" t="s">
        <v>11569</v>
      </c>
      <c r="PVD3" t="s">
        <v>11570</v>
      </c>
      <c r="PVE3" t="s">
        <v>11571</v>
      </c>
      <c r="PVF3" t="s">
        <v>11572</v>
      </c>
      <c r="PVG3" t="s">
        <v>11573</v>
      </c>
      <c r="PVH3" t="s">
        <v>11574</v>
      </c>
      <c r="PVI3" t="s">
        <v>11575</v>
      </c>
      <c r="PVJ3" t="s">
        <v>11576</v>
      </c>
      <c r="PVK3" t="s">
        <v>11577</v>
      </c>
      <c r="PVL3" t="s">
        <v>11578</v>
      </c>
      <c r="PVM3" t="s">
        <v>11579</v>
      </c>
      <c r="PVN3" t="s">
        <v>11580</v>
      </c>
      <c r="PVO3" t="s">
        <v>11581</v>
      </c>
      <c r="PVP3" t="s">
        <v>11582</v>
      </c>
      <c r="PVQ3" t="s">
        <v>11583</v>
      </c>
      <c r="PVR3" t="s">
        <v>11584</v>
      </c>
      <c r="PVS3" t="s">
        <v>11585</v>
      </c>
      <c r="PVT3" t="s">
        <v>11586</v>
      </c>
      <c r="PVU3" t="s">
        <v>11587</v>
      </c>
      <c r="PVV3" t="s">
        <v>11588</v>
      </c>
      <c r="PVW3" t="s">
        <v>11589</v>
      </c>
      <c r="PVX3" t="s">
        <v>11590</v>
      </c>
      <c r="PVY3" t="s">
        <v>11591</v>
      </c>
      <c r="PVZ3" t="s">
        <v>11592</v>
      </c>
      <c r="PWA3" t="s">
        <v>11593</v>
      </c>
      <c r="PWB3" t="s">
        <v>11594</v>
      </c>
      <c r="PWC3" t="s">
        <v>11595</v>
      </c>
      <c r="PWD3" t="s">
        <v>11596</v>
      </c>
      <c r="PWE3" t="s">
        <v>11597</v>
      </c>
      <c r="PWF3" t="s">
        <v>11598</v>
      </c>
      <c r="PWG3" t="s">
        <v>11599</v>
      </c>
      <c r="PWH3" t="s">
        <v>11600</v>
      </c>
      <c r="PWI3" t="s">
        <v>11601</v>
      </c>
      <c r="PWJ3" t="s">
        <v>11602</v>
      </c>
      <c r="PWK3" t="s">
        <v>11603</v>
      </c>
      <c r="PWL3" t="s">
        <v>11604</v>
      </c>
      <c r="PWM3" t="s">
        <v>11605</v>
      </c>
      <c r="PWN3" t="s">
        <v>11606</v>
      </c>
      <c r="PWO3" t="s">
        <v>11607</v>
      </c>
      <c r="PWP3" t="s">
        <v>11608</v>
      </c>
      <c r="PWQ3" t="s">
        <v>11609</v>
      </c>
      <c r="PWR3" t="s">
        <v>11610</v>
      </c>
      <c r="PWS3" t="s">
        <v>11611</v>
      </c>
      <c r="PWT3" t="s">
        <v>11612</v>
      </c>
      <c r="PWU3" t="s">
        <v>11613</v>
      </c>
      <c r="PWV3" t="s">
        <v>11614</v>
      </c>
      <c r="PWW3" t="s">
        <v>11615</v>
      </c>
      <c r="PWX3" t="s">
        <v>11616</v>
      </c>
      <c r="PWY3" t="s">
        <v>11617</v>
      </c>
      <c r="PWZ3" t="s">
        <v>11618</v>
      </c>
      <c r="PXA3" t="s">
        <v>11619</v>
      </c>
      <c r="PXB3" t="s">
        <v>11620</v>
      </c>
      <c r="PXC3" t="s">
        <v>11621</v>
      </c>
      <c r="PXD3" t="s">
        <v>11622</v>
      </c>
      <c r="PXE3" t="s">
        <v>11623</v>
      </c>
      <c r="PXF3" t="s">
        <v>11624</v>
      </c>
      <c r="PXG3" t="s">
        <v>11625</v>
      </c>
      <c r="PXH3" t="s">
        <v>11626</v>
      </c>
      <c r="PXI3" t="s">
        <v>11627</v>
      </c>
      <c r="PXJ3" t="s">
        <v>11628</v>
      </c>
      <c r="PXK3" t="s">
        <v>11629</v>
      </c>
      <c r="PXL3" t="s">
        <v>11630</v>
      </c>
      <c r="PXM3" t="s">
        <v>11631</v>
      </c>
      <c r="PXN3" t="s">
        <v>11632</v>
      </c>
      <c r="PXO3" t="s">
        <v>11633</v>
      </c>
      <c r="PXP3" t="s">
        <v>11634</v>
      </c>
      <c r="PXQ3" t="s">
        <v>11635</v>
      </c>
      <c r="PXR3" t="s">
        <v>11636</v>
      </c>
      <c r="PXS3" t="s">
        <v>11637</v>
      </c>
      <c r="PXT3" t="s">
        <v>11638</v>
      </c>
      <c r="PXU3" t="s">
        <v>11639</v>
      </c>
      <c r="PXV3" t="s">
        <v>11640</v>
      </c>
      <c r="PXW3" t="s">
        <v>11641</v>
      </c>
      <c r="PXX3" t="s">
        <v>11642</v>
      </c>
      <c r="PXY3" t="s">
        <v>11643</v>
      </c>
      <c r="PXZ3" t="s">
        <v>11644</v>
      </c>
      <c r="PYA3" t="s">
        <v>11645</v>
      </c>
      <c r="PYB3" t="s">
        <v>11646</v>
      </c>
      <c r="PYC3" t="s">
        <v>11647</v>
      </c>
      <c r="PYD3" t="s">
        <v>11648</v>
      </c>
      <c r="PYE3" t="s">
        <v>11649</v>
      </c>
      <c r="PYF3" t="s">
        <v>11650</v>
      </c>
      <c r="PYG3" t="s">
        <v>11651</v>
      </c>
      <c r="PYH3" t="s">
        <v>11652</v>
      </c>
      <c r="PYI3" t="s">
        <v>11653</v>
      </c>
      <c r="PYJ3" t="s">
        <v>11654</v>
      </c>
      <c r="PYK3" t="s">
        <v>11655</v>
      </c>
      <c r="PYL3" t="s">
        <v>11656</v>
      </c>
      <c r="PYM3" t="s">
        <v>11657</v>
      </c>
      <c r="PYN3" t="s">
        <v>11658</v>
      </c>
      <c r="PYO3" t="s">
        <v>11659</v>
      </c>
      <c r="PYP3" t="s">
        <v>11660</v>
      </c>
      <c r="PYQ3" t="s">
        <v>11661</v>
      </c>
      <c r="PYR3" t="s">
        <v>11662</v>
      </c>
      <c r="PYS3" t="s">
        <v>11663</v>
      </c>
      <c r="PYT3" t="s">
        <v>11664</v>
      </c>
      <c r="PYU3" t="s">
        <v>11665</v>
      </c>
      <c r="PYV3" t="s">
        <v>11666</v>
      </c>
      <c r="PYW3" t="s">
        <v>11667</v>
      </c>
      <c r="PYX3" t="s">
        <v>11668</v>
      </c>
      <c r="PYY3" t="s">
        <v>11669</v>
      </c>
      <c r="PYZ3" t="s">
        <v>11670</v>
      </c>
      <c r="PZA3" t="s">
        <v>11671</v>
      </c>
      <c r="PZB3" t="s">
        <v>11672</v>
      </c>
      <c r="PZC3" t="s">
        <v>11673</v>
      </c>
      <c r="PZD3" t="s">
        <v>11674</v>
      </c>
      <c r="PZE3" t="s">
        <v>11675</v>
      </c>
      <c r="PZF3" t="s">
        <v>11676</v>
      </c>
      <c r="PZG3" t="s">
        <v>11677</v>
      </c>
      <c r="PZH3" t="s">
        <v>11678</v>
      </c>
      <c r="PZI3" t="s">
        <v>11679</v>
      </c>
      <c r="PZJ3" t="s">
        <v>11680</v>
      </c>
      <c r="PZK3" t="s">
        <v>11681</v>
      </c>
      <c r="PZL3" t="s">
        <v>11682</v>
      </c>
      <c r="PZM3" t="s">
        <v>11683</v>
      </c>
      <c r="PZN3" t="s">
        <v>11684</v>
      </c>
      <c r="PZO3" t="s">
        <v>11685</v>
      </c>
      <c r="PZP3" t="s">
        <v>11686</v>
      </c>
      <c r="PZQ3" t="s">
        <v>11687</v>
      </c>
      <c r="PZR3" t="s">
        <v>11688</v>
      </c>
      <c r="PZS3" t="s">
        <v>11689</v>
      </c>
      <c r="PZT3" t="s">
        <v>11690</v>
      </c>
      <c r="PZU3" t="s">
        <v>11691</v>
      </c>
      <c r="PZV3" t="s">
        <v>11692</v>
      </c>
      <c r="PZW3" t="s">
        <v>11693</v>
      </c>
      <c r="PZX3" t="s">
        <v>11694</v>
      </c>
      <c r="PZY3" t="s">
        <v>11695</v>
      </c>
      <c r="PZZ3" t="s">
        <v>11696</v>
      </c>
      <c r="QAA3" t="s">
        <v>11697</v>
      </c>
      <c r="QAB3" t="s">
        <v>11698</v>
      </c>
      <c r="QAC3" t="s">
        <v>11699</v>
      </c>
      <c r="QAD3" t="s">
        <v>11700</v>
      </c>
      <c r="QAE3" t="s">
        <v>11701</v>
      </c>
      <c r="QAF3" t="s">
        <v>11702</v>
      </c>
      <c r="QAG3" t="s">
        <v>11703</v>
      </c>
      <c r="QAH3" t="s">
        <v>11704</v>
      </c>
      <c r="QAI3" t="s">
        <v>11705</v>
      </c>
      <c r="QAJ3" t="s">
        <v>11706</v>
      </c>
      <c r="QAK3" t="s">
        <v>11707</v>
      </c>
      <c r="QAL3" t="s">
        <v>11708</v>
      </c>
      <c r="QAM3" t="s">
        <v>11709</v>
      </c>
      <c r="QAN3" t="s">
        <v>11710</v>
      </c>
      <c r="QAO3" t="s">
        <v>11711</v>
      </c>
      <c r="QAP3" t="s">
        <v>11712</v>
      </c>
      <c r="QAQ3" t="s">
        <v>11713</v>
      </c>
      <c r="QAR3" t="s">
        <v>11714</v>
      </c>
      <c r="QAS3" t="s">
        <v>11715</v>
      </c>
      <c r="QAT3" t="s">
        <v>11716</v>
      </c>
      <c r="QAU3" t="s">
        <v>11717</v>
      </c>
      <c r="QAV3" t="s">
        <v>11718</v>
      </c>
      <c r="QAW3" t="s">
        <v>11719</v>
      </c>
      <c r="QAX3" t="s">
        <v>11720</v>
      </c>
      <c r="QAY3" t="s">
        <v>11721</v>
      </c>
      <c r="QAZ3" t="s">
        <v>11722</v>
      </c>
      <c r="QBA3" t="s">
        <v>11723</v>
      </c>
      <c r="QBB3" t="s">
        <v>11724</v>
      </c>
      <c r="QBC3" t="s">
        <v>11725</v>
      </c>
      <c r="QBD3" t="s">
        <v>11726</v>
      </c>
      <c r="QBE3" t="s">
        <v>11727</v>
      </c>
      <c r="QBF3" t="s">
        <v>11728</v>
      </c>
      <c r="QBG3" t="s">
        <v>11729</v>
      </c>
      <c r="QBH3" t="s">
        <v>11730</v>
      </c>
      <c r="QBI3" t="s">
        <v>11731</v>
      </c>
      <c r="QBJ3" t="s">
        <v>11732</v>
      </c>
      <c r="QBK3" t="s">
        <v>11733</v>
      </c>
      <c r="QBL3" t="s">
        <v>11734</v>
      </c>
      <c r="QBM3" t="s">
        <v>11735</v>
      </c>
      <c r="QBN3" t="s">
        <v>11736</v>
      </c>
      <c r="QBO3" t="s">
        <v>11737</v>
      </c>
      <c r="QBP3" t="s">
        <v>11738</v>
      </c>
      <c r="QBQ3" t="s">
        <v>11739</v>
      </c>
      <c r="QBR3" t="s">
        <v>11740</v>
      </c>
      <c r="QBS3" t="s">
        <v>11741</v>
      </c>
      <c r="QBT3" t="s">
        <v>11742</v>
      </c>
      <c r="QBU3" t="s">
        <v>11743</v>
      </c>
      <c r="QBV3" t="s">
        <v>11744</v>
      </c>
      <c r="QBW3" t="s">
        <v>11745</v>
      </c>
      <c r="QBX3" t="s">
        <v>11746</v>
      </c>
      <c r="QBY3" t="s">
        <v>11747</v>
      </c>
      <c r="QBZ3" t="s">
        <v>11748</v>
      </c>
      <c r="QCA3" t="s">
        <v>11749</v>
      </c>
      <c r="QCB3" t="s">
        <v>11750</v>
      </c>
      <c r="QCC3" t="s">
        <v>11751</v>
      </c>
      <c r="QCD3" t="s">
        <v>11752</v>
      </c>
      <c r="QCE3" t="s">
        <v>11753</v>
      </c>
      <c r="QCF3" t="s">
        <v>11754</v>
      </c>
      <c r="QCG3" t="s">
        <v>11755</v>
      </c>
      <c r="QCH3" t="s">
        <v>11756</v>
      </c>
      <c r="QCI3" t="s">
        <v>11757</v>
      </c>
      <c r="QCJ3" t="s">
        <v>11758</v>
      </c>
      <c r="QCK3" t="s">
        <v>11759</v>
      </c>
      <c r="QCL3" t="s">
        <v>11760</v>
      </c>
      <c r="QCM3" t="s">
        <v>11761</v>
      </c>
      <c r="QCN3" t="s">
        <v>11762</v>
      </c>
      <c r="QCO3" t="s">
        <v>11763</v>
      </c>
      <c r="QCP3" t="s">
        <v>11764</v>
      </c>
      <c r="QCQ3" t="s">
        <v>11765</v>
      </c>
      <c r="QCR3" t="s">
        <v>11766</v>
      </c>
      <c r="QCS3" t="s">
        <v>11767</v>
      </c>
      <c r="QCT3" t="s">
        <v>11768</v>
      </c>
      <c r="QCU3" t="s">
        <v>11769</v>
      </c>
      <c r="QCV3" t="s">
        <v>11770</v>
      </c>
      <c r="QCW3" t="s">
        <v>11771</v>
      </c>
      <c r="QCX3" t="s">
        <v>11772</v>
      </c>
      <c r="QCY3" t="s">
        <v>11773</v>
      </c>
      <c r="QCZ3" t="s">
        <v>11774</v>
      </c>
      <c r="QDA3" t="s">
        <v>11775</v>
      </c>
      <c r="QDB3" t="s">
        <v>11776</v>
      </c>
      <c r="QDC3" t="s">
        <v>11777</v>
      </c>
      <c r="QDD3" t="s">
        <v>11778</v>
      </c>
      <c r="QDE3" t="s">
        <v>11779</v>
      </c>
      <c r="QDF3" t="s">
        <v>11780</v>
      </c>
      <c r="QDG3" t="s">
        <v>11781</v>
      </c>
      <c r="QDH3" t="s">
        <v>11782</v>
      </c>
      <c r="QDI3" t="s">
        <v>11783</v>
      </c>
      <c r="QDJ3" t="s">
        <v>11784</v>
      </c>
      <c r="QDK3" t="s">
        <v>11785</v>
      </c>
      <c r="QDL3" t="s">
        <v>11786</v>
      </c>
      <c r="QDM3" t="s">
        <v>11787</v>
      </c>
      <c r="QDN3" t="s">
        <v>11788</v>
      </c>
      <c r="QDO3" t="s">
        <v>11789</v>
      </c>
      <c r="QDP3" t="s">
        <v>11790</v>
      </c>
      <c r="QDQ3" t="s">
        <v>11791</v>
      </c>
      <c r="QDR3" t="s">
        <v>11792</v>
      </c>
      <c r="QDS3" t="s">
        <v>11793</v>
      </c>
      <c r="QDT3" t="s">
        <v>11794</v>
      </c>
      <c r="QDU3" t="s">
        <v>11795</v>
      </c>
      <c r="QDV3" t="s">
        <v>11796</v>
      </c>
      <c r="QDW3" t="s">
        <v>11797</v>
      </c>
      <c r="QDX3" t="s">
        <v>11798</v>
      </c>
      <c r="QDY3" t="s">
        <v>11799</v>
      </c>
      <c r="QDZ3" t="s">
        <v>11800</v>
      </c>
      <c r="QEA3" t="s">
        <v>11801</v>
      </c>
      <c r="QEB3" t="s">
        <v>11802</v>
      </c>
      <c r="QEC3" t="s">
        <v>11803</v>
      </c>
      <c r="QED3" t="s">
        <v>11804</v>
      </c>
      <c r="QEE3" t="s">
        <v>11805</v>
      </c>
      <c r="QEF3" t="s">
        <v>11806</v>
      </c>
      <c r="QEG3" t="s">
        <v>11807</v>
      </c>
      <c r="QEH3" t="s">
        <v>11808</v>
      </c>
      <c r="QEI3" t="s">
        <v>11809</v>
      </c>
      <c r="QEJ3" t="s">
        <v>11810</v>
      </c>
      <c r="QEK3" t="s">
        <v>11811</v>
      </c>
      <c r="QEL3" t="s">
        <v>11812</v>
      </c>
      <c r="QEM3" t="s">
        <v>11813</v>
      </c>
      <c r="QEN3" t="s">
        <v>11814</v>
      </c>
      <c r="QEO3" t="s">
        <v>11815</v>
      </c>
      <c r="QEP3" t="s">
        <v>11816</v>
      </c>
      <c r="QEQ3" t="s">
        <v>11817</v>
      </c>
      <c r="QER3" t="s">
        <v>11818</v>
      </c>
      <c r="QES3" t="s">
        <v>11819</v>
      </c>
      <c r="QET3" t="s">
        <v>11820</v>
      </c>
      <c r="QEU3" t="s">
        <v>11821</v>
      </c>
      <c r="QEV3" t="s">
        <v>11822</v>
      </c>
      <c r="QEW3" t="s">
        <v>11823</v>
      </c>
      <c r="QEX3" t="s">
        <v>11824</v>
      </c>
      <c r="QEY3" t="s">
        <v>11825</v>
      </c>
      <c r="QEZ3" t="s">
        <v>11826</v>
      </c>
      <c r="QFA3" t="s">
        <v>11827</v>
      </c>
      <c r="QFB3" t="s">
        <v>11828</v>
      </c>
      <c r="QFC3" t="s">
        <v>11829</v>
      </c>
      <c r="QFD3" t="s">
        <v>11830</v>
      </c>
      <c r="QFE3" t="s">
        <v>11831</v>
      </c>
      <c r="QFF3" t="s">
        <v>11832</v>
      </c>
      <c r="QFG3" t="s">
        <v>11833</v>
      </c>
      <c r="QFH3" t="s">
        <v>11834</v>
      </c>
      <c r="QFI3" t="s">
        <v>11835</v>
      </c>
      <c r="QFJ3" t="s">
        <v>11836</v>
      </c>
      <c r="QFK3" t="s">
        <v>11837</v>
      </c>
      <c r="QFL3" t="s">
        <v>11838</v>
      </c>
      <c r="QFM3" t="s">
        <v>11839</v>
      </c>
      <c r="QFN3" t="s">
        <v>11840</v>
      </c>
      <c r="QFO3" t="s">
        <v>11841</v>
      </c>
      <c r="QFP3" t="s">
        <v>11842</v>
      </c>
      <c r="QFQ3" t="s">
        <v>11843</v>
      </c>
      <c r="QFR3" t="s">
        <v>11844</v>
      </c>
      <c r="QFS3" t="s">
        <v>11845</v>
      </c>
      <c r="QFT3" t="s">
        <v>11846</v>
      </c>
      <c r="QFU3" t="s">
        <v>11847</v>
      </c>
      <c r="QFV3" t="s">
        <v>11848</v>
      </c>
      <c r="QFW3" t="s">
        <v>11849</v>
      </c>
      <c r="QFX3" t="s">
        <v>11850</v>
      </c>
      <c r="QFY3" t="s">
        <v>11851</v>
      </c>
      <c r="QFZ3" t="s">
        <v>11852</v>
      </c>
      <c r="QGA3" t="s">
        <v>11853</v>
      </c>
      <c r="QGB3" t="s">
        <v>11854</v>
      </c>
      <c r="QGC3" t="s">
        <v>11855</v>
      </c>
      <c r="QGD3" t="s">
        <v>11856</v>
      </c>
      <c r="QGE3" t="s">
        <v>11857</v>
      </c>
      <c r="QGF3" t="s">
        <v>11858</v>
      </c>
      <c r="QGG3" t="s">
        <v>11859</v>
      </c>
      <c r="QGH3" t="s">
        <v>11860</v>
      </c>
      <c r="QGI3" t="s">
        <v>11861</v>
      </c>
      <c r="QGJ3" t="s">
        <v>11862</v>
      </c>
      <c r="QGK3" t="s">
        <v>11863</v>
      </c>
      <c r="QGL3" t="s">
        <v>11864</v>
      </c>
      <c r="QGM3" t="s">
        <v>11865</v>
      </c>
      <c r="QGN3" t="s">
        <v>11866</v>
      </c>
      <c r="QGO3" t="s">
        <v>11867</v>
      </c>
      <c r="QGP3" t="s">
        <v>11868</v>
      </c>
      <c r="QGQ3" t="s">
        <v>11869</v>
      </c>
      <c r="QGR3" t="s">
        <v>11870</v>
      </c>
      <c r="QGS3" t="s">
        <v>11871</v>
      </c>
      <c r="QGT3" t="s">
        <v>11872</v>
      </c>
      <c r="QGU3" t="s">
        <v>11873</v>
      </c>
      <c r="QGV3" t="s">
        <v>11874</v>
      </c>
      <c r="QGW3" t="s">
        <v>11875</v>
      </c>
      <c r="QGX3" t="s">
        <v>11876</v>
      </c>
      <c r="QGY3" t="s">
        <v>11877</v>
      </c>
      <c r="QGZ3" t="s">
        <v>11878</v>
      </c>
      <c r="QHA3" t="s">
        <v>11879</v>
      </c>
      <c r="QHB3" t="s">
        <v>11880</v>
      </c>
      <c r="QHC3" t="s">
        <v>11881</v>
      </c>
      <c r="QHD3" t="s">
        <v>11882</v>
      </c>
      <c r="QHE3" t="s">
        <v>11883</v>
      </c>
      <c r="QHF3" t="s">
        <v>11884</v>
      </c>
      <c r="QHG3" t="s">
        <v>11885</v>
      </c>
      <c r="QHH3" t="s">
        <v>11886</v>
      </c>
      <c r="QHI3" t="s">
        <v>11887</v>
      </c>
      <c r="QHJ3" t="s">
        <v>11888</v>
      </c>
      <c r="QHK3" t="s">
        <v>11889</v>
      </c>
      <c r="QHL3" t="s">
        <v>11890</v>
      </c>
      <c r="QHM3" t="s">
        <v>11891</v>
      </c>
      <c r="QHN3" t="s">
        <v>11892</v>
      </c>
      <c r="QHO3" t="s">
        <v>11893</v>
      </c>
      <c r="QHP3" t="s">
        <v>11894</v>
      </c>
      <c r="QHQ3" t="s">
        <v>11895</v>
      </c>
      <c r="QHR3" t="s">
        <v>11896</v>
      </c>
      <c r="QHS3" t="s">
        <v>11897</v>
      </c>
      <c r="QHT3" t="s">
        <v>11898</v>
      </c>
      <c r="QHU3" t="s">
        <v>11899</v>
      </c>
      <c r="QHV3" t="s">
        <v>11900</v>
      </c>
      <c r="QHW3" t="s">
        <v>11901</v>
      </c>
      <c r="QHX3" t="s">
        <v>11902</v>
      </c>
      <c r="QHY3" t="s">
        <v>11903</v>
      </c>
      <c r="QHZ3" t="s">
        <v>11904</v>
      </c>
      <c r="QIA3" t="s">
        <v>11905</v>
      </c>
      <c r="QIB3" t="s">
        <v>11906</v>
      </c>
      <c r="QIC3" t="s">
        <v>11907</v>
      </c>
      <c r="QID3" t="s">
        <v>11908</v>
      </c>
      <c r="QIE3" t="s">
        <v>11909</v>
      </c>
      <c r="QIF3" t="s">
        <v>11910</v>
      </c>
      <c r="QIG3" t="s">
        <v>11911</v>
      </c>
      <c r="QIH3" t="s">
        <v>11912</v>
      </c>
      <c r="QII3" t="s">
        <v>11913</v>
      </c>
      <c r="QIJ3" t="s">
        <v>11914</v>
      </c>
      <c r="QIK3" t="s">
        <v>11915</v>
      </c>
      <c r="QIL3" t="s">
        <v>11916</v>
      </c>
      <c r="QIM3" t="s">
        <v>11917</v>
      </c>
      <c r="QIN3" t="s">
        <v>11918</v>
      </c>
      <c r="QIO3" t="s">
        <v>11919</v>
      </c>
      <c r="QIP3" t="s">
        <v>11920</v>
      </c>
      <c r="QIQ3" t="s">
        <v>11921</v>
      </c>
      <c r="QIR3" t="s">
        <v>11922</v>
      </c>
      <c r="QIS3" t="s">
        <v>11923</v>
      </c>
      <c r="QIT3" t="s">
        <v>11924</v>
      </c>
      <c r="QIU3" t="s">
        <v>11925</v>
      </c>
      <c r="QIV3" t="s">
        <v>11926</v>
      </c>
      <c r="QIW3" t="s">
        <v>11927</v>
      </c>
      <c r="QIX3" t="s">
        <v>11928</v>
      </c>
      <c r="QIY3" t="s">
        <v>11929</v>
      </c>
      <c r="QIZ3" t="s">
        <v>11930</v>
      </c>
      <c r="QJA3" t="s">
        <v>11931</v>
      </c>
      <c r="QJB3" t="s">
        <v>11932</v>
      </c>
      <c r="QJC3" t="s">
        <v>11933</v>
      </c>
      <c r="QJD3" t="s">
        <v>11934</v>
      </c>
      <c r="QJE3" t="s">
        <v>11935</v>
      </c>
      <c r="QJF3" t="s">
        <v>11936</v>
      </c>
      <c r="QJG3" t="s">
        <v>11937</v>
      </c>
      <c r="QJH3" t="s">
        <v>11938</v>
      </c>
      <c r="QJI3" t="s">
        <v>11939</v>
      </c>
      <c r="QJJ3" t="s">
        <v>11940</v>
      </c>
      <c r="QJK3" t="s">
        <v>11941</v>
      </c>
      <c r="QJL3" t="s">
        <v>11942</v>
      </c>
      <c r="QJM3" t="s">
        <v>11943</v>
      </c>
      <c r="QJN3" t="s">
        <v>11944</v>
      </c>
      <c r="QJO3" t="s">
        <v>11945</v>
      </c>
      <c r="QJP3" t="s">
        <v>11946</v>
      </c>
      <c r="QJQ3" t="s">
        <v>11947</v>
      </c>
      <c r="QJR3" t="s">
        <v>11948</v>
      </c>
      <c r="QJS3" t="s">
        <v>11949</v>
      </c>
      <c r="QJT3" t="s">
        <v>11950</v>
      </c>
      <c r="QJU3" t="s">
        <v>11951</v>
      </c>
      <c r="QJV3" t="s">
        <v>11952</v>
      </c>
      <c r="QJW3" t="s">
        <v>11953</v>
      </c>
      <c r="QJX3" t="s">
        <v>11954</v>
      </c>
      <c r="QJY3" t="s">
        <v>11955</v>
      </c>
      <c r="QJZ3" t="s">
        <v>11956</v>
      </c>
      <c r="QKA3" t="s">
        <v>11957</v>
      </c>
      <c r="QKB3" t="s">
        <v>11958</v>
      </c>
      <c r="QKC3" t="s">
        <v>11959</v>
      </c>
      <c r="QKD3" t="s">
        <v>11960</v>
      </c>
      <c r="QKE3" t="s">
        <v>11961</v>
      </c>
      <c r="QKF3" t="s">
        <v>11962</v>
      </c>
      <c r="QKG3" t="s">
        <v>11963</v>
      </c>
      <c r="QKH3" t="s">
        <v>11964</v>
      </c>
      <c r="QKI3" t="s">
        <v>11965</v>
      </c>
      <c r="QKJ3" t="s">
        <v>11966</v>
      </c>
      <c r="QKK3" t="s">
        <v>11967</v>
      </c>
      <c r="QKL3" t="s">
        <v>11968</v>
      </c>
      <c r="QKM3" t="s">
        <v>11969</v>
      </c>
      <c r="QKN3" t="s">
        <v>11970</v>
      </c>
      <c r="QKO3" t="s">
        <v>11971</v>
      </c>
      <c r="QKP3" t="s">
        <v>11972</v>
      </c>
      <c r="QKQ3" t="s">
        <v>11973</v>
      </c>
      <c r="QKR3" t="s">
        <v>11974</v>
      </c>
      <c r="QKS3" t="s">
        <v>11975</v>
      </c>
      <c r="QKT3" t="s">
        <v>11976</v>
      </c>
      <c r="QKU3" t="s">
        <v>11977</v>
      </c>
      <c r="QKV3" t="s">
        <v>11978</v>
      </c>
      <c r="QKW3" t="s">
        <v>11979</v>
      </c>
      <c r="QKX3" t="s">
        <v>11980</v>
      </c>
      <c r="QKY3" t="s">
        <v>11981</v>
      </c>
      <c r="QKZ3" t="s">
        <v>11982</v>
      </c>
      <c r="QLA3" t="s">
        <v>11983</v>
      </c>
      <c r="QLB3" t="s">
        <v>11984</v>
      </c>
      <c r="QLC3" t="s">
        <v>11985</v>
      </c>
      <c r="QLD3" t="s">
        <v>11986</v>
      </c>
      <c r="QLE3" t="s">
        <v>11987</v>
      </c>
      <c r="QLF3" t="s">
        <v>11988</v>
      </c>
      <c r="QLG3" t="s">
        <v>11989</v>
      </c>
      <c r="QLH3" t="s">
        <v>11990</v>
      </c>
      <c r="QLI3" t="s">
        <v>11991</v>
      </c>
      <c r="QLJ3" t="s">
        <v>11992</v>
      </c>
      <c r="QLK3" t="s">
        <v>11993</v>
      </c>
      <c r="QLL3" t="s">
        <v>11994</v>
      </c>
      <c r="QLM3" t="s">
        <v>11995</v>
      </c>
      <c r="QLN3" t="s">
        <v>11996</v>
      </c>
      <c r="QLO3" t="s">
        <v>11997</v>
      </c>
      <c r="QLP3" t="s">
        <v>11998</v>
      </c>
      <c r="QLQ3" t="s">
        <v>11999</v>
      </c>
      <c r="QLR3" t="s">
        <v>12000</v>
      </c>
      <c r="QLS3" t="s">
        <v>12001</v>
      </c>
      <c r="QLT3" t="s">
        <v>12002</v>
      </c>
      <c r="QLU3" t="s">
        <v>12003</v>
      </c>
      <c r="QLV3" t="s">
        <v>12004</v>
      </c>
      <c r="QLW3" t="s">
        <v>12005</v>
      </c>
      <c r="QLX3" t="s">
        <v>12006</v>
      </c>
      <c r="QLY3" t="s">
        <v>12007</v>
      </c>
      <c r="QLZ3" t="s">
        <v>12008</v>
      </c>
      <c r="QMA3" t="s">
        <v>12009</v>
      </c>
      <c r="QMB3" t="s">
        <v>12010</v>
      </c>
      <c r="QMC3" t="s">
        <v>12011</v>
      </c>
      <c r="QMD3" t="s">
        <v>12012</v>
      </c>
      <c r="QME3" t="s">
        <v>12013</v>
      </c>
      <c r="QMF3" t="s">
        <v>12014</v>
      </c>
      <c r="QMG3" t="s">
        <v>12015</v>
      </c>
      <c r="QMH3" t="s">
        <v>12016</v>
      </c>
      <c r="QMI3" t="s">
        <v>12017</v>
      </c>
      <c r="QMJ3" t="s">
        <v>12018</v>
      </c>
      <c r="QMK3" t="s">
        <v>12019</v>
      </c>
      <c r="QML3" t="s">
        <v>12020</v>
      </c>
      <c r="QMM3" t="s">
        <v>12021</v>
      </c>
      <c r="QMN3" t="s">
        <v>12022</v>
      </c>
      <c r="QMO3" t="s">
        <v>12023</v>
      </c>
      <c r="QMP3" t="s">
        <v>12024</v>
      </c>
      <c r="QMQ3" t="s">
        <v>12025</v>
      </c>
      <c r="QMR3" t="s">
        <v>12026</v>
      </c>
      <c r="QMS3" t="s">
        <v>12027</v>
      </c>
      <c r="QMT3" t="s">
        <v>12028</v>
      </c>
      <c r="QMU3" t="s">
        <v>12029</v>
      </c>
      <c r="QMV3" t="s">
        <v>12030</v>
      </c>
      <c r="QMW3" t="s">
        <v>12031</v>
      </c>
      <c r="QMX3" t="s">
        <v>12032</v>
      </c>
      <c r="QMY3" t="s">
        <v>12033</v>
      </c>
      <c r="QMZ3" t="s">
        <v>12034</v>
      </c>
      <c r="QNA3" t="s">
        <v>12035</v>
      </c>
      <c r="QNB3" t="s">
        <v>12036</v>
      </c>
      <c r="QNC3" t="s">
        <v>12037</v>
      </c>
      <c r="QND3" t="s">
        <v>12038</v>
      </c>
      <c r="QNE3" t="s">
        <v>12039</v>
      </c>
      <c r="QNF3" t="s">
        <v>12040</v>
      </c>
      <c r="QNG3" t="s">
        <v>12041</v>
      </c>
      <c r="QNH3" t="s">
        <v>12042</v>
      </c>
      <c r="QNI3" t="s">
        <v>12043</v>
      </c>
      <c r="QNJ3" t="s">
        <v>12044</v>
      </c>
      <c r="QNK3" t="s">
        <v>12045</v>
      </c>
      <c r="QNL3" t="s">
        <v>12046</v>
      </c>
      <c r="QNM3" t="s">
        <v>12047</v>
      </c>
      <c r="QNN3" t="s">
        <v>12048</v>
      </c>
      <c r="QNO3" t="s">
        <v>12049</v>
      </c>
      <c r="QNP3" t="s">
        <v>12050</v>
      </c>
      <c r="QNQ3" t="s">
        <v>12051</v>
      </c>
      <c r="QNR3" t="s">
        <v>12052</v>
      </c>
      <c r="QNS3" t="s">
        <v>12053</v>
      </c>
      <c r="QNT3" t="s">
        <v>12054</v>
      </c>
      <c r="QNU3" t="s">
        <v>12055</v>
      </c>
      <c r="QNV3" t="s">
        <v>12056</v>
      </c>
      <c r="QNW3" t="s">
        <v>12057</v>
      </c>
      <c r="QNX3" t="s">
        <v>12058</v>
      </c>
      <c r="QNY3" t="s">
        <v>12059</v>
      </c>
      <c r="QNZ3" t="s">
        <v>12060</v>
      </c>
      <c r="QOA3" t="s">
        <v>12061</v>
      </c>
      <c r="QOB3" t="s">
        <v>12062</v>
      </c>
      <c r="QOC3" t="s">
        <v>12063</v>
      </c>
      <c r="QOD3" t="s">
        <v>12064</v>
      </c>
      <c r="QOE3" t="s">
        <v>12065</v>
      </c>
      <c r="QOF3" t="s">
        <v>12066</v>
      </c>
      <c r="QOG3" t="s">
        <v>12067</v>
      </c>
      <c r="QOH3" t="s">
        <v>12068</v>
      </c>
      <c r="QOI3" t="s">
        <v>12069</v>
      </c>
      <c r="QOJ3" t="s">
        <v>12070</v>
      </c>
      <c r="QOK3" t="s">
        <v>12071</v>
      </c>
      <c r="QOL3" t="s">
        <v>12072</v>
      </c>
      <c r="QOM3" t="s">
        <v>12073</v>
      </c>
      <c r="QON3" t="s">
        <v>12074</v>
      </c>
      <c r="QOO3" t="s">
        <v>12075</v>
      </c>
      <c r="QOP3" t="s">
        <v>12076</v>
      </c>
      <c r="QOQ3" t="s">
        <v>12077</v>
      </c>
      <c r="QOR3" t="s">
        <v>12078</v>
      </c>
      <c r="QOS3" t="s">
        <v>12079</v>
      </c>
      <c r="QOT3" t="s">
        <v>12080</v>
      </c>
      <c r="QOU3" t="s">
        <v>12081</v>
      </c>
      <c r="QOV3" t="s">
        <v>12082</v>
      </c>
      <c r="QOW3" t="s">
        <v>12083</v>
      </c>
      <c r="QOX3" t="s">
        <v>12084</v>
      </c>
      <c r="QOY3" t="s">
        <v>12085</v>
      </c>
      <c r="QOZ3" t="s">
        <v>12086</v>
      </c>
      <c r="QPA3" t="s">
        <v>12087</v>
      </c>
      <c r="QPB3" t="s">
        <v>12088</v>
      </c>
      <c r="QPC3" t="s">
        <v>12089</v>
      </c>
      <c r="QPD3" t="s">
        <v>12090</v>
      </c>
      <c r="QPE3" t="s">
        <v>12091</v>
      </c>
      <c r="QPF3" t="s">
        <v>12092</v>
      </c>
      <c r="QPG3" t="s">
        <v>12093</v>
      </c>
      <c r="QPH3" t="s">
        <v>12094</v>
      </c>
      <c r="QPI3" t="s">
        <v>12095</v>
      </c>
      <c r="QPJ3" t="s">
        <v>12096</v>
      </c>
      <c r="QPK3" t="s">
        <v>12097</v>
      </c>
      <c r="QPL3" t="s">
        <v>12098</v>
      </c>
      <c r="QPM3" t="s">
        <v>12099</v>
      </c>
      <c r="QPN3" t="s">
        <v>12100</v>
      </c>
      <c r="QPO3" t="s">
        <v>12101</v>
      </c>
      <c r="QPP3" t="s">
        <v>12102</v>
      </c>
      <c r="QPQ3" t="s">
        <v>12103</v>
      </c>
      <c r="QPR3" t="s">
        <v>12104</v>
      </c>
      <c r="QPS3" t="s">
        <v>12105</v>
      </c>
      <c r="QPT3" t="s">
        <v>12106</v>
      </c>
      <c r="QPU3" t="s">
        <v>12107</v>
      </c>
      <c r="QPV3" t="s">
        <v>12108</v>
      </c>
      <c r="QPW3" t="s">
        <v>12109</v>
      </c>
      <c r="QPX3" t="s">
        <v>12110</v>
      </c>
      <c r="QPY3" t="s">
        <v>12111</v>
      </c>
      <c r="QPZ3" t="s">
        <v>12112</v>
      </c>
      <c r="QQA3" t="s">
        <v>12113</v>
      </c>
      <c r="QQB3" t="s">
        <v>12114</v>
      </c>
      <c r="QQC3" t="s">
        <v>12115</v>
      </c>
      <c r="QQD3" t="s">
        <v>12116</v>
      </c>
      <c r="QQE3" t="s">
        <v>12117</v>
      </c>
      <c r="QQF3" t="s">
        <v>12118</v>
      </c>
      <c r="QQG3" t="s">
        <v>12119</v>
      </c>
      <c r="QQH3" t="s">
        <v>12120</v>
      </c>
      <c r="QQI3" t="s">
        <v>12121</v>
      </c>
      <c r="QQJ3" t="s">
        <v>12122</v>
      </c>
      <c r="QQK3" t="s">
        <v>12123</v>
      </c>
      <c r="QQL3" t="s">
        <v>12124</v>
      </c>
      <c r="QQM3" t="s">
        <v>12125</v>
      </c>
      <c r="QQN3" t="s">
        <v>12126</v>
      </c>
      <c r="QQO3" t="s">
        <v>12127</v>
      </c>
      <c r="QQP3" t="s">
        <v>12128</v>
      </c>
      <c r="QQQ3" t="s">
        <v>12129</v>
      </c>
      <c r="QQR3" t="s">
        <v>12130</v>
      </c>
      <c r="QQS3" t="s">
        <v>12131</v>
      </c>
      <c r="QQT3" t="s">
        <v>12132</v>
      </c>
      <c r="QQU3" t="s">
        <v>12133</v>
      </c>
      <c r="QQV3" t="s">
        <v>12134</v>
      </c>
      <c r="QQW3" t="s">
        <v>12135</v>
      </c>
      <c r="QQX3" t="s">
        <v>12136</v>
      </c>
      <c r="QQY3" t="s">
        <v>12137</v>
      </c>
      <c r="QQZ3" t="s">
        <v>12138</v>
      </c>
      <c r="QRA3" t="s">
        <v>12139</v>
      </c>
      <c r="QRB3" t="s">
        <v>12140</v>
      </c>
      <c r="QRC3" t="s">
        <v>12141</v>
      </c>
      <c r="QRD3" t="s">
        <v>12142</v>
      </c>
      <c r="QRE3" t="s">
        <v>12143</v>
      </c>
      <c r="QRF3" t="s">
        <v>12144</v>
      </c>
      <c r="QRG3" t="s">
        <v>12145</v>
      </c>
      <c r="QRH3" t="s">
        <v>12146</v>
      </c>
      <c r="QRI3" t="s">
        <v>12147</v>
      </c>
      <c r="QRJ3" t="s">
        <v>12148</v>
      </c>
      <c r="QRK3" t="s">
        <v>12149</v>
      </c>
      <c r="QRL3" t="s">
        <v>12150</v>
      </c>
      <c r="QRM3" t="s">
        <v>12151</v>
      </c>
      <c r="QRN3" t="s">
        <v>12152</v>
      </c>
      <c r="QRO3" t="s">
        <v>12153</v>
      </c>
      <c r="QRP3" t="s">
        <v>12154</v>
      </c>
      <c r="QRQ3" t="s">
        <v>12155</v>
      </c>
      <c r="QRR3" t="s">
        <v>12156</v>
      </c>
      <c r="QRS3" t="s">
        <v>12157</v>
      </c>
      <c r="QRT3" t="s">
        <v>12158</v>
      </c>
      <c r="QRU3" t="s">
        <v>12159</v>
      </c>
      <c r="QRV3" t="s">
        <v>12160</v>
      </c>
      <c r="QRW3" t="s">
        <v>12161</v>
      </c>
      <c r="QRX3" t="s">
        <v>12162</v>
      </c>
      <c r="QRY3" t="s">
        <v>12163</v>
      </c>
      <c r="QRZ3" t="s">
        <v>12164</v>
      </c>
      <c r="QSA3" t="s">
        <v>12165</v>
      </c>
      <c r="QSB3" t="s">
        <v>12166</v>
      </c>
      <c r="QSC3" t="s">
        <v>12167</v>
      </c>
      <c r="QSD3" t="s">
        <v>12168</v>
      </c>
      <c r="QSE3" t="s">
        <v>12169</v>
      </c>
      <c r="QSF3" t="s">
        <v>12170</v>
      </c>
      <c r="QSG3" t="s">
        <v>12171</v>
      </c>
      <c r="QSH3" t="s">
        <v>12172</v>
      </c>
      <c r="QSI3" t="s">
        <v>12173</v>
      </c>
      <c r="QSJ3" t="s">
        <v>12174</v>
      </c>
      <c r="QSK3" t="s">
        <v>12175</v>
      </c>
      <c r="QSL3" t="s">
        <v>12176</v>
      </c>
      <c r="QSM3" t="s">
        <v>12177</v>
      </c>
      <c r="QSN3" t="s">
        <v>12178</v>
      </c>
      <c r="QSO3" t="s">
        <v>12179</v>
      </c>
      <c r="QSP3" t="s">
        <v>12180</v>
      </c>
      <c r="QSQ3" t="s">
        <v>12181</v>
      </c>
      <c r="QSR3" t="s">
        <v>12182</v>
      </c>
      <c r="QSS3" t="s">
        <v>12183</v>
      </c>
      <c r="QST3" t="s">
        <v>12184</v>
      </c>
      <c r="QSU3" t="s">
        <v>12185</v>
      </c>
      <c r="QSV3" t="s">
        <v>12186</v>
      </c>
      <c r="QSW3" t="s">
        <v>12187</v>
      </c>
      <c r="QSX3" t="s">
        <v>12188</v>
      </c>
      <c r="QSY3" t="s">
        <v>12189</v>
      </c>
      <c r="QSZ3" t="s">
        <v>12190</v>
      </c>
      <c r="QTA3" t="s">
        <v>12191</v>
      </c>
      <c r="QTB3" t="s">
        <v>12192</v>
      </c>
      <c r="QTC3" t="s">
        <v>12193</v>
      </c>
      <c r="QTD3" t="s">
        <v>12194</v>
      </c>
      <c r="QTE3" t="s">
        <v>12195</v>
      </c>
      <c r="QTF3" t="s">
        <v>12196</v>
      </c>
      <c r="QTG3" t="s">
        <v>12197</v>
      </c>
      <c r="QTH3" t="s">
        <v>12198</v>
      </c>
      <c r="QTI3" t="s">
        <v>12199</v>
      </c>
      <c r="QTJ3" t="s">
        <v>12200</v>
      </c>
      <c r="QTK3" t="s">
        <v>12201</v>
      </c>
      <c r="QTL3" t="s">
        <v>12202</v>
      </c>
      <c r="QTM3" t="s">
        <v>12203</v>
      </c>
      <c r="QTN3" t="s">
        <v>12204</v>
      </c>
      <c r="QTO3" t="s">
        <v>12205</v>
      </c>
      <c r="QTP3" t="s">
        <v>12206</v>
      </c>
      <c r="QTQ3" t="s">
        <v>12207</v>
      </c>
      <c r="QTR3" t="s">
        <v>12208</v>
      </c>
      <c r="QTS3" t="s">
        <v>12209</v>
      </c>
      <c r="QTT3" t="s">
        <v>12210</v>
      </c>
      <c r="QTU3" t="s">
        <v>12211</v>
      </c>
      <c r="QTV3" t="s">
        <v>12212</v>
      </c>
      <c r="QTW3" t="s">
        <v>12213</v>
      </c>
      <c r="QTX3" t="s">
        <v>12214</v>
      </c>
      <c r="QTY3" t="s">
        <v>12215</v>
      </c>
      <c r="QTZ3" t="s">
        <v>12216</v>
      </c>
      <c r="QUA3" t="s">
        <v>12217</v>
      </c>
      <c r="QUB3" t="s">
        <v>12218</v>
      </c>
      <c r="QUC3" t="s">
        <v>12219</v>
      </c>
      <c r="QUD3" t="s">
        <v>12220</v>
      </c>
      <c r="QUE3" t="s">
        <v>12221</v>
      </c>
      <c r="QUF3" t="s">
        <v>12222</v>
      </c>
      <c r="QUG3" t="s">
        <v>12223</v>
      </c>
      <c r="QUH3" t="s">
        <v>12224</v>
      </c>
      <c r="QUI3" t="s">
        <v>12225</v>
      </c>
      <c r="QUJ3" t="s">
        <v>12226</v>
      </c>
      <c r="QUK3" t="s">
        <v>12227</v>
      </c>
      <c r="QUL3" t="s">
        <v>12228</v>
      </c>
      <c r="QUM3" t="s">
        <v>12229</v>
      </c>
      <c r="QUN3" t="s">
        <v>12230</v>
      </c>
      <c r="QUO3" t="s">
        <v>12231</v>
      </c>
      <c r="QUP3" t="s">
        <v>12232</v>
      </c>
      <c r="QUQ3" t="s">
        <v>12233</v>
      </c>
      <c r="QUR3" t="s">
        <v>12234</v>
      </c>
      <c r="QUS3" t="s">
        <v>12235</v>
      </c>
      <c r="QUT3" t="s">
        <v>12236</v>
      </c>
      <c r="QUU3" t="s">
        <v>12237</v>
      </c>
      <c r="QUV3" t="s">
        <v>12238</v>
      </c>
      <c r="QUW3" t="s">
        <v>12239</v>
      </c>
      <c r="QUX3" t="s">
        <v>12240</v>
      </c>
      <c r="QUY3" t="s">
        <v>12241</v>
      </c>
      <c r="QUZ3" t="s">
        <v>12242</v>
      </c>
      <c r="QVA3" t="s">
        <v>12243</v>
      </c>
      <c r="QVB3" t="s">
        <v>12244</v>
      </c>
      <c r="QVC3" t="s">
        <v>12245</v>
      </c>
      <c r="QVD3" t="s">
        <v>12246</v>
      </c>
      <c r="QVE3" t="s">
        <v>12247</v>
      </c>
      <c r="QVF3" t="s">
        <v>12248</v>
      </c>
      <c r="QVG3" t="s">
        <v>12249</v>
      </c>
      <c r="QVH3" t="s">
        <v>12250</v>
      </c>
      <c r="QVI3" t="s">
        <v>12251</v>
      </c>
      <c r="QVJ3" t="s">
        <v>12252</v>
      </c>
      <c r="QVK3" t="s">
        <v>12253</v>
      </c>
      <c r="QVL3" t="s">
        <v>12254</v>
      </c>
      <c r="QVM3" t="s">
        <v>12255</v>
      </c>
      <c r="QVN3" t="s">
        <v>12256</v>
      </c>
      <c r="QVO3" t="s">
        <v>12257</v>
      </c>
      <c r="QVP3" t="s">
        <v>12258</v>
      </c>
      <c r="QVQ3" t="s">
        <v>12259</v>
      </c>
      <c r="QVR3" t="s">
        <v>12260</v>
      </c>
      <c r="QVS3" t="s">
        <v>12261</v>
      </c>
      <c r="QVT3" t="s">
        <v>12262</v>
      </c>
      <c r="QVU3" t="s">
        <v>12263</v>
      </c>
      <c r="QVV3" t="s">
        <v>12264</v>
      </c>
      <c r="QVW3" t="s">
        <v>12265</v>
      </c>
      <c r="QVX3" t="s">
        <v>12266</v>
      </c>
      <c r="QVY3" t="s">
        <v>12267</v>
      </c>
      <c r="QVZ3" t="s">
        <v>12268</v>
      </c>
      <c r="QWA3" t="s">
        <v>12269</v>
      </c>
      <c r="QWB3" t="s">
        <v>12270</v>
      </c>
      <c r="QWC3" t="s">
        <v>12271</v>
      </c>
      <c r="QWD3" t="s">
        <v>12272</v>
      </c>
      <c r="QWE3" t="s">
        <v>12273</v>
      </c>
      <c r="QWF3" t="s">
        <v>12274</v>
      </c>
      <c r="QWG3" t="s">
        <v>12275</v>
      </c>
      <c r="QWH3" t="s">
        <v>12276</v>
      </c>
      <c r="QWI3" t="s">
        <v>12277</v>
      </c>
      <c r="QWJ3" t="s">
        <v>12278</v>
      </c>
      <c r="QWK3" t="s">
        <v>12279</v>
      </c>
      <c r="QWL3" t="s">
        <v>12280</v>
      </c>
      <c r="QWM3" t="s">
        <v>12281</v>
      </c>
      <c r="QWN3" t="s">
        <v>12282</v>
      </c>
      <c r="QWO3" t="s">
        <v>12283</v>
      </c>
      <c r="QWP3" t="s">
        <v>12284</v>
      </c>
      <c r="QWQ3" t="s">
        <v>12285</v>
      </c>
      <c r="QWR3" t="s">
        <v>12286</v>
      </c>
      <c r="QWS3" t="s">
        <v>12287</v>
      </c>
      <c r="QWT3" t="s">
        <v>12288</v>
      </c>
      <c r="QWU3" t="s">
        <v>12289</v>
      </c>
      <c r="QWV3" t="s">
        <v>12290</v>
      </c>
      <c r="QWW3" t="s">
        <v>12291</v>
      </c>
      <c r="QWX3" t="s">
        <v>12292</v>
      </c>
      <c r="QWY3" t="s">
        <v>12293</v>
      </c>
      <c r="QWZ3" t="s">
        <v>12294</v>
      </c>
      <c r="QXA3" t="s">
        <v>12295</v>
      </c>
      <c r="QXB3" t="s">
        <v>12296</v>
      </c>
      <c r="QXC3" t="s">
        <v>12297</v>
      </c>
      <c r="QXD3" t="s">
        <v>12298</v>
      </c>
      <c r="QXE3" t="s">
        <v>12299</v>
      </c>
      <c r="QXF3" t="s">
        <v>12300</v>
      </c>
      <c r="QXG3" t="s">
        <v>12301</v>
      </c>
      <c r="QXH3" t="s">
        <v>12302</v>
      </c>
      <c r="QXI3" t="s">
        <v>12303</v>
      </c>
      <c r="QXJ3" t="s">
        <v>12304</v>
      </c>
      <c r="QXK3" t="s">
        <v>12305</v>
      </c>
      <c r="QXL3" t="s">
        <v>12306</v>
      </c>
      <c r="QXM3" t="s">
        <v>12307</v>
      </c>
      <c r="QXN3" t="s">
        <v>12308</v>
      </c>
      <c r="QXO3" t="s">
        <v>12309</v>
      </c>
      <c r="QXP3" t="s">
        <v>12310</v>
      </c>
      <c r="QXQ3" t="s">
        <v>12311</v>
      </c>
      <c r="QXR3" t="s">
        <v>12312</v>
      </c>
      <c r="QXS3" t="s">
        <v>12313</v>
      </c>
      <c r="QXT3" t="s">
        <v>12314</v>
      </c>
      <c r="QXU3" t="s">
        <v>12315</v>
      </c>
      <c r="QXV3" t="s">
        <v>12316</v>
      </c>
      <c r="QXW3" t="s">
        <v>12317</v>
      </c>
      <c r="QXX3" t="s">
        <v>12318</v>
      </c>
      <c r="QXY3" t="s">
        <v>12319</v>
      </c>
      <c r="QXZ3" t="s">
        <v>12320</v>
      </c>
      <c r="QYA3" t="s">
        <v>12321</v>
      </c>
      <c r="QYB3" t="s">
        <v>12322</v>
      </c>
      <c r="QYC3" t="s">
        <v>12323</v>
      </c>
      <c r="QYD3" t="s">
        <v>12324</v>
      </c>
      <c r="QYE3" t="s">
        <v>12325</v>
      </c>
      <c r="QYF3" t="s">
        <v>12326</v>
      </c>
      <c r="QYG3" t="s">
        <v>12327</v>
      </c>
      <c r="QYH3" t="s">
        <v>12328</v>
      </c>
      <c r="QYI3" t="s">
        <v>12329</v>
      </c>
      <c r="QYJ3" t="s">
        <v>12330</v>
      </c>
      <c r="QYK3" t="s">
        <v>12331</v>
      </c>
      <c r="QYL3" t="s">
        <v>12332</v>
      </c>
      <c r="QYM3" t="s">
        <v>12333</v>
      </c>
      <c r="QYN3" t="s">
        <v>12334</v>
      </c>
      <c r="QYO3" t="s">
        <v>12335</v>
      </c>
      <c r="QYP3" t="s">
        <v>12336</v>
      </c>
      <c r="QYQ3" t="s">
        <v>12337</v>
      </c>
      <c r="QYR3" t="s">
        <v>12338</v>
      </c>
      <c r="QYS3" t="s">
        <v>12339</v>
      </c>
      <c r="QYT3" t="s">
        <v>12340</v>
      </c>
      <c r="QYU3" t="s">
        <v>12341</v>
      </c>
      <c r="QYV3" t="s">
        <v>12342</v>
      </c>
      <c r="QYW3" t="s">
        <v>12343</v>
      </c>
      <c r="QYX3" t="s">
        <v>12344</v>
      </c>
      <c r="QYY3" t="s">
        <v>12345</v>
      </c>
      <c r="QYZ3" t="s">
        <v>12346</v>
      </c>
      <c r="QZA3" t="s">
        <v>12347</v>
      </c>
      <c r="QZB3" t="s">
        <v>12348</v>
      </c>
      <c r="QZC3" t="s">
        <v>12349</v>
      </c>
      <c r="QZD3" t="s">
        <v>12350</v>
      </c>
      <c r="QZE3" t="s">
        <v>12351</v>
      </c>
      <c r="QZF3" t="s">
        <v>12352</v>
      </c>
      <c r="QZG3" t="s">
        <v>12353</v>
      </c>
      <c r="QZH3" t="s">
        <v>12354</v>
      </c>
      <c r="QZI3" t="s">
        <v>12355</v>
      </c>
      <c r="QZJ3" t="s">
        <v>12356</v>
      </c>
      <c r="QZK3" t="s">
        <v>12357</v>
      </c>
      <c r="QZL3" t="s">
        <v>12358</v>
      </c>
      <c r="QZM3" t="s">
        <v>12359</v>
      </c>
      <c r="QZN3" t="s">
        <v>12360</v>
      </c>
      <c r="QZO3" t="s">
        <v>12361</v>
      </c>
      <c r="QZP3" t="s">
        <v>12362</v>
      </c>
      <c r="QZQ3" t="s">
        <v>12363</v>
      </c>
      <c r="QZR3" t="s">
        <v>12364</v>
      </c>
      <c r="QZS3" t="s">
        <v>12365</v>
      </c>
      <c r="QZT3" t="s">
        <v>12366</v>
      </c>
      <c r="QZU3" t="s">
        <v>12367</v>
      </c>
      <c r="QZV3" t="s">
        <v>12368</v>
      </c>
      <c r="QZW3" t="s">
        <v>12369</v>
      </c>
      <c r="QZX3" t="s">
        <v>12370</v>
      </c>
      <c r="QZY3" t="s">
        <v>12371</v>
      </c>
      <c r="QZZ3" t="s">
        <v>12372</v>
      </c>
      <c r="RAA3" t="s">
        <v>12373</v>
      </c>
      <c r="RAB3" t="s">
        <v>12374</v>
      </c>
      <c r="RAC3" t="s">
        <v>12375</v>
      </c>
      <c r="RAD3" t="s">
        <v>12376</v>
      </c>
      <c r="RAE3" t="s">
        <v>12377</v>
      </c>
      <c r="RAF3" t="s">
        <v>12378</v>
      </c>
      <c r="RAG3" t="s">
        <v>12379</v>
      </c>
      <c r="RAH3" t="s">
        <v>12380</v>
      </c>
      <c r="RAI3" t="s">
        <v>12381</v>
      </c>
      <c r="RAJ3" t="s">
        <v>12382</v>
      </c>
      <c r="RAK3" t="s">
        <v>12383</v>
      </c>
      <c r="RAL3" t="s">
        <v>12384</v>
      </c>
      <c r="RAM3" t="s">
        <v>12385</v>
      </c>
      <c r="RAN3" t="s">
        <v>12386</v>
      </c>
      <c r="RAO3" t="s">
        <v>12387</v>
      </c>
      <c r="RAP3" t="s">
        <v>12388</v>
      </c>
      <c r="RAQ3" t="s">
        <v>12389</v>
      </c>
      <c r="RAR3" t="s">
        <v>12390</v>
      </c>
      <c r="RAS3" t="s">
        <v>12391</v>
      </c>
      <c r="RAT3" t="s">
        <v>12392</v>
      </c>
      <c r="RAU3" t="s">
        <v>12393</v>
      </c>
      <c r="RAV3" t="s">
        <v>12394</v>
      </c>
      <c r="RAW3" t="s">
        <v>12395</v>
      </c>
      <c r="RAX3" t="s">
        <v>12396</v>
      </c>
      <c r="RAY3" t="s">
        <v>12397</v>
      </c>
      <c r="RAZ3" t="s">
        <v>12398</v>
      </c>
      <c r="RBA3" t="s">
        <v>12399</v>
      </c>
      <c r="RBB3" t="s">
        <v>12400</v>
      </c>
      <c r="RBC3" t="s">
        <v>12401</v>
      </c>
      <c r="RBD3" t="s">
        <v>12402</v>
      </c>
      <c r="RBE3" t="s">
        <v>12403</v>
      </c>
      <c r="RBF3" t="s">
        <v>12404</v>
      </c>
      <c r="RBG3" t="s">
        <v>12405</v>
      </c>
      <c r="RBH3" t="s">
        <v>12406</v>
      </c>
      <c r="RBI3" t="s">
        <v>12407</v>
      </c>
      <c r="RBJ3" t="s">
        <v>12408</v>
      </c>
      <c r="RBK3" t="s">
        <v>12409</v>
      </c>
      <c r="RBL3" t="s">
        <v>12410</v>
      </c>
      <c r="RBM3" t="s">
        <v>12411</v>
      </c>
      <c r="RBN3" t="s">
        <v>12412</v>
      </c>
      <c r="RBO3" t="s">
        <v>12413</v>
      </c>
      <c r="RBP3" t="s">
        <v>12414</v>
      </c>
      <c r="RBQ3" t="s">
        <v>12415</v>
      </c>
      <c r="RBR3" t="s">
        <v>12416</v>
      </c>
      <c r="RBS3" t="s">
        <v>12417</v>
      </c>
      <c r="RBT3" t="s">
        <v>12418</v>
      </c>
      <c r="RBU3" t="s">
        <v>12419</v>
      </c>
      <c r="RBV3" t="s">
        <v>12420</v>
      </c>
      <c r="RBW3" t="s">
        <v>12421</v>
      </c>
      <c r="RBX3" t="s">
        <v>12422</v>
      </c>
      <c r="RBY3" t="s">
        <v>12423</v>
      </c>
      <c r="RBZ3" t="s">
        <v>12424</v>
      </c>
      <c r="RCA3" t="s">
        <v>12425</v>
      </c>
      <c r="RCB3" t="s">
        <v>12426</v>
      </c>
      <c r="RCC3" t="s">
        <v>12427</v>
      </c>
      <c r="RCD3" t="s">
        <v>12428</v>
      </c>
      <c r="RCE3" t="s">
        <v>12429</v>
      </c>
      <c r="RCF3" t="s">
        <v>12430</v>
      </c>
      <c r="RCG3" t="s">
        <v>12431</v>
      </c>
      <c r="RCH3" t="s">
        <v>12432</v>
      </c>
      <c r="RCI3" t="s">
        <v>12433</v>
      </c>
      <c r="RCJ3" t="s">
        <v>12434</v>
      </c>
      <c r="RCK3" t="s">
        <v>12435</v>
      </c>
      <c r="RCL3" t="s">
        <v>12436</v>
      </c>
      <c r="RCM3" t="s">
        <v>12437</v>
      </c>
      <c r="RCN3" t="s">
        <v>12438</v>
      </c>
      <c r="RCO3" t="s">
        <v>12439</v>
      </c>
      <c r="RCP3" t="s">
        <v>12440</v>
      </c>
      <c r="RCQ3" t="s">
        <v>12441</v>
      </c>
      <c r="RCR3" t="s">
        <v>12442</v>
      </c>
      <c r="RCS3" t="s">
        <v>12443</v>
      </c>
      <c r="RCT3" t="s">
        <v>12444</v>
      </c>
      <c r="RCU3" t="s">
        <v>12445</v>
      </c>
      <c r="RCV3" t="s">
        <v>12446</v>
      </c>
      <c r="RCW3" t="s">
        <v>12447</v>
      </c>
      <c r="RCX3" t="s">
        <v>12448</v>
      </c>
      <c r="RCY3" t="s">
        <v>12449</v>
      </c>
      <c r="RCZ3" t="s">
        <v>12450</v>
      </c>
      <c r="RDA3" t="s">
        <v>12451</v>
      </c>
      <c r="RDB3" t="s">
        <v>12452</v>
      </c>
      <c r="RDC3" t="s">
        <v>12453</v>
      </c>
      <c r="RDD3" t="s">
        <v>12454</v>
      </c>
      <c r="RDE3" t="s">
        <v>12455</v>
      </c>
      <c r="RDF3" t="s">
        <v>12456</v>
      </c>
      <c r="RDG3" t="s">
        <v>12457</v>
      </c>
      <c r="RDH3" t="s">
        <v>12458</v>
      </c>
      <c r="RDI3" t="s">
        <v>12459</v>
      </c>
      <c r="RDJ3" t="s">
        <v>12460</v>
      </c>
      <c r="RDK3" t="s">
        <v>12461</v>
      </c>
      <c r="RDL3" t="s">
        <v>12462</v>
      </c>
      <c r="RDM3" t="s">
        <v>12463</v>
      </c>
      <c r="RDN3" t="s">
        <v>12464</v>
      </c>
      <c r="RDO3" t="s">
        <v>12465</v>
      </c>
      <c r="RDP3" t="s">
        <v>12466</v>
      </c>
      <c r="RDQ3" t="s">
        <v>12467</v>
      </c>
      <c r="RDR3" t="s">
        <v>12468</v>
      </c>
      <c r="RDS3" t="s">
        <v>12469</v>
      </c>
      <c r="RDT3" t="s">
        <v>12470</v>
      </c>
      <c r="RDU3" t="s">
        <v>12471</v>
      </c>
      <c r="RDV3" t="s">
        <v>12472</v>
      </c>
      <c r="RDW3" t="s">
        <v>12473</v>
      </c>
      <c r="RDX3" t="s">
        <v>12474</v>
      </c>
      <c r="RDY3" t="s">
        <v>12475</v>
      </c>
      <c r="RDZ3" t="s">
        <v>12476</v>
      </c>
      <c r="REA3" t="s">
        <v>12477</v>
      </c>
      <c r="REB3" t="s">
        <v>12478</v>
      </c>
      <c r="REC3" t="s">
        <v>12479</v>
      </c>
      <c r="RED3" t="s">
        <v>12480</v>
      </c>
      <c r="REE3" t="s">
        <v>12481</v>
      </c>
      <c r="REF3" t="s">
        <v>12482</v>
      </c>
      <c r="REG3" t="s">
        <v>12483</v>
      </c>
      <c r="REH3" t="s">
        <v>12484</v>
      </c>
      <c r="REI3" t="s">
        <v>12485</v>
      </c>
      <c r="REJ3" t="s">
        <v>12486</v>
      </c>
      <c r="REK3" t="s">
        <v>12487</v>
      </c>
      <c r="REL3" t="s">
        <v>12488</v>
      </c>
      <c r="REM3" t="s">
        <v>12489</v>
      </c>
      <c r="REN3" t="s">
        <v>12490</v>
      </c>
      <c r="REO3" t="s">
        <v>12491</v>
      </c>
      <c r="REP3" t="s">
        <v>12492</v>
      </c>
      <c r="REQ3" t="s">
        <v>12493</v>
      </c>
      <c r="RER3" t="s">
        <v>12494</v>
      </c>
      <c r="RES3" t="s">
        <v>12495</v>
      </c>
      <c r="RET3" t="s">
        <v>12496</v>
      </c>
      <c r="REU3" t="s">
        <v>12497</v>
      </c>
      <c r="REV3" t="s">
        <v>12498</v>
      </c>
      <c r="REW3" t="s">
        <v>12499</v>
      </c>
      <c r="REX3" t="s">
        <v>12500</v>
      </c>
      <c r="REY3" t="s">
        <v>12501</v>
      </c>
      <c r="REZ3" t="s">
        <v>12502</v>
      </c>
      <c r="RFA3" t="s">
        <v>12503</v>
      </c>
      <c r="RFB3" t="s">
        <v>12504</v>
      </c>
      <c r="RFC3" t="s">
        <v>12505</v>
      </c>
      <c r="RFD3" t="s">
        <v>12506</v>
      </c>
      <c r="RFE3" t="s">
        <v>12507</v>
      </c>
      <c r="RFF3" t="s">
        <v>12508</v>
      </c>
      <c r="RFG3" t="s">
        <v>12509</v>
      </c>
      <c r="RFH3" t="s">
        <v>12510</v>
      </c>
      <c r="RFI3" t="s">
        <v>12511</v>
      </c>
      <c r="RFJ3" t="s">
        <v>12512</v>
      </c>
      <c r="RFK3" t="s">
        <v>12513</v>
      </c>
      <c r="RFL3" t="s">
        <v>12514</v>
      </c>
      <c r="RFM3" t="s">
        <v>12515</v>
      </c>
      <c r="RFN3" t="s">
        <v>12516</v>
      </c>
      <c r="RFO3" t="s">
        <v>12517</v>
      </c>
      <c r="RFP3" t="s">
        <v>12518</v>
      </c>
      <c r="RFQ3" t="s">
        <v>12519</v>
      </c>
      <c r="RFR3" t="s">
        <v>12520</v>
      </c>
      <c r="RFS3" t="s">
        <v>12521</v>
      </c>
      <c r="RFT3" t="s">
        <v>12522</v>
      </c>
      <c r="RFU3" t="s">
        <v>12523</v>
      </c>
      <c r="RFV3" t="s">
        <v>12524</v>
      </c>
      <c r="RFW3" t="s">
        <v>12525</v>
      </c>
      <c r="RFX3" t="s">
        <v>12526</v>
      </c>
      <c r="RFY3" t="s">
        <v>12527</v>
      </c>
      <c r="RFZ3" t="s">
        <v>12528</v>
      </c>
      <c r="RGA3" t="s">
        <v>12529</v>
      </c>
      <c r="RGB3" t="s">
        <v>12530</v>
      </c>
      <c r="RGC3" t="s">
        <v>12531</v>
      </c>
      <c r="RGD3" t="s">
        <v>12532</v>
      </c>
      <c r="RGE3" t="s">
        <v>12533</v>
      </c>
      <c r="RGF3" t="s">
        <v>12534</v>
      </c>
      <c r="RGG3" t="s">
        <v>12535</v>
      </c>
      <c r="RGH3" t="s">
        <v>12536</v>
      </c>
      <c r="RGI3" t="s">
        <v>12537</v>
      </c>
      <c r="RGJ3" t="s">
        <v>12538</v>
      </c>
      <c r="RGK3" t="s">
        <v>12539</v>
      </c>
      <c r="RGL3" t="s">
        <v>12540</v>
      </c>
      <c r="RGM3" t="s">
        <v>12541</v>
      </c>
      <c r="RGN3" t="s">
        <v>12542</v>
      </c>
      <c r="RGO3" t="s">
        <v>12543</v>
      </c>
      <c r="RGP3" t="s">
        <v>12544</v>
      </c>
      <c r="RGQ3" t="s">
        <v>12545</v>
      </c>
      <c r="RGR3" t="s">
        <v>12546</v>
      </c>
      <c r="RGS3" t="s">
        <v>12547</v>
      </c>
      <c r="RGT3" t="s">
        <v>12548</v>
      </c>
      <c r="RGU3" t="s">
        <v>12549</v>
      </c>
      <c r="RGV3" t="s">
        <v>12550</v>
      </c>
      <c r="RGW3" t="s">
        <v>12551</v>
      </c>
      <c r="RGX3" t="s">
        <v>12552</v>
      </c>
      <c r="RGY3" t="s">
        <v>12553</v>
      </c>
      <c r="RGZ3" t="s">
        <v>12554</v>
      </c>
      <c r="RHA3" t="s">
        <v>12555</v>
      </c>
      <c r="RHB3" t="s">
        <v>12556</v>
      </c>
      <c r="RHC3" t="s">
        <v>12557</v>
      </c>
      <c r="RHD3" t="s">
        <v>12558</v>
      </c>
      <c r="RHE3" t="s">
        <v>12559</v>
      </c>
      <c r="RHF3" t="s">
        <v>12560</v>
      </c>
      <c r="RHG3" t="s">
        <v>12561</v>
      </c>
      <c r="RHH3" t="s">
        <v>12562</v>
      </c>
      <c r="RHI3" t="s">
        <v>12563</v>
      </c>
      <c r="RHJ3" t="s">
        <v>12564</v>
      </c>
      <c r="RHK3" t="s">
        <v>12565</v>
      </c>
      <c r="RHL3" t="s">
        <v>12566</v>
      </c>
      <c r="RHM3" t="s">
        <v>12567</v>
      </c>
      <c r="RHN3" t="s">
        <v>12568</v>
      </c>
      <c r="RHO3" t="s">
        <v>12569</v>
      </c>
      <c r="RHP3" t="s">
        <v>12570</v>
      </c>
      <c r="RHQ3" t="s">
        <v>12571</v>
      </c>
      <c r="RHR3" t="s">
        <v>12572</v>
      </c>
      <c r="RHS3" t="s">
        <v>12573</v>
      </c>
      <c r="RHT3" t="s">
        <v>12574</v>
      </c>
      <c r="RHU3" t="s">
        <v>12575</v>
      </c>
      <c r="RHV3" t="s">
        <v>12576</v>
      </c>
      <c r="RHW3" t="s">
        <v>12577</v>
      </c>
      <c r="RHX3" t="s">
        <v>12578</v>
      </c>
      <c r="RHY3" t="s">
        <v>12579</v>
      </c>
      <c r="RHZ3" t="s">
        <v>12580</v>
      </c>
      <c r="RIA3" t="s">
        <v>12581</v>
      </c>
      <c r="RIB3" t="s">
        <v>12582</v>
      </c>
      <c r="RIC3" t="s">
        <v>12583</v>
      </c>
      <c r="RID3" t="s">
        <v>12584</v>
      </c>
      <c r="RIE3" t="s">
        <v>12585</v>
      </c>
      <c r="RIF3" t="s">
        <v>12586</v>
      </c>
      <c r="RIG3" t="s">
        <v>12587</v>
      </c>
      <c r="RIH3" t="s">
        <v>12588</v>
      </c>
      <c r="RII3" t="s">
        <v>12589</v>
      </c>
      <c r="RIJ3" t="s">
        <v>12590</v>
      </c>
      <c r="RIK3" t="s">
        <v>12591</v>
      </c>
      <c r="RIL3" t="s">
        <v>12592</v>
      </c>
      <c r="RIM3" t="s">
        <v>12593</v>
      </c>
      <c r="RIN3" t="s">
        <v>12594</v>
      </c>
      <c r="RIO3" t="s">
        <v>12595</v>
      </c>
      <c r="RIP3" t="s">
        <v>12596</v>
      </c>
      <c r="RIQ3" t="s">
        <v>12597</v>
      </c>
      <c r="RIR3" t="s">
        <v>12598</v>
      </c>
      <c r="RIS3" t="s">
        <v>12599</v>
      </c>
      <c r="RIT3" t="s">
        <v>12600</v>
      </c>
      <c r="RIU3" t="s">
        <v>12601</v>
      </c>
      <c r="RIV3" t="s">
        <v>12602</v>
      </c>
      <c r="RIW3" t="s">
        <v>12603</v>
      </c>
      <c r="RIX3" t="s">
        <v>12604</v>
      </c>
      <c r="RIY3" t="s">
        <v>12605</v>
      </c>
      <c r="RIZ3" t="s">
        <v>12606</v>
      </c>
      <c r="RJA3" t="s">
        <v>12607</v>
      </c>
      <c r="RJB3" t="s">
        <v>12608</v>
      </c>
      <c r="RJC3" t="s">
        <v>12609</v>
      </c>
      <c r="RJD3" t="s">
        <v>12610</v>
      </c>
      <c r="RJE3" t="s">
        <v>12611</v>
      </c>
      <c r="RJF3" t="s">
        <v>12612</v>
      </c>
      <c r="RJG3" t="s">
        <v>12613</v>
      </c>
      <c r="RJH3" t="s">
        <v>12614</v>
      </c>
      <c r="RJI3" t="s">
        <v>12615</v>
      </c>
      <c r="RJJ3" t="s">
        <v>12616</v>
      </c>
      <c r="RJK3" t="s">
        <v>12617</v>
      </c>
      <c r="RJL3" t="s">
        <v>12618</v>
      </c>
      <c r="RJM3" t="s">
        <v>12619</v>
      </c>
      <c r="RJN3" t="s">
        <v>12620</v>
      </c>
      <c r="RJO3" t="s">
        <v>12621</v>
      </c>
      <c r="RJP3" t="s">
        <v>12622</v>
      </c>
      <c r="RJQ3" t="s">
        <v>12623</v>
      </c>
      <c r="RJR3" t="s">
        <v>12624</v>
      </c>
      <c r="RJS3" t="s">
        <v>12625</v>
      </c>
      <c r="RJT3" t="s">
        <v>12626</v>
      </c>
      <c r="RJU3" t="s">
        <v>12627</v>
      </c>
      <c r="RJV3" t="s">
        <v>12628</v>
      </c>
      <c r="RJW3" t="s">
        <v>12629</v>
      </c>
      <c r="RJX3" t="s">
        <v>12630</v>
      </c>
      <c r="RJY3" t="s">
        <v>12631</v>
      </c>
      <c r="RJZ3" t="s">
        <v>12632</v>
      </c>
      <c r="RKA3" t="s">
        <v>12633</v>
      </c>
      <c r="RKB3" t="s">
        <v>12634</v>
      </c>
      <c r="RKC3" t="s">
        <v>12635</v>
      </c>
      <c r="RKD3" t="s">
        <v>12636</v>
      </c>
      <c r="RKE3" t="s">
        <v>12637</v>
      </c>
      <c r="RKF3" t="s">
        <v>12638</v>
      </c>
      <c r="RKG3" t="s">
        <v>12639</v>
      </c>
      <c r="RKH3" t="s">
        <v>12640</v>
      </c>
      <c r="RKI3" t="s">
        <v>12641</v>
      </c>
      <c r="RKJ3" t="s">
        <v>12642</v>
      </c>
      <c r="RKK3" t="s">
        <v>12643</v>
      </c>
      <c r="RKL3" t="s">
        <v>12644</v>
      </c>
      <c r="RKM3" t="s">
        <v>12645</v>
      </c>
      <c r="RKN3" t="s">
        <v>12646</v>
      </c>
      <c r="RKO3" t="s">
        <v>12647</v>
      </c>
      <c r="RKP3" t="s">
        <v>12648</v>
      </c>
      <c r="RKQ3" t="s">
        <v>12649</v>
      </c>
      <c r="RKR3" t="s">
        <v>12650</v>
      </c>
      <c r="RKS3" t="s">
        <v>12651</v>
      </c>
      <c r="RKT3" t="s">
        <v>12652</v>
      </c>
      <c r="RKU3" t="s">
        <v>12653</v>
      </c>
      <c r="RKV3" t="s">
        <v>12654</v>
      </c>
      <c r="RKW3" t="s">
        <v>12655</v>
      </c>
      <c r="RKX3" t="s">
        <v>12656</v>
      </c>
      <c r="RKY3" t="s">
        <v>12657</v>
      </c>
      <c r="RKZ3" t="s">
        <v>12658</v>
      </c>
      <c r="RLA3" t="s">
        <v>12659</v>
      </c>
      <c r="RLB3" t="s">
        <v>12660</v>
      </c>
      <c r="RLC3" t="s">
        <v>12661</v>
      </c>
      <c r="RLD3" t="s">
        <v>12662</v>
      </c>
      <c r="RLE3" t="s">
        <v>12663</v>
      </c>
      <c r="RLF3" t="s">
        <v>12664</v>
      </c>
      <c r="RLG3" t="s">
        <v>12665</v>
      </c>
      <c r="RLH3" t="s">
        <v>12666</v>
      </c>
      <c r="RLI3" t="s">
        <v>12667</v>
      </c>
      <c r="RLJ3" t="s">
        <v>12668</v>
      </c>
      <c r="RLK3" t="s">
        <v>12669</v>
      </c>
      <c r="RLL3" t="s">
        <v>12670</v>
      </c>
      <c r="RLM3" t="s">
        <v>12671</v>
      </c>
      <c r="RLN3" t="s">
        <v>12672</v>
      </c>
      <c r="RLO3" t="s">
        <v>12673</v>
      </c>
      <c r="RLP3" t="s">
        <v>12674</v>
      </c>
      <c r="RLQ3" t="s">
        <v>12675</v>
      </c>
      <c r="RLR3" t="s">
        <v>12676</v>
      </c>
      <c r="RLS3" t="s">
        <v>12677</v>
      </c>
      <c r="RLT3" t="s">
        <v>12678</v>
      </c>
      <c r="RLU3" t="s">
        <v>12679</v>
      </c>
      <c r="RLV3" t="s">
        <v>12680</v>
      </c>
      <c r="RLW3" t="s">
        <v>12681</v>
      </c>
      <c r="RLX3" t="s">
        <v>12682</v>
      </c>
      <c r="RLY3" t="s">
        <v>12683</v>
      </c>
      <c r="RLZ3" t="s">
        <v>12684</v>
      </c>
      <c r="RMA3" t="s">
        <v>12685</v>
      </c>
      <c r="RMB3" t="s">
        <v>12686</v>
      </c>
      <c r="RMC3" t="s">
        <v>12687</v>
      </c>
      <c r="RMD3" t="s">
        <v>12688</v>
      </c>
      <c r="RME3" t="s">
        <v>12689</v>
      </c>
      <c r="RMF3" t="s">
        <v>12690</v>
      </c>
      <c r="RMG3" t="s">
        <v>12691</v>
      </c>
      <c r="RMH3" t="s">
        <v>12692</v>
      </c>
      <c r="RMI3" t="s">
        <v>12693</v>
      </c>
      <c r="RMJ3" t="s">
        <v>12694</v>
      </c>
      <c r="RMK3" t="s">
        <v>12695</v>
      </c>
      <c r="RML3" t="s">
        <v>12696</v>
      </c>
      <c r="RMM3" t="s">
        <v>12697</v>
      </c>
      <c r="RMN3" t="s">
        <v>12698</v>
      </c>
      <c r="RMO3" t="s">
        <v>12699</v>
      </c>
      <c r="RMP3" t="s">
        <v>12700</v>
      </c>
      <c r="RMQ3" t="s">
        <v>12701</v>
      </c>
      <c r="RMR3" t="s">
        <v>12702</v>
      </c>
      <c r="RMS3" t="s">
        <v>12703</v>
      </c>
      <c r="RMT3" t="s">
        <v>12704</v>
      </c>
      <c r="RMU3" t="s">
        <v>12705</v>
      </c>
      <c r="RMV3" t="s">
        <v>12706</v>
      </c>
      <c r="RMW3" t="s">
        <v>12707</v>
      </c>
      <c r="RMX3" t="s">
        <v>12708</v>
      </c>
      <c r="RMY3" t="s">
        <v>12709</v>
      </c>
      <c r="RMZ3" t="s">
        <v>12710</v>
      </c>
      <c r="RNA3" t="s">
        <v>12711</v>
      </c>
      <c r="RNB3" t="s">
        <v>12712</v>
      </c>
      <c r="RNC3" t="s">
        <v>12713</v>
      </c>
      <c r="RND3" t="s">
        <v>12714</v>
      </c>
      <c r="RNE3" t="s">
        <v>12715</v>
      </c>
      <c r="RNF3" t="s">
        <v>12716</v>
      </c>
      <c r="RNG3" t="s">
        <v>12717</v>
      </c>
      <c r="RNH3" t="s">
        <v>12718</v>
      </c>
      <c r="RNI3" t="s">
        <v>12719</v>
      </c>
      <c r="RNJ3" t="s">
        <v>12720</v>
      </c>
      <c r="RNK3" t="s">
        <v>12721</v>
      </c>
      <c r="RNL3" t="s">
        <v>12722</v>
      </c>
      <c r="RNM3" t="s">
        <v>12723</v>
      </c>
      <c r="RNN3" t="s">
        <v>12724</v>
      </c>
      <c r="RNO3" t="s">
        <v>12725</v>
      </c>
      <c r="RNP3" t="s">
        <v>12726</v>
      </c>
      <c r="RNQ3" t="s">
        <v>12727</v>
      </c>
      <c r="RNR3" t="s">
        <v>12728</v>
      </c>
      <c r="RNS3" t="s">
        <v>12729</v>
      </c>
      <c r="RNT3" t="s">
        <v>12730</v>
      </c>
      <c r="RNU3" t="s">
        <v>12731</v>
      </c>
      <c r="RNV3" t="s">
        <v>12732</v>
      </c>
      <c r="RNW3" t="s">
        <v>12733</v>
      </c>
      <c r="RNX3" t="s">
        <v>12734</v>
      </c>
      <c r="RNY3" t="s">
        <v>12735</v>
      </c>
      <c r="RNZ3" t="s">
        <v>12736</v>
      </c>
      <c r="ROA3" t="s">
        <v>12737</v>
      </c>
      <c r="ROB3" t="s">
        <v>12738</v>
      </c>
      <c r="ROC3" t="s">
        <v>12739</v>
      </c>
      <c r="ROD3" t="s">
        <v>12740</v>
      </c>
      <c r="ROE3" t="s">
        <v>12741</v>
      </c>
      <c r="ROF3" t="s">
        <v>12742</v>
      </c>
      <c r="ROG3" t="s">
        <v>12743</v>
      </c>
      <c r="ROH3" t="s">
        <v>12744</v>
      </c>
      <c r="ROI3" t="s">
        <v>12745</v>
      </c>
      <c r="ROJ3" t="s">
        <v>12746</v>
      </c>
      <c r="ROK3" t="s">
        <v>12747</v>
      </c>
      <c r="ROL3" t="s">
        <v>12748</v>
      </c>
      <c r="ROM3" t="s">
        <v>12749</v>
      </c>
      <c r="RON3" t="s">
        <v>12750</v>
      </c>
      <c r="ROO3" t="s">
        <v>12751</v>
      </c>
      <c r="ROP3" t="s">
        <v>12752</v>
      </c>
      <c r="ROQ3" t="s">
        <v>12753</v>
      </c>
      <c r="ROR3" t="s">
        <v>12754</v>
      </c>
      <c r="ROS3" t="s">
        <v>12755</v>
      </c>
      <c r="ROT3" t="s">
        <v>12756</v>
      </c>
      <c r="ROU3" t="s">
        <v>12757</v>
      </c>
      <c r="ROV3" t="s">
        <v>12758</v>
      </c>
      <c r="ROW3" t="s">
        <v>12759</v>
      </c>
      <c r="ROX3" t="s">
        <v>12760</v>
      </c>
      <c r="ROY3" t="s">
        <v>12761</v>
      </c>
      <c r="ROZ3" t="s">
        <v>12762</v>
      </c>
      <c r="RPA3" t="s">
        <v>12763</v>
      </c>
      <c r="RPB3" t="s">
        <v>12764</v>
      </c>
      <c r="RPC3" t="s">
        <v>12765</v>
      </c>
      <c r="RPD3" t="s">
        <v>12766</v>
      </c>
      <c r="RPE3" t="s">
        <v>12767</v>
      </c>
      <c r="RPF3" t="s">
        <v>12768</v>
      </c>
      <c r="RPG3" t="s">
        <v>12769</v>
      </c>
      <c r="RPH3" t="s">
        <v>12770</v>
      </c>
      <c r="RPI3" t="s">
        <v>12771</v>
      </c>
      <c r="RPJ3" t="s">
        <v>12772</v>
      </c>
      <c r="RPK3" t="s">
        <v>12773</v>
      </c>
      <c r="RPL3" t="s">
        <v>12774</v>
      </c>
      <c r="RPM3" t="s">
        <v>12775</v>
      </c>
      <c r="RPN3" t="s">
        <v>12776</v>
      </c>
      <c r="RPO3" t="s">
        <v>12777</v>
      </c>
      <c r="RPP3" t="s">
        <v>12778</v>
      </c>
      <c r="RPQ3" t="s">
        <v>12779</v>
      </c>
      <c r="RPR3" t="s">
        <v>12780</v>
      </c>
      <c r="RPS3" t="s">
        <v>12781</v>
      </c>
      <c r="RPT3" t="s">
        <v>12782</v>
      </c>
      <c r="RPU3" t="s">
        <v>12783</v>
      </c>
      <c r="RPV3" t="s">
        <v>12784</v>
      </c>
      <c r="RPW3" t="s">
        <v>12785</v>
      </c>
      <c r="RPX3" t="s">
        <v>12786</v>
      </c>
      <c r="RPY3" t="s">
        <v>12787</v>
      </c>
      <c r="RPZ3" t="s">
        <v>12788</v>
      </c>
      <c r="RQA3" t="s">
        <v>12789</v>
      </c>
      <c r="RQB3" t="s">
        <v>12790</v>
      </c>
      <c r="RQC3" t="s">
        <v>12791</v>
      </c>
      <c r="RQD3" t="s">
        <v>12792</v>
      </c>
      <c r="RQE3" t="s">
        <v>12793</v>
      </c>
      <c r="RQF3" t="s">
        <v>12794</v>
      </c>
      <c r="RQG3" t="s">
        <v>12795</v>
      </c>
      <c r="RQH3" t="s">
        <v>12796</v>
      </c>
      <c r="RQI3" t="s">
        <v>12797</v>
      </c>
      <c r="RQJ3" t="s">
        <v>12798</v>
      </c>
      <c r="RQK3" t="s">
        <v>12799</v>
      </c>
      <c r="RQL3" t="s">
        <v>12800</v>
      </c>
      <c r="RQM3" t="s">
        <v>12801</v>
      </c>
      <c r="RQN3" t="s">
        <v>12802</v>
      </c>
      <c r="RQO3" t="s">
        <v>12803</v>
      </c>
      <c r="RQP3" t="s">
        <v>12804</v>
      </c>
      <c r="RQQ3" t="s">
        <v>12805</v>
      </c>
      <c r="RQR3" t="s">
        <v>12806</v>
      </c>
      <c r="RQS3" t="s">
        <v>12807</v>
      </c>
      <c r="RQT3" t="s">
        <v>12808</v>
      </c>
      <c r="RQU3" t="s">
        <v>12809</v>
      </c>
      <c r="RQV3" t="s">
        <v>12810</v>
      </c>
      <c r="RQW3" t="s">
        <v>12811</v>
      </c>
      <c r="RQX3" t="s">
        <v>12812</v>
      </c>
      <c r="RQY3" t="s">
        <v>12813</v>
      </c>
      <c r="RQZ3" t="s">
        <v>12814</v>
      </c>
      <c r="RRA3" t="s">
        <v>12815</v>
      </c>
      <c r="RRB3" t="s">
        <v>12816</v>
      </c>
      <c r="RRC3" t="s">
        <v>12817</v>
      </c>
      <c r="RRD3" t="s">
        <v>12818</v>
      </c>
      <c r="RRE3" t="s">
        <v>12819</v>
      </c>
      <c r="RRF3" t="s">
        <v>12820</v>
      </c>
      <c r="RRG3" t="s">
        <v>12821</v>
      </c>
      <c r="RRH3" t="s">
        <v>12822</v>
      </c>
      <c r="RRI3" t="s">
        <v>12823</v>
      </c>
      <c r="RRJ3" t="s">
        <v>12824</v>
      </c>
      <c r="RRK3" t="s">
        <v>12825</v>
      </c>
      <c r="RRL3" t="s">
        <v>12826</v>
      </c>
      <c r="RRM3" t="s">
        <v>12827</v>
      </c>
      <c r="RRN3" t="s">
        <v>12828</v>
      </c>
      <c r="RRO3" t="s">
        <v>12829</v>
      </c>
      <c r="RRP3" t="s">
        <v>12830</v>
      </c>
      <c r="RRQ3" t="s">
        <v>12831</v>
      </c>
      <c r="RRR3" t="s">
        <v>12832</v>
      </c>
      <c r="RRS3" t="s">
        <v>12833</v>
      </c>
      <c r="RRT3" t="s">
        <v>12834</v>
      </c>
      <c r="RRU3" t="s">
        <v>12835</v>
      </c>
      <c r="RRV3" t="s">
        <v>12836</v>
      </c>
      <c r="RRW3" t="s">
        <v>12837</v>
      </c>
      <c r="RRX3" t="s">
        <v>12838</v>
      </c>
      <c r="RRY3" t="s">
        <v>12839</v>
      </c>
      <c r="RRZ3" t="s">
        <v>12840</v>
      </c>
      <c r="RSA3" t="s">
        <v>12841</v>
      </c>
      <c r="RSB3" t="s">
        <v>12842</v>
      </c>
      <c r="RSC3" t="s">
        <v>12843</v>
      </c>
      <c r="RSD3" t="s">
        <v>12844</v>
      </c>
      <c r="RSE3" t="s">
        <v>12845</v>
      </c>
      <c r="RSF3" t="s">
        <v>12846</v>
      </c>
      <c r="RSG3" t="s">
        <v>12847</v>
      </c>
      <c r="RSH3" t="s">
        <v>12848</v>
      </c>
      <c r="RSI3" t="s">
        <v>12849</v>
      </c>
      <c r="RSJ3" t="s">
        <v>12850</v>
      </c>
      <c r="RSK3" t="s">
        <v>12851</v>
      </c>
      <c r="RSL3" t="s">
        <v>12852</v>
      </c>
      <c r="RSM3" t="s">
        <v>12853</v>
      </c>
      <c r="RSN3" t="s">
        <v>12854</v>
      </c>
      <c r="RSO3" t="s">
        <v>12855</v>
      </c>
      <c r="RSP3" t="s">
        <v>12856</v>
      </c>
      <c r="RSQ3" t="s">
        <v>12857</v>
      </c>
      <c r="RSR3" t="s">
        <v>12858</v>
      </c>
      <c r="RSS3" t="s">
        <v>12859</v>
      </c>
      <c r="RST3" t="s">
        <v>12860</v>
      </c>
      <c r="RSU3" t="s">
        <v>12861</v>
      </c>
      <c r="RSV3" t="s">
        <v>12862</v>
      </c>
      <c r="RSW3" t="s">
        <v>12863</v>
      </c>
      <c r="RSX3" t="s">
        <v>12864</v>
      </c>
      <c r="RSY3" t="s">
        <v>12865</v>
      </c>
      <c r="RSZ3" t="s">
        <v>12866</v>
      </c>
      <c r="RTA3" t="s">
        <v>12867</v>
      </c>
      <c r="RTB3" t="s">
        <v>12868</v>
      </c>
      <c r="RTC3" t="s">
        <v>12869</v>
      </c>
      <c r="RTD3" t="s">
        <v>12870</v>
      </c>
      <c r="RTE3" t="s">
        <v>12871</v>
      </c>
      <c r="RTF3" t="s">
        <v>12872</v>
      </c>
      <c r="RTG3" t="s">
        <v>12873</v>
      </c>
      <c r="RTH3" t="s">
        <v>12874</v>
      </c>
      <c r="RTI3" t="s">
        <v>12875</v>
      </c>
      <c r="RTJ3" t="s">
        <v>12876</v>
      </c>
      <c r="RTK3" t="s">
        <v>12877</v>
      </c>
      <c r="RTL3" t="s">
        <v>12878</v>
      </c>
      <c r="RTM3" t="s">
        <v>12879</v>
      </c>
      <c r="RTN3" t="s">
        <v>12880</v>
      </c>
      <c r="RTO3" t="s">
        <v>12881</v>
      </c>
      <c r="RTP3" t="s">
        <v>12882</v>
      </c>
      <c r="RTQ3" t="s">
        <v>12883</v>
      </c>
      <c r="RTR3" t="s">
        <v>12884</v>
      </c>
      <c r="RTS3" t="s">
        <v>12885</v>
      </c>
      <c r="RTT3" t="s">
        <v>12886</v>
      </c>
      <c r="RTU3" t="s">
        <v>12887</v>
      </c>
      <c r="RTV3" t="s">
        <v>12888</v>
      </c>
      <c r="RTW3" t="s">
        <v>12889</v>
      </c>
      <c r="RTX3" t="s">
        <v>12890</v>
      </c>
      <c r="RTY3" t="s">
        <v>12891</v>
      </c>
      <c r="RTZ3" t="s">
        <v>12892</v>
      </c>
      <c r="RUA3" t="s">
        <v>12893</v>
      </c>
      <c r="RUB3" t="s">
        <v>12894</v>
      </c>
      <c r="RUC3" t="s">
        <v>12895</v>
      </c>
      <c r="RUD3" t="s">
        <v>12896</v>
      </c>
      <c r="RUE3" t="s">
        <v>12897</v>
      </c>
      <c r="RUF3" t="s">
        <v>12898</v>
      </c>
      <c r="RUG3" t="s">
        <v>12899</v>
      </c>
      <c r="RUH3" t="s">
        <v>12900</v>
      </c>
      <c r="RUI3" t="s">
        <v>12901</v>
      </c>
      <c r="RUJ3" t="s">
        <v>12902</v>
      </c>
      <c r="RUK3" t="s">
        <v>12903</v>
      </c>
      <c r="RUL3" t="s">
        <v>12904</v>
      </c>
      <c r="RUM3" t="s">
        <v>12905</v>
      </c>
      <c r="RUN3" t="s">
        <v>12906</v>
      </c>
      <c r="RUO3" t="s">
        <v>12907</v>
      </c>
      <c r="RUP3" t="s">
        <v>12908</v>
      </c>
      <c r="RUQ3" t="s">
        <v>12909</v>
      </c>
      <c r="RUR3" t="s">
        <v>12910</v>
      </c>
      <c r="RUS3" t="s">
        <v>12911</v>
      </c>
      <c r="RUT3" t="s">
        <v>12912</v>
      </c>
      <c r="RUU3" t="s">
        <v>12913</v>
      </c>
      <c r="RUV3" t="s">
        <v>12914</v>
      </c>
      <c r="RUW3" t="s">
        <v>12915</v>
      </c>
      <c r="RUX3" t="s">
        <v>12916</v>
      </c>
      <c r="RUY3" t="s">
        <v>12917</v>
      </c>
      <c r="RUZ3" t="s">
        <v>12918</v>
      </c>
      <c r="RVA3" t="s">
        <v>12919</v>
      </c>
      <c r="RVB3" t="s">
        <v>12920</v>
      </c>
      <c r="RVC3" t="s">
        <v>12921</v>
      </c>
      <c r="RVD3" t="s">
        <v>12922</v>
      </c>
      <c r="RVE3" t="s">
        <v>12923</v>
      </c>
      <c r="RVF3" t="s">
        <v>12924</v>
      </c>
      <c r="RVG3" t="s">
        <v>12925</v>
      </c>
      <c r="RVH3" t="s">
        <v>12926</v>
      </c>
      <c r="RVI3" t="s">
        <v>12927</v>
      </c>
      <c r="RVJ3" t="s">
        <v>12928</v>
      </c>
      <c r="RVK3" t="s">
        <v>12929</v>
      </c>
      <c r="RVL3" t="s">
        <v>12930</v>
      </c>
      <c r="RVM3" t="s">
        <v>12931</v>
      </c>
      <c r="RVN3" t="s">
        <v>12932</v>
      </c>
      <c r="RVO3" t="s">
        <v>12933</v>
      </c>
      <c r="RVP3" t="s">
        <v>12934</v>
      </c>
      <c r="RVQ3" t="s">
        <v>12935</v>
      </c>
      <c r="RVR3" t="s">
        <v>12936</v>
      </c>
      <c r="RVS3" t="s">
        <v>12937</v>
      </c>
      <c r="RVT3" t="s">
        <v>12938</v>
      </c>
      <c r="RVU3" t="s">
        <v>12939</v>
      </c>
      <c r="RVV3" t="s">
        <v>12940</v>
      </c>
      <c r="RVW3" t="s">
        <v>12941</v>
      </c>
      <c r="RVX3" t="s">
        <v>12942</v>
      </c>
      <c r="RVY3" t="s">
        <v>12943</v>
      </c>
      <c r="RVZ3" t="s">
        <v>12944</v>
      </c>
      <c r="RWA3" t="s">
        <v>12945</v>
      </c>
      <c r="RWB3" t="s">
        <v>12946</v>
      </c>
      <c r="RWC3" t="s">
        <v>12947</v>
      </c>
      <c r="RWD3" t="s">
        <v>12948</v>
      </c>
      <c r="RWE3" t="s">
        <v>12949</v>
      </c>
      <c r="RWF3" t="s">
        <v>12950</v>
      </c>
      <c r="RWG3" t="s">
        <v>12951</v>
      </c>
      <c r="RWH3" t="s">
        <v>12952</v>
      </c>
      <c r="RWI3" t="s">
        <v>12953</v>
      </c>
      <c r="RWJ3" t="s">
        <v>12954</v>
      </c>
      <c r="RWK3" t="s">
        <v>12955</v>
      </c>
      <c r="RWL3" t="s">
        <v>12956</v>
      </c>
      <c r="RWM3" t="s">
        <v>12957</v>
      </c>
      <c r="RWN3" t="s">
        <v>12958</v>
      </c>
      <c r="RWO3" t="s">
        <v>12959</v>
      </c>
      <c r="RWP3" t="s">
        <v>12960</v>
      </c>
      <c r="RWQ3" t="s">
        <v>12961</v>
      </c>
      <c r="RWR3" t="s">
        <v>12962</v>
      </c>
      <c r="RWS3" t="s">
        <v>12963</v>
      </c>
      <c r="RWT3" t="s">
        <v>12964</v>
      </c>
      <c r="RWU3" t="s">
        <v>12965</v>
      </c>
      <c r="RWV3" t="s">
        <v>12966</v>
      </c>
      <c r="RWW3" t="s">
        <v>12967</v>
      </c>
      <c r="RWX3" t="s">
        <v>12968</v>
      </c>
      <c r="RWY3" t="s">
        <v>12969</v>
      </c>
      <c r="RWZ3" t="s">
        <v>12970</v>
      </c>
      <c r="RXA3" t="s">
        <v>12971</v>
      </c>
      <c r="RXB3" t="s">
        <v>12972</v>
      </c>
      <c r="RXC3" t="s">
        <v>12973</v>
      </c>
      <c r="RXD3" t="s">
        <v>12974</v>
      </c>
      <c r="RXE3" t="s">
        <v>12975</v>
      </c>
      <c r="RXF3" t="s">
        <v>12976</v>
      </c>
      <c r="RXG3" t="s">
        <v>12977</v>
      </c>
      <c r="RXH3" t="s">
        <v>12978</v>
      </c>
      <c r="RXI3" t="s">
        <v>12979</v>
      </c>
      <c r="RXJ3" t="s">
        <v>12980</v>
      </c>
      <c r="RXK3" t="s">
        <v>12981</v>
      </c>
      <c r="RXL3" t="s">
        <v>12982</v>
      </c>
      <c r="RXM3" t="s">
        <v>12983</v>
      </c>
      <c r="RXN3" t="s">
        <v>12984</v>
      </c>
      <c r="RXO3" t="s">
        <v>12985</v>
      </c>
      <c r="RXP3" t="s">
        <v>12986</v>
      </c>
      <c r="RXQ3" t="s">
        <v>12987</v>
      </c>
      <c r="RXR3" t="s">
        <v>12988</v>
      </c>
      <c r="RXS3" t="s">
        <v>12989</v>
      </c>
      <c r="RXT3" t="s">
        <v>12990</v>
      </c>
      <c r="RXU3" t="s">
        <v>12991</v>
      </c>
      <c r="RXV3" t="s">
        <v>12992</v>
      </c>
      <c r="RXW3" t="s">
        <v>12993</v>
      </c>
      <c r="RXX3" t="s">
        <v>12994</v>
      </c>
      <c r="RXY3" t="s">
        <v>12995</v>
      </c>
      <c r="RXZ3" t="s">
        <v>12996</v>
      </c>
      <c r="RYA3" t="s">
        <v>12997</v>
      </c>
      <c r="RYB3" t="s">
        <v>12998</v>
      </c>
      <c r="RYC3" t="s">
        <v>12999</v>
      </c>
      <c r="RYD3" t="s">
        <v>13000</v>
      </c>
      <c r="RYE3" t="s">
        <v>13001</v>
      </c>
      <c r="RYF3" t="s">
        <v>13002</v>
      </c>
      <c r="RYG3" t="s">
        <v>13003</v>
      </c>
      <c r="RYH3" t="s">
        <v>13004</v>
      </c>
      <c r="RYI3" t="s">
        <v>13005</v>
      </c>
      <c r="RYJ3" t="s">
        <v>13006</v>
      </c>
      <c r="RYK3" t="s">
        <v>13007</v>
      </c>
      <c r="RYL3" t="s">
        <v>13008</v>
      </c>
      <c r="RYM3" t="s">
        <v>13009</v>
      </c>
      <c r="RYN3" t="s">
        <v>13010</v>
      </c>
      <c r="RYO3" t="s">
        <v>13011</v>
      </c>
      <c r="RYP3" t="s">
        <v>13012</v>
      </c>
      <c r="RYQ3" t="s">
        <v>13013</v>
      </c>
      <c r="RYR3" t="s">
        <v>13014</v>
      </c>
      <c r="RYS3" t="s">
        <v>13015</v>
      </c>
      <c r="RYT3" t="s">
        <v>13016</v>
      </c>
      <c r="RYU3" t="s">
        <v>13017</v>
      </c>
      <c r="RYV3" t="s">
        <v>13018</v>
      </c>
      <c r="RYW3" t="s">
        <v>13019</v>
      </c>
      <c r="RYX3" t="s">
        <v>13020</v>
      </c>
      <c r="RYY3" t="s">
        <v>13021</v>
      </c>
      <c r="RYZ3" t="s">
        <v>13022</v>
      </c>
      <c r="RZA3" t="s">
        <v>13023</v>
      </c>
      <c r="RZB3" t="s">
        <v>13024</v>
      </c>
      <c r="RZC3" t="s">
        <v>13025</v>
      </c>
      <c r="RZD3" t="s">
        <v>13026</v>
      </c>
      <c r="RZE3" t="s">
        <v>13027</v>
      </c>
      <c r="RZF3" t="s">
        <v>13028</v>
      </c>
      <c r="RZG3" t="s">
        <v>13029</v>
      </c>
      <c r="RZH3" t="s">
        <v>13030</v>
      </c>
      <c r="RZI3" t="s">
        <v>13031</v>
      </c>
      <c r="RZJ3" t="s">
        <v>13032</v>
      </c>
      <c r="RZK3" t="s">
        <v>13033</v>
      </c>
      <c r="RZL3" t="s">
        <v>13034</v>
      </c>
      <c r="RZM3" t="s">
        <v>13035</v>
      </c>
      <c r="RZN3" t="s">
        <v>13036</v>
      </c>
      <c r="RZO3" t="s">
        <v>13037</v>
      </c>
      <c r="RZP3" t="s">
        <v>13038</v>
      </c>
      <c r="RZQ3" t="s">
        <v>13039</v>
      </c>
      <c r="RZR3" t="s">
        <v>13040</v>
      </c>
      <c r="RZS3" t="s">
        <v>13041</v>
      </c>
      <c r="RZT3" t="s">
        <v>13042</v>
      </c>
      <c r="RZU3" t="s">
        <v>13043</v>
      </c>
      <c r="RZV3" t="s">
        <v>13044</v>
      </c>
      <c r="RZW3" t="s">
        <v>13045</v>
      </c>
      <c r="RZX3" t="s">
        <v>13046</v>
      </c>
      <c r="RZY3" t="s">
        <v>13047</v>
      </c>
      <c r="RZZ3" t="s">
        <v>13048</v>
      </c>
      <c r="SAA3" t="s">
        <v>13049</v>
      </c>
      <c r="SAB3" t="s">
        <v>13050</v>
      </c>
      <c r="SAC3" t="s">
        <v>13051</v>
      </c>
      <c r="SAD3" t="s">
        <v>13052</v>
      </c>
      <c r="SAE3" t="s">
        <v>13053</v>
      </c>
      <c r="SAF3" t="s">
        <v>13054</v>
      </c>
      <c r="SAG3" t="s">
        <v>13055</v>
      </c>
      <c r="SAH3" t="s">
        <v>13056</v>
      </c>
      <c r="SAI3" t="s">
        <v>13057</v>
      </c>
      <c r="SAJ3" t="s">
        <v>13058</v>
      </c>
      <c r="SAK3" t="s">
        <v>13059</v>
      </c>
      <c r="SAL3" t="s">
        <v>13060</v>
      </c>
      <c r="SAM3" t="s">
        <v>13061</v>
      </c>
      <c r="SAN3" t="s">
        <v>13062</v>
      </c>
      <c r="SAO3" t="s">
        <v>13063</v>
      </c>
      <c r="SAP3" t="s">
        <v>13064</v>
      </c>
      <c r="SAQ3" t="s">
        <v>13065</v>
      </c>
      <c r="SAR3" t="s">
        <v>13066</v>
      </c>
      <c r="SAS3" t="s">
        <v>13067</v>
      </c>
      <c r="SAT3" t="s">
        <v>13068</v>
      </c>
      <c r="SAU3" t="s">
        <v>13069</v>
      </c>
      <c r="SAV3" t="s">
        <v>13070</v>
      </c>
      <c r="SAW3" t="s">
        <v>13071</v>
      </c>
      <c r="SAX3" t="s">
        <v>13072</v>
      </c>
      <c r="SAY3" t="s">
        <v>13073</v>
      </c>
      <c r="SAZ3" t="s">
        <v>13074</v>
      </c>
      <c r="SBA3" t="s">
        <v>13075</v>
      </c>
      <c r="SBB3" t="s">
        <v>13076</v>
      </c>
      <c r="SBC3" t="s">
        <v>13077</v>
      </c>
      <c r="SBD3" t="s">
        <v>13078</v>
      </c>
      <c r="SBE3" t="s">
        <v>13079</v>
      </c>
      <c r="SBF3" t="s">
        <v>13080</v>
      </c>
      <c r="SBG3" t="s">
        <v>13081</v>
      </c>
      <c r="SBH3" t="s">
        <v>13082</v>
      </c>
      <c r="SBI3" t="s">
        <v>13083</v>
      </c>
      <c r="SBJ3" t="s">
        <v>13084</v>
      </c>
      <c r="SBK3" t="s">
        <v>13085</v>
      </c>
      <c r="SBL3" t="s">
        <v>13086</v>
      </c>
      <c r="SBM3" t="s">
        <v>13087</v>
      </c>
      <c r="SBN3" t="s">
        <v>13088</v>
      </c>
      <c r="SBO3" t="s">
        <v>13089</v>
      </c>
      <c r="SBP3" t="s">
        <v>13090</v>
      </c>
      <c r="SBQ3" t="s">
        <v>13091</v>
      </c>
      <c r="SBR3" t="s">
        <v>13092</v>
      </c>
      <c r="SBS3" t="s">
        <v>13093</v>
      </c>
      <c r="SBT3" t="s">
        <v>13094</v>
      </c>
      <c r="SBU3" t="s">
        <v>13095</v>
      </c>
      <c r="SBV3" t="s">
        <v>13096</v>
      </c>
      <c r="SBW3" t="s">
        <v>13097</v>
      </c>
      <c r="SBX3" t="s">
        <v>13098</v>
      </c>
      <c r="SBY3" t="s">
        <v>13099</v>
      </c>
      <c r="SBZ3" t="s">
        <v>13100</v>
      </c>
      <c r="SCA3" t="s">
        <v>13101</v>
      </c>
      <c r="SCB3" t="s">
        <v>13102</v>
      </c>
      <c r="SCC3" t="s">
        <v>13103</v>
      </c>
      <c r="SCD3" t="s">
        <v>13104</v>
      </c>
      <c r="SCE3" t="s">
        <v>13105</v>
      </c>
      <c r="SCF3" t="s">
        <v>13106</v>
      </c>
      <c r="SCG3" t="s">
        <v>13107</v>
      </c>
      <c r="SCH3" t="s">
        <v>13108</v>
      </c>
      <c r="SCI3" t="s">
        <v>13109</v>
      </c>
      <c r="SCJ3" t="s">
        <v>13110</v>
      </c>
      <c r="SCK3" t="s">
        <v>13111</v>
      </c>
      <c r="SCL3" t="s">
        <v>13112</v>
      </c>
      <c r="SCM3" t="s">
        <v>13113</v>
      </c>
      <c r="SCN3" t="s">
        <v>13114</v>
      </c>
      <c r="SCO3" t="s">
        <v>13115</v>
      </c>
      <c r="SCP3" t="s">
        <v>13116</v>
      </c>
      <c r="SCQ3" t="s">
        <v>13117</v>
      </c>
      <c r="SCR3" t="s">
        <v>13118</v>
      </c>
      <c r="SCS3" t="s">
        <v>13119</v>
      </c>
      <c r="SCT3" t="s">
        <v>13120</v>
      </c>
      <c r="SCU3" t="s">
        <v>13121</v>
      </c>
      <c r="SCV3" t="s">
        <v>13122</v>
      </c>
      <c r="SCW3" t="s">
        <v>13123</v>
      </c>
      <c r="SCX3" t="s">
        <v>13124</v>
      </c>
      <c r="SCY3" t="s">
        <v>13125</v>
      </c>
      <c r="SCZ3" t="s">
        <v>13126</v>
      </c>
      <c r="SDA3" t="s">
        <v>13127</v>
      </c>
      <c r="SDB3" t="s">
        <v>13128</v>
      </c>
      <c r="SDC3" t="s">
        <v>13129</v>
      </c>
      <c r="SDD3" t="s">
        <v>13130</v>
      </c>
      <c r="SDE3" t="s">
        <v>13131</v>
      </c>
      <c r="SDF3" t="s">
        <v>13132</v>
      </c>
      <c r="SDG3" t="s">
        <v>13133</v>
      </c>
      <c r="SDH3" t="s">
        <v>13134</v>
      </c>
      <c r="SDI3" t="s">
        <v>13135</v>
      </c>
      <c r="SDJ3" t="s">
        <v>13136</v>
      </c>
      <c r="SDK3" t="s">
        <v>13137</v>
      </c>
      <c r="SDL3" t="s">
        <v>13138</v>
      </c>
      <c r="SDM3" t="s">
        <v>13139</v>
      </c>
      <c r="SDN3" t="s">
        <v>13140</v>
      </c>
      <c r="SDO3" t="s">
        <v>13141</v>
      </c>
      <c r="SDP3" t="s">
        <v>13142</v>
      </c>
      <c r="SDQ3" t="s">
        <v>13143</v>
      </c>
      <c r="SDR3" t="s">
        <v>13144</v>
      </c>
      <c r="SDS3" t="s">
        <v>13145</v>
      </c>
      <c r="SDT3" t="s">
        <v>13146</v>
      </c>
      <c r="SDU3" t="s">
        <v>13147</v>
      </c>
      <c r="SDV3" t="s">
        <v>13148</v>
      </c>
      <c r="SDW3" t="s">
        <v>13149</v>
      </c>
      <c r="SDX3" t="s">
        <v>13150</v>
      </c>
      <c r="SDY3" t="s">
        <v>13151</v>
      </c>
      <c r="SDZ3" t="s">
        <v>13152</v>
      </c>
      <c r="SEA3" t="s">
        <v>13153</v>
      </c>
      <c r="SEB3" t="s">
        <v>13154</v>
      </c>
      <c r="SEC3" t="s">
        <v>13155</v>
      </c>
      <c r="SED3" t="s">
        <v>13156</v>
      </c>
      <c r="SEE3" t="s">
        <v>13157</v>
      </c>
      <c r="SEF3" t="s">
        <v>13158</v>
      </c>
      <c r="SEG3" t="s">
        <v>13159</v>
      </c>
      <c r="SEH3" t="s">
        <v>13160</v>
      </c>
      <c r="SEI3" t="s">
        <v>13161</v>
      </c>
      <c r="SEJ3" t="s">
        <v>13162</v>
      </c>
      <c r="SEK3" t="s">
        <v>13163</v>
      </c>
      <c r="SEL3" t="s">
        <v>13164</v>
      </c>
      <c r="SEM3" t="s">
        <v>13165</v>
      </c>
      <c r="SEN3" t="s">
        <v>13166</v>
      </c>
      <c r="SEO3" t="s">
        <v>13167</v>
      </c>
      <c r="SEP3" t="s">
        <v>13168</v>
      </c>
      <c r="SEQ3" t="s">
        <v>13169</v>
      </c>
      <c r="SER3" t="s">
        <v>13170</v>
      </c>
      <c r="SES3" t="s">
        <v>13171</v>
      </c>
      <c r="SET3" t="s">
        <v>13172</v>
      </c>
      <c r="SEU3" t="s">
        <v>13173</v>
      </c>
      <c r="SEV3" t="s">
        <v>13174</v>
      </c>
      <c r="SEW3" t="s">
        <v>13175</v>
      </c>
      <c r="SEX3" t="s">
        <v>13176</v>
      </c>
      <c r="SEY3" t="s">
        <v>13177</v>
      </c>
      <c r="SEZ3" t="s">
        <v>13178</v>
      </c>
      <c r="SFA3" t="s">
        <v>13179</v>
      </c>
      <c r="SFB3" t="s">
        <v>13180</v>
      </c>
      <c r="SFC3" t="s">
        <v>13181</v>
      </c>
      <c r="SFD3" t="s">
        <v>13182</v>
      </c>
      <c r="SFE3" t="s">
        <v>13183</v>
      </c>
      <c r="SFF3" t="s">
        <v>13184</v>
      </c>
      <c r="SFG3" t="s">
        <v>13185</v>
      </c>
      <c r="SFH3" t="s">
        <v>13186</v>
      </c>
      <c r="SFI3" t="s">
        <v>13187</v>
      </c>
      <c r="SFJ3" t="s">
        <v>13188</v>
      </c>
      <c r="SFK3" t="s">
        <v>13189</v>
      </c>
      <c r="SFL3" t="s">
        <v>13190</v>
      </c>
      <c r="SFM3" t="s">
        <v>13191</v>
      </c>
      <c r="SFN3" t="s">
        <v>13192</v>
      </c>
      <c r="SFO3" t="s">
        <v>13193</v>
      </c>
      <c r="SFP3" t="s">
        <v>13194</v>
      </c>
      <c r="SFQ3" t="s">
        <v>13195</v>
      </c>
      <c r="SFR3" t="s">
        <v>13196</v>
      </c>
      <c r="SFS3" t="s">
        <v>13197</v>
      </c>
      <c r="SFT3" t="s">
        <v>13198</v>
      </c>
      <c r="SFU3" t="s">
        <v>13199</v>
      </c>
      <c r="SFV3" t="s">
        <v>13200</v>
      </c>
      <c r="SFW3" t="s">
        <v>13201</v>
      </c>
      <c r="SFX3" t="s">
        <v>13202</v>
      </c>
      <c r="SFY3" t="s">
        <v>13203</v>
      </c>
      <c r="SFZ3" t="s">
        <v>13204</v>
      </c>
      <c r="SGA3" t="s">
        <v>13205</v>
      </c>
      <c r="SGB3" t="s">
        <v>13206</v>
      </c>
      <c r="SGC3" t="s">
        <v>13207</v>
      </c>
      <c r="SGD3" t="s">
        <v>13208</v>
      </c>
      <c r="SGE3" t="s">
        <v>13209</v>
      </c>
      <c r="SGF3" t="s">
        <v>13210</v>
      </c>
      <c r="SGG3" t="s">
        <v>13211</v>
      </c>
      <c r="SGH3" t="s">
        <v>13212</v>
      </c>
      <c r="SGI3" t="s">
        <v>13213</v>
      </c>
      <c r="SGJ3" t="s">
        <v>13214</v>
      </c>
      <c r="SGK3" t="s">
        <v>13215</v>
      </c>
      <c r="SGL3" t="s">
        <v>13216</v>
      </c>
      <c r="SGM3" t="s">
        <v>13217</v>
      </c>
      <c r="SGN3" t="s">
        <v>13218</v>
      </c>
      <c r="SGO3" t="s">
        <v>13219</v>
      </c>
      <c r="SGP3" t="s">
        <v>13220</v>
      </c>
      <c r="SGQ3" t="s">
        <v>13221</v>
      </c>
      <c r="SGR3" t="s">
        <v>13222</v>
      </c>
      <c r="SGS3" t="s">
        <v>13223</v>
      </c>
      <c r="SGT3" t="s">
        <v>13224</v>
      </c>
      <c r="SGU3" t="s">
        <v>13225</v>
      </c>
      <c r="SGV3" t="s">
        <v>13226</v>
      </c>
      <c r="SGW3" t="s">
        <v>13227</v>
      </c>
      <c r="SGX3" t="s">
        <v>13228</v>
      </c>
      <c r="SGY3" t="s">
        <v>13229</v>
      </c>
      <c r="SGZ3" t="s">
        <v>13230</v>
      </c>
      <c r="SHA3" t="s">
        <v>13231</v>
      </c>
      <c r="SHB3" t="s">
        <v>13232</v>
      </c>
      <c r="SHC3" t="s">
        <v>13233</v>
      </c>
      <c r="SHD3" t="s">
        <v>13234</v>
      </c>
      <c r="SHE3" t="s">
        <v>13235</v>
      </c>
      <c r="SHF3" t="s">
        <v>13236</v>
      </c>
      <c r="SHG3" t="s">
        <v>13237</v>
      </c>
      <c r="SHH3" t="s">
        <v>13238</v>
      </c>
      <c r="SHI3" t="s">
        <v>13239</v>
      </c>
      <c r="SHJ3" t="s">
        <v>13240</v>
      </c>
      <c r="SHK3" t="s">
        <v>13241</v>
      </c>
      <c r="SHL3" t="s">
        <v>13242</v>
      </c>
      <c r="SHM3" t="s">
        <v>13243</v>
      </c>
      <c r="SHN3" t="s">
        <v>13244</v>
      </c>
      <c r="SHO3" t="s">
        <v>13245</v>
      </c>
      <c r="SHP3" t="s">
        <v>13246</v>
      </c>
      <c r="SHQ3" t="s">
        <v>13247</v>
      </c>
      <c r="SHR3" t="s">
        <v>13248</v>
      </c>
      <c r="SHS3" t="s">
        <v>13249</v>
      </c>
      <c r="SHT3" t="s">
        <v>13250</v>
      </c>
      <c r="SHU3" t="s">
        <v>13251</v>
      </c>
      <c r="SHV3" t="s">
        <v>13252</v>
      </c>
      <c r="SHW3" t="s">
        <v>13253</v>
      </c>
      <c r="SHX3" t="s">
        <v>13254</v>
      </c>
      <c r="SHY3" t="s">
        <v>13255</v>
      </c>
      <c r="SHZ3" t="s">
        <v>13256</v>
      </c>
      <c r="SIA3" t="s">
        <v>13257</v>
      </c>
      <c r="SIB3" t="s">
        <v>13258</v>
      </c>
      <c r="SIC3" t="s">
        <v>13259</v>
      </c>
      <c r="SID3" t="s">
        <v>13260</v>
      </c>
      <c r="SIE3" t="s">
        <v>13261</v>
      </c>
      <c r="SIF3" t="s">
        <v>13262</v>
      </c>
      <c r="SIG3" t="s">
        <v>13263</v>
      </c>
      <c r="SIH3" t="s">
        <v>13264</v>
      </c>
      <c r="SII3" t="s">
        <v>13265</v>
      </c>
      <c r="SIJ3" t="s">
        <v>13266</v>
      </c>
      <c r="SIK3" t="s">
        <v>13267</v>
      </c>
      <c r="SIL3" t="s">
        <v>13268</v>
      </c>
      <c r="SIM3" t="s">
        <v>13269</v>
      </c>
      <c r="SIN3" t="s">
        <v>13270</v>
      </c>
      <c r="SIO3" t="s">
        <v>13271</v>
      </c>
      <c r="SIP3" t="s">
        <v>13272</v>
      </c>
      <c r="SIQ3" t="s">
        <v>13273</v>
      </c>
      <c r="SIR3" t="s">
        <v>13274</v>
      </c>
      <c r="SIS3" t="s">
        <v>13275</v>
      </c>
      <c r="SIT3" t="s">
        <v>13276</v>
      </c>
      <c r="SIU3" t="s">
        <v>13277</v>
      </c>
      <c r="SIV3" t="s">
        <v>13278</v>
      </c>
      <c r="SIW3" t="s">
        <v>13279</v>
      </c>
      <c r="SIX3" t="s">
        <v>13280</v>
      </c>
      <c r="SIY3" t="s">
        <v>13281</v>
      </c>
      <c r="SIZ3" t="s">
        <v>13282</v>
      </c>
      <c r="SJA3" t="s">
        <v>13283</v>
      </c>
      <c r="SJB3" t="s">
        <v>13284</v>
      </c>
      <c r="SJC3" t="s">
        <v>13285</v>
      </c>
      <c r="SJD3" t="s">
        <v>13286</v>
      </c>
      <c r="SJE3" t="s">
        <v>13287</v>
      </c>
      <c r="SJF3" t="s">
        <v>13288</v>
      </c>
      <c r="SJG3" t="s">
        <v>13289</v>
      </c>
      <c r="SJH3" t="s">
        <v>13290</v>
      </c>
      <c r="SJI3" t="s">
        <v>13291</v>
      </c>
      <c r="SJJ3" t="s">
        <v>13292</v>
      </c>
      <c r="SJK3" t="s">
        <v>13293</v>
      </c>
      <c r="SJL3" t="s">
        <v>13294</v>
      </c>
      <c r="SJM3" t="s">
        <v>13295</v>
      </c>
      <c r="SJN3" t="s">
        <v>13296</v>
      </c>
      <c r="SJO3" t="s">
        <v>13297</v>
      </c>
      <c r="SJP3" t="s">
        <v>13298</v>
      </c>
      <c r="SJQ3" t="s">
        <v>13299</v>
      </c>
      <c r="SJR3" t="s">
        <v>13300</v>
      </c>
      <c r="SJS3" t="s">
        <v>13301</v>
      </c>
      <c r="SJT3" t="s">
        <v>13302</v>
      </c>
      <c r="SJU3" t="s">
        <v>13303</v>
      </c>
      <c r="SJV3" t="s">
        <v>13304</v>
      </c>
      <c r="SJW3" t="s">
        <v>13305</v>
      </c>
      <c r="SJX3" t="s">
        <v>13306</v>
      </c>
      <c r="SJY3" t="s">
        <v>13307</v>
      </c>
      <c r="SJZ3" t="s">
        <v>13308</v>
      </c>
      <c r="SKA3" t="s">
        <v>13309</v>
      </c>
      <c r="SKB3" t="s">
        <v>13310</v>
      </c>
      <c r="SKC3" t="s">
        <v>13311</v>
      </c>
      <c r="SKD3" t="s">
        <v>13312</v>
      </c>
      <c r="SKE3" t="s">
        <v>13313</v>
      </c>
      <c r="SKF3" t="s">
        <v>13314</v>
      </c>
      <c r="SKG3" t="s">
        <v>13315</v>
      </c>
      <c r="SKH3" t="s">
        <v>13316</v>
      </c>
      <c r="SKI3" t="s">
        <v>13317</v>
      </c>
      <c r="SKJ3" t="s">
        <v>13318</v>
      </c>
      <c r="SKK3" t="s">
        <v>13319</v>
      </c>
      <c r="SKL3" t="s">
        <v>13320</v>
      </c>
      <c r="SKM3" t="s">
        <v>13321</v>
      </c>
      <c r="SKN3" t="s">
        <v>13322</v>
      </c>
      <c r="SKO3" t="s">
        <v>13323</v>
      </c>
      <c r="SKP3" t="s">
        <v>13324</v>
      </c>
      <c r="SKQ3" t="s">
        <v>13325</v>
      </c>
      <c r="SKR3" t="s">
        <v>13326</v>
      </c>
      <c r="SKS3" t="s">
        <v>13327</v>
      </c>
      <c r="SKT3" t="s">
        <v>13328</v>
      </c>
      <c r="SKU3" t="s">
        <v>13329</v>
      </c>
      <c r="SKV3" t="s">
        <v>13330</v>
      </c>
      <c r="SKW3" t="s">
        <v>13331</v>
      </c>
      <c r="SKX3" t="s">
        <v>13332</v>
      </c>
      <c r="SKY3" t="s">
        <v>13333</v>
      </c>
      <c r="SKZ3" t="s">
        <v>13334</v>
      </c>
      <c r="SLA3" t="s">
        <v>13335</v>
      </c>
      <c r="SLB3" t="s">
        <v>13336</v>
      </c>
      <c r="SLC3" t="s">
        <v>13337</v>
      </c>
      <c r="SLD3" t="s">
        <v>13338</v>
      </c>
      <c r="SLE3" t="s">
        <v>13339</v>
      </c>
      <c r="SLF3" t="s">
        <v>13340</v>
      </c>
      <c r="SLG3" t="s">
        <v>13341</v>
      </c>
      <c r="SLH3" t="s">
        <v>13342</v>
      </c>
      <c r="SLI3" t="s">
        <v>13343</v>
      </c>
      <c r="SLJ3" t="s">
        <v>13344</v>
      </c>
      <c r="SLK3" t="s">
        <v>13345</v>
      </c>
      <c r="SLL3" t="s">
        <v>13346</v>
      </c>
      <c r="SLM3" t="s">
        <v>13347</v>
      </c>
      <c r="SLN3" t="s">
        <v>13348</v>
      </c>
      <c r="SLO3" t="s">
        <v>13349</v>
      </c>
      <c r="SLP3" t="s">
        <v>13350</v>
      </c>
      <c r="SLQ3" t="s">
        <v>13351</v>
      </c>
      <c r="SLR3" t="s">
        <v>13352</v>
      </c>
      <c r="SLS3" t="s">
        <v>13353</v>
      </c>
      <c r="SLT3" t="s">
        <v>13354</v>
      </c>
      <c r="SLU3" t="s">
        <v>13355</v>
      </c>
      <c r="SLV3" t="s">
        <v>13356</v>
      </c>
      <c r="SLW3" t="s">
        <v>13357</v>
      </c>
      <c r="SLX3" t="s">
        <v>13358</v>
      </c>
      <c r="SLY3" t="s">
        <v>13359</v>
      </c>
      <c r="SLZ3" t="s">
        <v>13360</v>
      </c>
      <c r="SMA3" t="s">
        <v>13361</v>
      </c>
      <c r="SMB3" t="s">
        <v>13362</v>
      </c>
      <c r="SMC3" t="s">
        <v>13363</v>
      </c>
      <c r="SMD3" t="s">
        <v>13364</v>
      </c>
      <c r="SME3" t="s">
        <v>13365</v>
      </c>
      <c r="SMF3" t="s">
        <v>13366</v>
      </c>
      <c r="SMG3" t="s">
        <v>13367</v>
      </c>
      <c r="SMH3" t="s">
        <v>13368</v>
      </c>
      <c r="SMI3" t="s">
        <v>13369</v>
      </c>
      <c r="SMJ3" t="s">
        <v>13370</v>
      </c>
      <c r="SMK3" t="s">
        <v>13371</v>
      </c>
      <c r="SML3" t="s">
        <v>13372</v>
      </c>
      <c r="SMM3" t="s">
        <v>13373</v>
      </c>
      <c r="SMN3" t="s">
        <v>13374</v>
      </c>
      <c r="SMO3" t="s">
        <v>13375</v>
      </c>
      <c r="SMP3" t="s">
        <v>13376</v>
      </c>
      <c r="SMQ3" t="s">
        <v>13377</v>
      </c>
      <c r="SMR3" t="s">
        <v>13378</v>
      </c>
      <c r="SMS3" t="s">
        <v>13379</v>
      </c>
      <c r="SMT3" t="s">
        <v>13380</v>
      </c>
      <c r="SMU3" t="s">
        <v>13381</v>
      </c>
      <c r="SMV3" t="s">
        <v>13382</v>
      </c>
      <c r="SMW3" t="s">
        <v>13383</v>
      </c>
      <c r="SMX3" t="s">
        <v>13384</v>
      </c>
      <c r="SMY3" t="s">
        <v>13385</v>
      </c>
      <c r="SMZ3" t="s">
        <v>13386</v>
      </c>
      <c r="SNA3" t="s">
        <v>13387</v>
      </c>
      <c r="SNB3" t="s">
        <v>13388</v>
      </c>
      <c r="SNC3" t="s">
        <v>13389</v>
      </c>
      <c r="SND3" t="s">
        <v>13390</v>
      </c>
      <c r="SNE3" t="s">
        <v>13391</v>
      </c>
      <c r="SNF3" t="s">
        <v>13392</v>
      </c>
      <c r="SNG3" t="s">
        <v>13393</v>
      </c>
      <c r="SNH3" t="s">
        <v>13394</v>
      </c>
      <c r="SNI3" t="s">
        <v>13395</v>
      </c>
      <c r="SNJ3" t="s">
        <v>13396</v>
      </c>
      <c r="SNK3" t="s">
        <v>13397</v>
      </c>
      <c r="SNL3" t="s">
        <v>13398</v>
      </c>
      <c r="SNM3" t="s">
        <v>13399</v>
      </c>
      <c r="SNN3" t="s">
        <v>13400</v>
      </c>
      <c r="SNO3" t="s">
        <v>13401</v>
      </c>
      <c r="SNP3" t="s">
        <v>13402</v>
      </c>
      <c r="SNQ3" t="s">
        <v>13403</v>
      </c>
      <c r="SNR3" t="s">
        <v>13404</v>
      </c>
      <c r="SNS3" t="s">
        <v>13405</v>
      </c>
      <c r="SNT3" t="s">
        <v>13406</v>
      </c>
      <c r="SNU3" t="s">
        <v>13407</v>
      </c>
      <c r="SNV3" t="s">
        <v>13408</v>
      </c>
      <c r="SNW3" t="s">
        <v>13409</v>
      </c>
      <c r="SNX3" t="s">
        <v>13410</v>
      </c>
      <c r="SNY3" t="s">
        <v>13411</v>
      </c>
      <c r="SNZ3" t="s">
        <v>13412</v>
      </c>
      <c r="SOA3" t="s">
        <v>13413</v>
      </c>
      <c r="SOB3" t="s">
        <v>13414</v>
      </c>
      <c r="SOC3" t="s">
        <v>13415</v>
      </c>
      <c r="SOD3" t="s">
        <v>13416</v>
      </c>
      <c r="SOE3" t="s">
        <v>13417</v>
      </c>
      <c r="SOF3" t="s">
        <v>13418</v>
      </c>
      <c r="SOG3" t="s">
        <v>13419</v>
      </c>
      <c r="SOH3" t="s">
        <v>13420</v>
      </c>
      <c r="SOI3" t="s">
        <v>13421</v>
      </c>
      <c r="SOJ3" t="s">
        <v>13422</v>
      </c>
      <c r="SOK3" t="s">
        <v>13423</v>
      </c>
      <c r="SOL3" t="s">
        <v>13424</v>
      </c>
      <c r="SOM3" t="s">
        <v>13425</v>
      </c>
      <c r="SON3" t="s">
        <v>13426</v>
      </c>
      <c r="SOO3" t="s">
        <v>13427</v>
      </c>
      <c r="SOP3" t="s">
        <v>13428</v>
      </c>
      <c r="SOQ3" t="s">
        <v>13429</v>
      </c>
      <c r="SOR3" t="s">
        <v>13430</v>
      </c>
      <c r="SOS3" t="s">
        <v>13431</v>
      </c>
      <c r="SOT3" t="s">
        <v>13432</v>
      </c>
      <c r="SOU3" t="s">
        <v>13433</v>
      </c>
      <c r="SOV3" t="s">
        <v>13434</v>
      </c>
      <c r="SOW3" t="s">
        <v>13435</v>
      </c>
      <c r="SOX3" t="s">
        <v>13436</v>
      </c>
      <c r="SOY3" t="s">
        <v>13437</v>
      </c>
      <c r="SOZ3" t="s">
        <v>13438</v>
      </c>
      <c r="SPA3" t="s">
        <v>13439</v>
      </c>
      <c r="SPB3" t="s">
        <v>13440</v>
      </c>
      <c r="SPC3" t="s">
        <v>13441</v>
      </c>
      <c r="SPD3" t="s">
        <v>13442</v>
      </c>
      <c r="SPE3" t="s">
        <v>13443</v>
      </c>
      <c r="SPF3" t="s">
        <v>13444</v>
      </c>
      <c r="SPG3" t="s">
        <v>13445</v>
      </c>
      <c r="SPH3" t="s">
        <v>13446</v>
      </c>
      <c r="SPI3" t="s">
        <v>13447</v>
      </c>
      <c r="SPJ3" t="s">
        <v>13448</v>
      </c>
      <c r="SPK3" t="s">
        <v>13449</v>
      </c>
      <c r="SPL3" t="s">
        <v>13450</v>
      </c>
      <c r="SPM3" t="s">
        <v>13451</v>
      </c>
      <c r="SPN3" t="s">
        <v>13452</v>
      </c>
      <c r="SPO3" t="s">
        <v>13453</v>
      </c>
      <c r="SPP3" t="s">
        <v>13454</v>
      </c>
      <c r="SPQ3" t="s">
        <v>13455</v>
      </c>
      <c r="SPR3" t="s">
        <v>13456</v>
      </c>
      <c r="SPS3" t="s">
        <v>13457</v>
      </c>
      <c r="SPT3" t="s">
        <v>13458</v>
      </c>
      <c r="SPU3" t="s">
        <v>13459</v>
      </c>
      <c r="SPV3" t="s">
        <v>13460</v>
      </c>
      <c r="SPW3" t="s">
        <v>13461</v>
      </c>
      <c r="SPX3" t="s">
        <v>13462</v>
      </c>
      <c r="SPY3" t="s">
        <v>13463</v>
      </c>
      <c r="SPZ3" t="s">
        <v>13464</v>
      </c>
      <c r="SQA3" t="s">
        <v>13465</v>
      </c>
      <c r="SQB3" t="s">
        <v>13466</v>
      </c>
      <c r="SQC3" t="s">
        <v>13467</v>
      </c>
      <c r="SQD3" t="s">
        <v>13468</v>
      </c>
      <c r="SQE3" t="s">
        <v>13469</v>
      </c>
      <c r="SQF3" t="s">
        <v>13470</v>
      </c>
      <c r="SQG3" t="s">
        <v>13471</v>
      </c>
      <c r="SQH3" t="s">
        <v>13472</v>
      </c>
      <c r="SQI3" t="s">
        <v>13473</v>
      </c>
      <c r="SQJ3" t="s">
        <v>13474</v>
      </c>
      <c r="SQK3" t="s">
        <v>13475</v>
      </c>
      <c r="SQL3" t="s">
        <v>13476</v>
      </c>
      <c r="SQM3" t="s">
        <v>13477</v>
      </c>
      <c r="SQN3" t="s">
        <v>13478</v>
      </c>
      <c r="SQO3" t="s">
        <v>13479</v>
      </c>
      <c r="SQP3" t="s">
        <v>13480</v>
      </c>
      <c r="SQQ3" t="s">
        <v>13481</v>
      </c>
      <c r="SQR3" t="s">
        <v>13482</v>
      </c>
      <c r="SQS3" t="s">
        <v>13483</v>
      </c>
      <c r="SQT3" t="s">
        <v>13484</v>
      </c>
      <c r="SQU3" t="s">
        <v>13485</v>
      </c>
      <c r="SQV3" t="s">
        <v>13486</v>
      </c>
      <c r="SQW3" t="s">
        <v>13487</v>
      </c>
      <c r="SQX3" t="s">
        <v>13488</v>
      </c>
      <c r="SQY3" t="s">
        <v>13489</v>
      </c>
      <c r="SQZ3" t="s">
        <v>13490</v>
      </c>
      <c r="SRA3" t="s">
        <v>13491</v>
      </c>
      <c r="SRB3" t="s">
        <v>13492</v>
      </c>
      <c r="SRC3" t="s">
        <v>13493</v>
      </c>
      <c r="SRD3" t="s">
        <v>13494</v>
      </c>
      <c r="SRE3" t="s">
        <v>13495</v>
      </c>
      <c r="SRF3" t="s">
        <v>13496</v>
      </c>
      <c r="SRG3" t="s">
        <v>13497</v>
      </c>
      <c r="SRH3" t="s">
        <v>13498</v>
      </c>
      <c r="SRI3" t="s">
        <v>13499</v>
      </c>
      <c r="SRJ3" t="s">
        <v>13500</v>
      </c>
      <c r="SRK3" t="s">
        <v>13501</v>
      </c>
      <c r="SRL3" t="s">
        <v>13502</v>
      </c>
      <c r="SRM3" t="s">
        <v>13503</v>
      </c>
      <c r="SRN3" t="s">
        <v>13504</v>
      </c>
      <c r="SRO3" t="s">
        <v>13505</v>
      </c>
      <c r="SRP3" t="s">
        <v>13506</v>
      </c>
      <c r="SRQ3" t="s">
        <v>13507</v>
      </c>
      <c r="SRR3" t="s">
        <v>13508</v>
      </c>
      <c r="SRS3" t="s">
        <v>13509</v>
      </c>
      <c r="SRT3" t="s">
        <v>13510</v>
      </c>
      <c r="SRU3" t="s">
        <v>13511</v>
      </c>
      <c r="SRV3" t="s">
        <v>13512</v>
      </c>
      <c r="SRW3" t="s">
        <v>13513</v>
      </c>
      <c r="SRX3" t="s">
        <v>13514</v>
      </c>
      <c r="SRY3" t="s">
        <v>13515</v>
      </c>
      <c r="SRZ3" t="s">
        <v>13516</v>
      </c>
      <c r="SSA3" t="s">
        <v>13517</v>
      </c>
      <c r="SSB3" t="s">
        <v>13518</v>
      </c>
      <c r="SSC3" t="s">
        <v>13519</v>
      </c>
      <c r="SSD3" t="s">
        <v>13520</v>
      </c>
      <c r="SSE3" t="s">
        <v>13521</v>
      </c>
      <c r="SSF3" t="s">
        <v>13522</v>
      </c>
      <c r="SSG3" t="s">
        <v>13523</v>
      </c>
      <c r="SSH3" t="s">
        <v>13524</v>
      </c>
      <c r="SSI3" t="s">
        <v>13525</v>
      </c>
      <c r="SSJ3" t="s">
        <v>13526</v>
      </c>
      <c r="SSK3" t="s">
        <v>13527</v>
      </c>
      <c r="SSL3" t="s">
        <v>13528</v>
      </c>
      <c r="SSM3" t="s">
        <v>13529</v>
      </c>
      <c r="SSN3" t="s">
        <v>13530</v>
      </c>
      <c r="SSO3" t="s">
        <v>13531</v>
      </c>
      <c r="SSP3" t="s">
        <v>13532</v>
      </c>
      <c r="SSQ3" t="s">
        <v>13533</v>
      </c>
      <c r="SSR3" t="s">
        <v>13534</v>
      </c>
      <c r="SSS3" t="s">
        <v>13535</v>
      </c>
      <c r="SST3" t="s">
        <v>13536</v>
      </c>
      <c r="SSU3" t="s">
        <v>13537</v>
      </c>
      <c r="SSV3" t="s">
        <v>13538</v>
      </c>
      <c r="SSW3" t="s">
        <v>13539</v>
      </c>
      <c r="SSX3" t="s">
        <v>13540</v>
      </c>
      <c r="SSY3" t="s">
        <v>13541</v>
      </c>
      <c r="SSZ3" t="s">
        <v>13542</v>
      </c>
      <c r="STA3" t="s">
        <v>13543</v>
      </c>
      <c r="STB3" t="s">
        <v>13544</v>
      </c>
      <c r="STC3" t="s">
        <v>13545</v>
      </c>
      <c r="STD3" t="s">
        <v>13546</v>
      </c>
      <c r="STE3" t="s">
        <v>13547</v>
      </c>
      <c r="STF3" t="s">
        <v>13548</v>
      </c>
      <c r="STG3" t="s">
        <v>13549</v>
      </c>
      <c r="STH3" t="s">
        <v>13550</v>
      </c>
      <c r="STI3" t="s">
        <v>13551</v>
      </c>
      <c r="STJ3" t="s">
        <v>13552</v>
      </c>
      <c r="STK3" t="s">
        <v>13553</v>
      </c>
      <c r="STL3" t="s">
        <v>13554</v>
      </c>
      <c r="STM3" t="s">
        <v>13555</v>
      </c>
      <c r="STN3" t="s">
        <v>13556</v>
      </c>
      <c r="STO3" t="s">
        <v>13557</v>
      </c>
      <c r="STP3" t="s">
        <v>13558</v>
      </c>
      <c r="STQ3" t="s">
        <v>13559</v>
      </c>
      <c r="STR3" t="s">
        <v>13560</v>
      </c>
      <c r="STS3" t="s">
        <v>13561</v>
      </c>
      <c r="STT3" t="s">
        <v>13562</v>
      </c>
      <c r="STU3" t="s">
        <v>13563</v>
      </c>
      <c r="STV3" t="s">
        <v>13564</v>
      </c>
      <c r="STW3" t="s">
        <v>13565</v>
      </c>
      <c r="STX3" t="s">
        <v>13566</v>
      </c>
      <c r="STY3" t="s">
        <v>13567</v>
      </c>
      <c r="STZ3" t="s">
        <v>13568</v>
      </c>
      <c r="SUA3" t="s">
        <v>13569</v>
      </c>
      <c r="SUB3" t="s">
        <v>13570</v>
      </c>
      <c r="SUC3" t="s">
        <v>13571</v>
      </c>
      <c r="SUD3" t="s">
        <v>13572</v>
      </c>
      <c r="SUE3" t="s">
        <v>13573</v>
      </c>
      <c r="SUF3" t="s">
        <v>13574</v>
      </c>
      <c r="SUG3" t="s">
        <v>13575</v>
      </c>
      <c r="SUH3" t="s">
        <v>13576</v>
      </c>
      <c r="SUI3" t="s">
        <v>13577</v>
      </c>
      <c r="SUJ3" t="s">
        <v>13578</v>
      </c>
      <c r="SUK3" t="s">
        <v>13579</v>
      </c>
      <c r="SUL3" t="s">
        <v>13580</v>
      </c>
      <c r="SUM3" t="s">
        <v>13581</v>
      </c>
      <c r="SUN3" t="s">
        <v>13582</v>
      </c>
      <c r="SUO3" t="s">
        <v>13583</v>
      </c>
      <c r="SUP3" t="s">
        <v>13584</v>
      </c>
      <c r="SUQ3" t="s">
        <v>13585</v>
      </c>
      <c r="SUR3" t="s">
        <v>13586</v>
      </c>
      <c r="SUS3" t="s">
        <v>13587</v>
      </c>
      <c r="SUT3" t="s">
        <v>13588</v>
      </c>
      <c r="SUU3" t="s">
        <v>13589</v>
      </c>
      <c r="SUV3" t="s">
        <v>13590</v>
      </c>
      <c r="SUW3" t="s">
        <v>13591</v>
      </c>
      <c r="SUX3" t="s">
        <v>13592</v>
      </c>
      <c r="SUY3" t="s">
        <v>13593</v>
      </c>
      <c r="SUZ3" t="s">
        <v>13594</v>
      </c>
      <c r="SVA3" t="s">
        <v>13595</v>
      </c>
      <c r="SVB3" t="s">
        <v>13596</v>
      </c>
      <c r="SVC3" t="s">
        <v>13597</v>
      </c>
      <c r="SVD3" t="s">
        <v>13598</v>
      </c>
      <c r="SVE3" t="s">
        <v>13599</v>
      </c>
      <c r="SVF3" t="s">
        <v>13600</v>
      </c>
      <c r="SVG3" t="s">
        <v>13601</v>
      </c>
      <c r="SVH3" t="s">
        <v>13602</v>
      </c>
      <c r="SVI3" t="s">
        <v>13603</v>
      </c>
      <c r="SVJ3" t="s">
        <v>13604</v>
      </c>
      <c r="SVK3" t="s">
        <v>13605</v>
      </c>
      <c r="SVL3" t="s">
        <v>13606</v>
      </c>
      <c r="SVM3" t="s">
        <v>13607</v>
      </c>
      <c r="SVN3" t="s">
        <v>13608</v>
      </c>
      <c r="SVO3" t="s">
        <v>13609</v>
      </c>
      <c r="SVP3" t="s">
        <v>13610</v>
      </c>
      <c r="SVQ3" t="s">
        <v>13611</v>
      </c>
      <c r="SVR3" t="s">
        <v>13612</v>
      </c>
      <c r="SVS3" t="s">
        <v>13613</v>
      </c>
      <c r="SVT3" t="s">
        <v>13614</v>
      </c>
      <c r="SVU3" t="s">
        <v>13615</v>
      </c>
      <c r="SVV3" t="s">
        <v>13616</v>
      </c>
      <c r="SVW3" t="s">
        <v>13617</v>
      </c>
      <c r="SVX3" t="s">
        <v>13618</v>
      </c>
      <c r="SVY3" t="s">
        <v>13619</v>
      </c>
      <c r="SVZ3" t="s">
        <v>13620</v>
      </c>
      <c r="SWA3" t="s">
        <v>13621</v>
      </c>
      <c r="SWB3" t="s">
        <v>13622</v>
      </c>
      <c r="SWC3" t="s">
        <v>13623</v>
      </c>
      <c r="SWD3" t="s">
        <v>13624</v>
      </c>
      <c r="SWE3" t="s">
        <v>13625</v>
      </c>
      <c r="SWF3" t="s">
        <v>13626</v>
      </c>
      <c r="SWG3" t="s">
        <v>13627</v>
      </c>
      <c r="SWH3" t="s">
        <v>13628</v>
      </c>
      <c r="SWI3" t="s">
        <v>13629</v>
      </c>
      <c r="SWJ3" t="s">
        <v>13630</v>
      </c>
      <c r="SWK3" t="s">
        <v>13631</v>
      </c>
      <c r="SWL3" t="s">
        <v>13632</v>
      </c>
      <c r="SWM3" t="s">
        <v>13633</v>
      </c>
      <c r="SWN3" t="s">
        <v>13634</v>
      </c>
      <c r="SWO3" t="s">
        <v>13635</v>
      </c>
      <c r="SWP3" t="s">
        <v>13636</v>
      </c>
      <c r="SWQ3" t="s">
        <v>13637</v>
      </c>
      <c r="SWR3" t="s">
        <v>13638</v>
      </c>
      <c r="SWS3" t="s">
        <v>13639</v>
      </c>
      <c r="SWT3" t="s">
        <v>13640</v>
      </c>
      <c r="SWU3" t="s">
        <v>13641</v>
      </c>
      <c r="SWV3" t="s">
        <v>13642</v>
      </c>
      <c r="SWW3" t="s">
        <v>13643</v>
      </c>
      <c r="SWX3" t="s">
        <v>13644</v>
      </c>
      <c r="SWY3" t="s">
        <v>13645</v>
      </c>
      <c r="SWZ3" t="s">
        <v>13646</v>
      </c>
      <c r="SXA3" t="s">
        <v>13647</v>
      </c>
      <c r="SXB3" t="s">
        <v>13648</v>
      </c>
      <c r="SXC3" t="s">
        <v>13649</v>
      </c>
      <c r="SXD3" t="s">
        <v>13650</v>
      </c>
      <c r="SXE3" t="s">
        <v>13651</v>
      </c>
      <c r="SXF3" t="s">
        <v>13652</v>
      </c>
      <c r="SXG3" t="s">
        <v>13653</v>
      </c>
      <c r="SXH3" t="s">
        <v>13654</v>
      </c>
      <c r="SXI3" t="s">
        <v>13655</v>
      </c>
      <c r="SXJ3" t="s">
        <v>13656</v>
      </c>
      <c r="SXK3" t="s">
        <v>13657</v>
      </c>
      <c r="SXL3" t="s">
        <v>13658</v>
      </c>
      <c r="SXM3" t="s">
        <v>13659</v>
      </c>
      <c r="SXN3" t="s">
        <v>13660</v>
      </c>
      <c r="SXO3" t="s">
        <v>13661</v>
      </c>
      <c r="SXP3" t="s">
        <v>13662</v>
      </c>
      <c r="SXQ3" t="s">
        <v>13663</v>
      </c>
      <c r="SXR3" t="s">
        <v>13664</v>
      </c>
      <c r="SXS3" t="s">
        <v>13665</v>
      </c>
      <c r="SXT3" t="s">
        <v>13666</v>
      </c>
      <c r="SXU3" t="s">
        <v>13667</v>
      </c>
      <c r="SXV3" t="s">
        <v>13668</v>
      </c>
      <c r="SXW3" t="s">
        <v>13669</v>
      </c>
      <c r="SXX3" t="s">
        <v>13670</v>
      </c>
      <c r="SXY3" t="s">
        <v>13671</v>
      </c>
      <c r="SXZ3" t="s">
        <v>13672</v>
      </c>
      <c r="SYA3" t="s">
        <v>13673</v>
      </c>
      <c r="SYB3" t="s">
        <v>13674</v>
      </c>
      <c r="SYC3" t="s">
        <v>13675</v>
      </c>
      <c r="SYD3" t="s">
        <v>13676</v>
      </c>
      <c r="SYE3" t="s">
        <v>13677</v>
      </c>
      <c r="SYF3" t="s">
        <v>13678</v>
      </c>
      <c r="SYG3" t="s">
        <v>13679</v>
      </c>
      <c r="SYH3" t="s">
        <v>13680</v>
      </c>
      <c r="SYI3" t="s">
        <v>13681</v>
      </c>
      <c r="SYJ3" t="s">
        <v>13682</v>
      </c>
      <c r="SYK3" t="s">
        <v>13683</v>
      </c>
      <c r="SYL3" t="s">
        <v>13684</v>
      </c>
      <c r="SYM3" t="s">
        <v>13685</v>
      </c>
      <c r="SYN3" t="s">
        <v>13686</v>
      </c>
      <c r="SYO3" t="s">
        <v>13687</v>
      </c>
      <c r="SYP3" t="s">
        <v>13688</v>
      </c>
      <c r="SYQ3" t="s">
        <v>13689</v>
      </c>
      <c r="SYR3" t="s">
        <v>13690</v>
      </c>
      <c r="SYS3" t="s">
        <v>13691</v>
      </c>
      <c r="SYT3" t="s">
        <v>13692</v>
      </c>
      <c r="SYU3" t="s">
        <v>13693</v>
      </c>
      <c r="SYV3" t="s">
        <v>13694</v>
      </c>
      <c r="SYW3" t="s">
        <v>13695</v>
      </c>
      <c r="SYX3" t="s">
        <v>13696</v>
      </c>
      <c r="SYY3" t="s">
        <v>13697</v>
      </c>
      <c r="SYZ3" t="s">
        <v>13698</v>
      </c>
      <c r="SZA3" t="s">
        <v>13699</v>
      </c>
      <c r="SZB3" t="s">
        <v>13700</v>
      </c>
      <c r="SZC3" t="s">
        <v>13701</v>
      </c>
      <c r="SZD3" t="s">
        <v>13702</v>
      </c>
      <c r="SZE3" t="s">
        <v>13703</v>
      </c>
      <c r="SZF3" t="s">
        <v>13704</v>
      </c>
      <c r="SZG3" t="s">
        <v>13705</v>
      </c>
      <c r="SZH3" t="s">
        <v>13706</v>
      </c>
      <c r="SZI3" t="s">
        <v>13707</v>
      </c>
      <c r="SZJ3" t="s">
        <v>13708</v>
      </c>
      <c r="SZK3" t="s">
        <v>13709</v>
      </c>
      <c r="SZL3" t="s">
        <v>13710</v>
      </c>
      <c r="SZM3" t="s">
        <v>13711</v>
      </c>
      <c r="SZN3" t="s">
        <v>13712</v>
      </c>
      <c r="SZO3" t="s">
        <v>13713</v>
      </c>
      <c r="SZP3" t="s">
        <v>13714</v>
      </c>
      <c r="SZQ3" t="s">
        <v>13715</v>
      </c>
      <c r="SZR3" t="s">
        <v>13716</v>
      </c>
      <c r="SZS3" t="s">
        <v>13717</v>
      </c>
      <c r="SZT3" t="s">
        <v>13718</v>
      </c>
      <c r="SZU3" t="s">
        <v>13719</v>
      </c>
      <c r="SZV3" t="s">
        <v>13720</v>
      </c>
      <c r="SZW3" t="s">
        <v>13721</v>
      </c>
      <c r="SZX3" t="s">
        <v>13722</v>
      </c>
      <c r="SZY3" t="s">
        <v>13723</v>
      </c>
      <c r="SZZ3" t="s">
        <v>13724</v>
      </c>
      <c r="TAA3" t="s">
        <v>13725</v>
      </c>
      <c r="TAB3" t="s">
        <v>13726</v>
      </c>
      <c r="TAC3" t="s">
        <v>13727</v>
      </c>
      <c r="TAD3" t="s">
        <v>13728</v>
      </c>
      <c r="TAE3" t="s">
        <v>13729</v>
      </c>
      <c r="TAF3" t="s">
        <v>13730</v>
      </c>
      <c r="TAG3" t="s">
        <v>13731</v>
      </c>
      <c r="TAH3" t="s">
        <v>13732</v>
      </c>
      <c r="TAI3" t="s">
        <v>13733</v>
      </c>
      <c r="TAJ3" t="s">
        <v>13734</v>
      </c>
      <c r="TAK3" t="s">
        <v>13735</v>
      </c>
      <c r="TAL3" t="s">
        <v>13736</v>
      </c>
      <c r="TAM3" t="s">
        <v>13737</v>
      </c>
      <c r="TAN3" t="s">
        <v>13738</v>
      </c>
      <c r="TAO3" t="s">
        <v>13739</v>
      </c>
      <c r="TAP3" t="s">
        <v>13740</v>
      </c>
      <c r="TAQ3" t="s">
        <v>13741</v>
      </c>
      <c r="TAR3" t="s">
        <v>13742</v>
      </c>
      <c r="TAS3" t="s">
        <v>13743</v>
      </c>
      <c r="TAT3" t="s">
        <v>13744</v>
      </c>
      <c r="TAU3" t="s">
        <v>13745</v>
      </c>
      <c r="TAV3" t="s">
        <v>13746</v>
      </c>
      <c r="TAW3" t="s">
        <v>13747</v>
      </c>
      <c r="TAX3" t="s">
        <v>13748</v>
      </c>
      <c r="TAY3" t="s">
        <v>13749</v>
      </c>
      <c r="TAZ3" t="s">
        <v>13750</v>
      </c>
      <c r="TBA3" t="s">
        <v>13751</v>
      </c>
      <c r="TBB3" t="s">
        <v>13752</v>
      </c>
      <c r="TBC3" t="s">
        <v>13753</v>
      </c>
      <c r="TBD3" t="s">
        <v>13754</v>
      </c>
      <c r="TBE3" t="s">
        <v>13755</v>
      </c>
      <c r="TBF3" t="s">
        <v>13756</v>
      </c>
      <c r="TBG3" t="s">
        <v>13757</v>
      </c>
      <c r="TBH3" t="s">
        <v>13758</v>
      </c>
      <c r="TBI3" t="s">
        <v>13759</v>
      </c>
      <c r="TBJ3" t="s">
        <v>13760</v>
      </c>
      <c r="TBK3" t="s">
        <v>13761</v>
      </c>
      <c r="TBL3" t="s">
        <v>13762</v>
      </c>
      <c r="TBM3" t="s">
        <v>13763</v>
      </c>
      <c r="TBN3" t="s">
        <v>13764</v>
      </c>
      <c r="TBO3" t="s">
        <v>13765</v>
      </c>
      <c r="TBP3" t="s">
        <v>13766</v>
      </c>
      <c r="TBQ3" t="s">
        <v>13767</v>
      </c>
      <c r="TBR3" t="s">
        <v>13768</v>
      </c>
      <c r="TBS3" t="s">
        <v>13769</v>
      </c>
      <c r="TBT3" t="s">
        <v>13770</v>
      </c>
      <c r="TBU3" t="s">
        <v>13771</v>
      </c>
      <c r="TBV3" t="s">
        <v>13772</v>
      </c>
      <c r="TBW3" t="s">
        <v>13773</v>
      </c>
      <c r="TBX3" t="s">
        <v>13774</v>
      </c>
      <c r="TBY3" t="s">
        <v>13775</v>
      </c>
      <c r="TBZ3" t="s">
        <v>13776</v>
      </c>
      <c r="TCA3" t="s">
        <v>13777</v>
      </c>
      <c r="TCB3" t="s">
        <v>13778</v>
      </c>
      <c r="TCC3" t="s">
        <v>13779</v>
      </c>
      <c r="TCD3" t="s">
        <v>13780</v>
      </c>
      <c r="TCE3" t="s">
        <v>13781</v>
      </c>
      <c r="TCF3" t="s">
        <v>13782</v>
      </c>
      <c r="TCG3" t="s">
        <v>13783</v>
      </c>
      <c r="TCH3" t="s">
        <v>13784</v>
      </c>
      <c r="TCI3" t="s">
        <v>13785</v>
      </c>
      <c r="TCJ3" t="s">
        <v>13786</v>
      </c>
      <c r="TCK3" t="s">
        <v>13787</v>
      </c>
      <c r="TCL3" t="s">
        <v>13788</v>
      </c>
      <c r="TCM3" t="s">
        <v>13789</v>
      </c>
      <c r="TCN3" t="s">
        <v>13790</v>
      </c>
      <c r="TCO3" t="s">
        <v>13791</v>
      </c>
      <c r="TCP3" t="s">
        <v>13792</v>
      </c>
      <c r="TCQ3" t="s">
        <v>13793</v>
      </c>
      <c r="TCR3" t="s">
        <v>13794</v>
      </c>
      <c r="TCS3" t="s">
        <v>13795</v>
      </c>
      <c r="TCT3" t="s">
        <v>13796</v>
      </c>
      <c r="TCU3" t="s">
        <v>13797</v>
      </c>
      <c r="TCV3" t="s">
        <v>13798</v>
      </c>
      <c r="TCW3" t="s">
        <v>13799</v>
      </c>
      <c r="TCX3" t="s">
        <v>13800</v>
      </c>
      <c r="TCY3" t="s">
        <v>13801</v>
      </c>
      <c r="TCZ3" t="s">
        <v>13802</v>
      </c>
      <c r="TDA3" t="s">
        <v>13803</v>
      </c>
      <c r="TDB3" t="s">
        <v>13804</v>
      </c>
      <c r="TDC3" t="s">
        <v>13805</v>
      </c>
      <c r="TDD3" t="s">
        <v>13806</v>
      </c>
      <c r="TDE3" t="s">
        <v>13807</v>
      </c>
      <c r="TDF3" t="s">
        <v>13808</v>
      </c>
      <c r="TDG3" t="s">
        <v>13809</v>
      </c>
      <c r="TDH3" t="s">
        <v>13810</v>
      </c>
      <c r="TDI3" t="s">
        <v>13811</v>
      </c>
      <c r="TDJ3" t="s">
        <v>13812</v>
      </c>
      <c r="TDK3" t="s">
        <v>13813</v>
      </c>
      <c r="TDL3" t="s">
        <v>13814</v>
      </c>
      <c r="TDM3" t="s">
        <v>13815</v>
      </c>
      <c r="TDN3" t="s">
        <v>13816</v>
      </c>
      <c r="TDO3" t="s">
        <v>13817</v>
      </c>
      <c r="TDP3" t="s">
        <v>13818</v>
      </c>
      <c r="TDQ3" t="s">
        <v>13819</v>
      </c>
      <c r="TDR3" t="s">
        <v>13820</v>
      </c>
      <c r="TDS3" t="s">
        <v>13821</v>
      </c>
      <c r="TDT3" t="s">
        <v>13822</v>
      </c>
      <c r="TDU3" t="s">
        <v>13823</v>
      </c>
      <c r="TDV3" t="s">
        <v>13824</v>
      </c>
      <c r="TDW3" t="s">
        <v>13825</v>
      </c>
      <c r="TDX3" t="s">
        <v>13826</v>
      </c>
      <c r="TDY3" t="s">
        <v>13827</v>
      </c>
      <c r="TDZ3" t="s">
        <v>13828</v>
      </c>
      <c r="TEA3" t="s">
        <v>13829</v>
      </c>
      <c r="TEB3" t="s">
        <v>13830</v>
      </c>
      <c r="TEC3" t="s">
        <v>13831</v>
      </c>
      <c r="TED3" t="s">
        <v>13832</v>
      </c>
      <c r="TEE3" t="s">
        <v>13833</v>
      </c>
      <c r="TEF3" t="s">
        <v>13834</v>
      </c>
      <c r="TEG3" t="s">
        <v>13835</v>
      </c>
      <c r="TEH3" t="s">
        <v>13836</v>
      </c>
      <c r="TEI3" t="s">
        <v>13837</v>
      </c>
      <c r="TEJ3" t="s">
        <v>13838</v>
      </c>
      <c r="TEK3" t="s">
        <v>13839</v>
      </c>
      <c r="TEL3" t="s">
        <v>13840</v>
      </c>
      <c r="TEM3" t="s">
        <v>13841</v>
      </c>
      <c r="TEN3" t="s">
        <v>13842</v>
      </c>
      <c r="TEO3" t="s">
        <v>13843</v>
      </c>
      <c r="TEP3" t="s">
        <v>13844</v>
      </c>
      <c r="TEQ3" t="s">
        <v>13845</v>
      </c>
      <c r="TER3" t="s">
        <v>13846</v>
      </c>
      <c r="TES3" t="s">
        <v>13847</v>
      </c>
      <c r="TET3" t="s">
        <v>13848</v>
      </c>
      <c r="TEU3" t="s">
        <v>13849</v>
      </c>
      <c r="TEV3" t="s">
        <v>13850</v>
      </c>
      <c r="TEW3" t="s">
        <v>13851</v>
      </c>
      <c r="TEX3" t="s">
        <v>13852</v>
      </c>
      <c r="TEY3" t="s">
        <v>13853</v>
      </c>
      <c r="TEZ3" t="s">
        <v>13854</v>
      </c>
      <c r="TFA3" t="s">
        <v>13855</v>
      </c>
      <c r="TFB3" t="s">
        <v>13856</v>
      </c>
      <c r="TFC3" t="s">
        <v>13857</v>
      </c>
      <c r="TFD3" t="s">
        <v>13858</v>
      </c>
      <c r="TFE3" t="s">
        <v>13859</v>
      </c>
      <c r="TFF3" t="s">
        <v>13860</v>
      </c>
      <c r="TFG3" t="s">
        <v>13861</v>
      </c>
      <c r="TFH3" t="s">
        <v>13862</v>
      </c>
      <c r="TFI3" t="s">
        <v>13863</v>
      </c>
      <c r="TFJ3" t="s">
        <v>13864</v>
      </c>
      <c r="TFK3" t="s">
        <v>13865</v>
      </c>
      <c r="TFL3" t="s">
        <v>13866</v>
      </c>
      <c r="TFM3" t="s">
        <v>13867</v>
      </c>
      <c r="TFN3" t="s">
        <v>13868</v>
      </c>
      <c r="TFO3" t="s">
        <v>13869</v>
      </c>
      <c r="TFP3" t="s">
        <v>13870</v>
      </c>
      <c r="TFQ3" t="s">
        <v>13871</v>
      </c>
      <c r="TFR3" t="s">
        <v>13872</v>
      </c>
      <c r="TFS3" t="s">
        <v>13873</v>
      </c>
      <c r="TFT3" t="s">
        <v>13874</v>
      </c>
      <c r="TFU3" t="s">
        <v>13875</v>
      </c>
      <c r="TFV3" t="s">
        <v>13876</v>
      </c>
      <c r="TFW3" t="s">
        <v>13877</v>
      </c>
      <c r="TFX3" t="s">
        <v>13878</v>
      </c>
      <c r="TFY3" t="s">
        <v>13879</v>
      </c>
      <c r="TFZ3" t="s">
        <v>13880</v>
      </c>
      <c r="TGA3" t="s">
        <v>13881</v>
      </c>
      <c r="TGB3" t="s">
        <v>13882</v>
      </c>
      <c r="TGC3" t="s">
        <v>13883</v>
      </c>
      <c r="TGD3" t="s">
        <v>13884</v>
      </c>
      <c r="TGE3" t="s">
        <v>13885</v>
      </c>
      <c r="TGF3" t="s">
        <v>13886</v>
      </c>
      <c r="TGG3" t="s">
        <v>13887</v>
      </c>
      <c r="TGH3" t="s">
        <v>13888</v>
      </c>
      <c r="TGI3" t="s">
        <v>13889</v>
      </c>
      <c r="TGJ3" t="s">
        <v>13890</v>
      </c>
      <c r="TGK3" t="s">
        <v>13891</v>
      </c>
      <c r="TGL3" t="s">
        <v>13892</v>
      </c>
      <c r="TGM3" t="s">
        <v>13893</v>
      </c>
      <c r="TGN3" t="s">
        <v>13894</v>
      </c>
      <c r="TGO3" t="s">
        <v>13895</v>
      </c>
      <c r="TGP3" t="s">
        <v>13896</v>
      </c>
      <c r="TGQ3" t="s">
        <v>13897</v>
      </c>
      <c r="TGR3" t="s">
        <v>13898</v>
      </c>
      <c r="TGS3" t="s">
        <v>13899</v>
      </c>
      <c r="TGT3" t="s">
        <v>13900</v>
      </c>
      <c r="TGU3" t="s">
        <v>13901</v>
      </c>
      <c r="TGV3" t="s">
        <v>13902</v>
      </c>
      <c r="TGW3" t="s">
        <v>13903</v>
      </c>
      <c r="TGX3" t="s">
        <v>13904</v>
      </c>
      <c r="TGY3" t="s">
        <v>13905</v>
      </c>
      <c r="TGZ3" t="s">
        <v>13906</v>
      </c>
      <c r="THA3" t="s">
        <v>13907</v>
      </c>
      <c r="THB3" t="s">
        <v>13908</v>
      </c>
      <c r="THC3" t="s">
        <v>13909</v>
      </c>
      <c r="THD3" t="s">
        <v>13910</v>
      </c>
      <c r="THE3" t="s">
        <v>13911</v>
      </c>
      <c r="THF3" t="s">
        <v>13912</v>
      </c>
      <c r="THG3" t="s">
        <v>13913</v>
      </c>
      <c r="THH3" t="s">
        <v>13914</v>
      </c>
      <c r="THI3" t="s">
        <v>13915</v>
      </c>
      <c r="THJ3" t="s">
        <v>13916</v>
      </c>
      <c r="THK3" t="s">
        <v>13917</v>
      </c>
      <c r="THL3" t="s">
        <v>13918</v>
      </c>
      <c r="THM3" t="s">
        <v>13919</v>
      </c>
      <c r="THN3" t="s">
        <v>13920</v>
      </c>
      <c r="THO3" t="s">
        <v>13921</v>
      </c>
      <c r="THP3" t="s">
        <v>13922</v>
      </c>
      <c r="THQ3" t="s">
        <v>13923</v>
      </c>
      <c r="THR3" t="s">
        <v>13924</v>
      </c>
      <c r="THS3" t="s">
        <v>13925</v>
      </c>
      <c r="THT3" t="s">
        <v>13926</v>
      </c>
      <c r="THU3" t="s">
        <v>13927</v>
      </c>
      <c r="THV3" t="s">
        <v>13928</v>
      </c>
      <c r="THW3" t="s">
        <v>13929</v>
      </c>
      <c r="THX3" t="s">
        <v>13930</v>
      </c>
      <c r="THY3" t="s">
        <v>13931</v>
      </c>
      <c r="THZ3" t="s">
        <v>13932</v>
      </c>
      <c r="TIA3" t="s">
        <v>13933</v>
      </c>
      <c r="TIB3" t="s">
        <v>13934</v>
      </c>
      <c r="TIC3" t="s">
        <v>13935</v>
      </c>
      <c r="TID3" t="s">
        <v>13936</v>
      </c>
      <c r="TIE3" t="s">
        <v>13937</v>
      </c>
      <c r="TIF3" t="s">
        <v>13938</v>
      </c>
      <c r="TIG3" t="s">
        <v>13939</v>
      </c>
      <c r="TIH3" t="s">
        <v>13940</v>
      </c>
      <c r="TII3" t="s">
        <v>13941</v>
      </c>
      <c r="TIJ3" t="s">
        <v>13942</v>
      </c>
      <c r="TIK3" t="s">
        <v>13943</v>
      </c>
      <c r="TIL3" t="s">
        <v>13944</v>
      </c>
      <c r="TIM3" t="s">
        <v>13945</v>
      </c>
      <c r="TIN3" t="s">
        <v>13946</v>
      </c>
      <c r="TIO3" t="s">
        <v>13947</v>
      </c>
      <c r="TIP3" t="s">
        <v>13948</v>
      </c>
      <c r="TIQ3" t="s">
        <v>13949</v>
      </c>
      <c r="TIR3" t="s">
        <v>13950</v>
      </c>
      <c r="TIS3" t="s">
        <v>13951</v>
      </c>
      <c r="TIT3" t="s">
        <v>13952</v>
      </c>
      <c r="TIU3" t="s">
        <v>13953</v>
      </c>
      <c r="TIV3" t="s">
        <v>13954</v>
      </c>
      <c r="TIW3" t="s">
        <v>13955</v>
      </c>
      <c r="TIX3" t="s">
        <v>13956</v>
      </c>
      <c r="TIY3" t="s">
        <v>13957</v>
      </c>
      <c r="TIZ3" t="s">
        <v>13958</v>
      </c>
      <c r="TJA3" t="s">
        <v>13959</v>
      </c>
      <c r="TJB3" t="s">
        <v>13960</v>
      </c>
      <c r="TJC3" t="s">
        <v>13961</v>
      </c>
      <c r="TJD3" t="s">
        <v>13962</v>
      </c>
      <c r="TJE3" t="s">
        <v>13963</v>
      </c>
      <c r="TJF3" t="s">
        <v>13964</v>
      </c>
      <c r="TJG3" t="s">
        <v>13965</v>
      </c>
      <c r="TJH3" t="s">
        <v>13966</v>
      </c>
      <c r="TJI3" t="s">
        <v>13967</v>
      </c>
      <c r="TJJ3" t="s">
        <v>13968</v>
      </c>
      <c r="TJK3" t="s">
        <v>13969</v>
      </c>
      <c r="TJL3" t="s">
        <v>13970</v>
      </c>
      <c r="TJM3" t="s">
        <v>13971</v>
      </c>
      <c r="TJN3" t="s">
        <v>13972</v>
      </c>
      <c r="TJO3" t="s">
        <v>13973</v>
      </c>
      <c r="TJP3" t="s">
        <v>13974</v>
      </c>
      <c r="TJQ3" t="s">
        <v>13975</v>
      </c>
      <c r="TJR3" t="s">
        <v>13976</v>
      </c>
      <c r="TJS3" t="s">
        <v>13977</v>
      </c>
      <c r="TJT3" t="s">
        <v>13978</v>
      </c>
      <c r="TJU3" t="s">
        <v>13979</v>
      </c>
      <c r="TJV3" t="s">
        <v>13980</v>
      </c>
      <c r="TJW3" t="s">
        <v>13981</v>
      </c>
      <c r="TJX3" t="s">
        <v>13982</v>
      </c>
      <c r="TJY3" t="s">
        <v>13983</v>
      </c>
      <c r="TJZ3" t="s">
        <v>13984</v>
      </c>
      <c r="TKA3" t="s">
        <v>13985</v>
      </c>
      <c r="TKB3" t="s">
        <v>13986</v>
      </c>
      <c r="TKC3" t="s">
        <v>13987</v>
      </c>
      <c r="TKD3" t="s">
        <v>13988</v>
      </c>
      <c r="TKE3" t="s">
        <v>13989</v>
      </c>
      <c r="TKF3" t="s">
        <v>13990</v>
      </c>
      <c r="TKG3" t="s">
        <v>13991</v>
      </c>
      <c r="TKH3" t="s">
        <v>13992</v>
      </c>
      <c r="TKI3" t="s">
        <v>13993</v>
      </c>
      <c r="TKJ3" t="s">
        <v>13994</v>
      </c>
      <c r="TKK3" t="s">
        <v>13995</v>
      </c>
      <c r="TKL3" t="s">
        <v>13996</v>
      </c>
      <c r="TKM3" t="s">
        <v>13997</v>
      </c>
      <c r="TKN3" t="s">
        <v>13998</v>
      </c>
      <c r="TKO3" t="s">
        <v>13999</v>
      </c>
      <c r="TKP3" t="s">
        <v>14000</v>
      </c>
      <c r="TKQ3" t="s">
        <v>14001</v>
      </c>
      <c r="TKR3" t="s">
        <v>14002</v>
      </c>
      <c r="TKS3" t="s">
        <v>14003</v>
      </c>
      <c r="TKT3" t="s">
        <v>14004</v>
      </c>
      <c r="TKU3" t="s">
        <v>14005</v>
      </c>
      <c r="TKV3" t="s">
        <v>14006</v>
      </c>
      <c r="TKW3" t="s">
        <v>14007</v>
      </c>
      <c r="TKX3" t="s">
        <v>14008</v>
      </c>
      <c r="TKY3" t="s">
        <v>14009</v>
      </c>
      <c r="TKZ3" t="s">
        <v>14010</v>
      </c>
      <c r="TLA3" t="s">
        <v>14011</v>
      </c>
      <c r="TLB3" t="s">
        <v>14012</v>
      </c>
      <c r="TLC3" t="s">
        <v>14013</v>
      </c>
      <c r="TLD3" t="s">
        <v>14014</v>
      </c>
      <c r="TLE3" t="s">
        <v>14015</v>
      </c>
      <c r="TLF3" t="s">
        <v>14016</v>
      </c>
      <c r="TLG3" t="s">
        <v>14017</v>
      </c>
      <c r="TLH3" t="s">
        <v>14018</v>
      </c>
      <c r="TLI3" t="s">
        <v>14019</v>
      </c>
      <c r="TLJ3" t="s">
        <v>14020</v>
      </c>
      <c r="TLK3" t="s">
        <v>14021</v>
      </c>
      <c r="TLL3" t="s">
        <v>14022</v>
      </c>
      <c r="TLM3" t="s">
        <v>14023</v>
      </c>
      <c r="TLN3" t="s">
        <v>14024</v>
      </c>
      <c r="TLO3" t="s">
        <v>14025</v>
      </c>
      <c r="TLP3" t="s">
        <v>14026</v>
      </c>
      <c r="TLQ3" t="s">
        <v>14027</v>
      </c>
      <c r="TLR3" t="s">
        <v>14028</v>
      </c>
      <c r="TLS3" t="s">
        <v>14029</v>
      </c>
      <c r="TLT3" t="s">
        <v>14030</v>
      </c>
      <c r="TLU3" t="s">
        <v>14031</v>
      </c>
      <c r="TLV3" t="s">
        <v>14032</v>
      </c>
      <c r="TLW3" t="s">
        <v>14033</v>
      </c>
      <c r="TLX3" t="s">
        <v>14034</v>
      </c>
      <c r="TLY3" t="s">
        <v>14035</v>
      </c>
      <c r="TLZ3" t="s">
        <v>14036</v>
      </c>
      <c r="TMA3" t="s">
        <v>14037</v>
      </c>
      <c r="TMB3" t="s">
        <v>14038</v>
      </c>
      <c r="TMC3" t="s">
        <v>14039</v>
      </c>
      <c r="TMD3" t="s">
        <v>14040</v>
      </c>
      <c r="TME3" t="s">
        <v>14041</v>
      </c>
      <c r="TMF3" t="s">
        <v>14042</v>
      </c>
      <c r="TMG3" t="s">
        <v>14043</v>
      </c>
      <c r="TMH3" t="s">
        <v>14044</v>
      </c>
      <c r="TMI3" t="s">
        <v>14045</v>
      </c>
      <c r="TMJ3" t="s">
        <v>14046</v>
      </c>
      <c r="TMK3" t="s">
        <v>14047</v>
      </c>
      <c r="TML3" t="s">
        <v>14048</v>
      </c>
      <c r="TMM3" t="s">
        <v>14049</v>
      </c>
      <c r="TMN3" t="s">
        <v>14050</v>
      </c>
      <c r="TMO3" t="s">
        <v>14051</v>
      </c>
      <c r="TMP3" t="s">
        <v>14052</v>
      </c>
      <c r="TMQ3" t="s">
        <v>14053</v>
      </c>
      <c r="TMR3" t="s">
        <v>14054</v>
      </c>
      <c r="TMS3" t="s">
        <v>14055</v>
      </c>
      <c r="TMT3" t="s">
        <v>14056</v>
      </c>
      <c r="TMU3" t="s">
        <v>14057</v>
      </c>
      <c r="TMV3" t="s">
        <v>14058</v>
      </c>
      <c r="TMW3" t="s">
        <v>14059</v>
      </c>
      <c r="TMX3" t="s">
        <v>14060</v>
      </c>
      <c r="TMY3" t="s">
        <v>14061</v>
      </c>
      <c r="TMZ3" t="s">
        <v>14062</v>
      </c>
      <c r="TNA3" t="s">
        <v>14063</v>
      </c>
      <c r="TNB3" t="s">
        <v>14064</v>
      </c>
      <c r="TNC3" t="s">
        <v>14065</v>
      </c>
      <c r="TND3" t="s">
        <v>14066</v>
      </c>
      <c r="TNE3" t="s">
        <v>14067</v>
      </c>
      <c r="TNF3" t="s">
        <v>14068</v>
      </c>
      <c r="TNG3" t="s">
        <v>14069</v>
      </c>
      <c r="TNH3" t="s">
        <v>14070</v>
      </c>
      <c r="TNI3" t="s">
        <v>14071</v>
      </c>
      <c r="TNJ3" t="s">
        <v>14072</v>
      </c>
      <c r="TNK3" t="s">
        <v>14073</v>
      </c>
      <c r="TNL3" t="s">
        <v>14074</v>
      </c>
      <c r="TNM3" t="s">
        <v>14075</v>
      </c>
      <c r="TNN3" t="s">
        <v>14076</v>
      </c>
      <c r="TNO3" t="s">
        <v>14077</v>
      </c>
      <c r="TNP3" t="s">
        <v>14078</v>
      </c>
      <c r="TNQ3" t="s">
        <v>14079</v>
      </c>
      <c r="TNR3" t="s">
        <v>14080</v>
      </c>
      <c r="TNS3" t="s">
        <v>14081</v>
      </c>
      <c r="TNT3" t="s">
        <v>14082</v>
      </c>
      <c r="TNU3" t="s">
        <v>14083</v>
      </c>
      <c r="TNV3" t="s">
        <v>14084</v>
      </c>
      <c r="TNW3" t="s">
        <v>14085</v>
      </c>
      <c r="TNX3" t="s">
        <v>14086</v>
      </c>
      <c r="TNY3" t="s">
        <v>14087</v>
      </c>
      <c r="TNZ3" t="s">
        <v>14088</v>
      </c>
      <c r="TOA3" t="s">
        <v>14089</v>
      </c>
      <c r="TOB3" t="s">
        <v>14090</v>
      </c>
      <c r="TOC3" t="s">
        <v>14091</v>
      </c>
      <c r="TOD3" t="s">
        <v>14092</v>
      </c>
      <c r="TOE3" t="s">
        <v>14093</v>
      </c>
      <c r="TOF3" t="s">
        <v>14094</v>
      </c>
      <c r="TOG3" t="s">
        <v>14095</v>
      </c>
      <c r="TOH3" t="s">
        <v>14096</v>
      </c>
      <c r="TOI3" t="s">
        <v>14097</v>
      </c>
      <c r="TOJ3" t="s">
        <v>14098</v>
      </c>
      <c r="TOK3" t="s">
        <v>14099</v>
      </c>
      <c r="TOL3" t="s">
        <v>14100</v>
      </c>
      <c r="TOM3" t="s">
        <v>14101</v>
      </c>
      <c r="TON3" t="s">
        <v>14102</v>
      </c>
      <c r="TOO3" t="s">
        <v>14103</v>
      </c>
      <c r="TOP3" t="s">
        <v>14104</v>
      </c>
      <c r="TOQ3" t="s">
        <v>14105</v>
      </c>
      <c r="TOR3" t="s">
        <v>14106</v>
      </c>
      <c r="TOS3" t="s">
        <v>14107</v>
      </c>
      <c r="TOT3" t="s">
        <v>14108</v>
      </c>
      <c r="TOU3" t="s">
        <v>14109</v>
      </c>
      <c r="TOV3" t="s">
        <v>14110</v>
      </c>
      <c r="TOW3" t="s">
        <v>14111</v>
      </c>
      <c r="TOX3" t="s">
        <v>14112</v>
      </c>
      <c r="TOY3" t="s">
        <v>14113</v>
      </c>
      <c r="TOZ3" t="s">
        <v>14114</v>
      </c>
      <c r="TPA3" t="s">
        <v>14115</v>
      </c>
      <c r="TPB3" t="s">
        <v>14116</v>
      </c>
      <c r="TPC3" t="s">
        <v>14117</v>
      </c>
      <c r="TPD3" t="s">
        <v>14118</v>
      </c>
      <c r="TPE3" t="s">
        <v>14119</v>
      </c>
      <c r="TPF3" t="s">
        <v>14120</v>
      </c>
      <c r="TPG3" t="s">
        <v>14121</v>
      </c>
      <c r="TPH3" t="s">
        <v>14122</v>
      </c>
      <c r="TPI3" t="s">
        <v>14123</v>
      </c>
      <c r="TPJ3" t="s">
        <v>14124</v>
      </c>
      <c r="TPK3" t="s">
        <v>14125</v>
      </c>
      <c r="TPL3" t="s">
        <v>14126</v>
      </c>
      <c r="TPM3" t="s">
        <v>14127</v>
      </c>
      <c r="TPN3" t="s">
        <v>14128</v>
      </c>
      <c r="TPO3" t="s">
        <v>14129</v>
      </c>
      <c r="TPP3" t="s">
        <v>14130</v>
      </c>
      <c r="TPQ3" t="s">
        <v>14131</v>
      </c>
      <c r="TPR3" t="s">
        <v>14132</v>
      </c>
      <c r="TPS3" t="s">
        <v>14133</v>
      </c>
      <c r="TPT3" t="s">
        <v>14134</v>
      </c>
      <c r="TPU3" t="s">
        <v>14135</v>
      </c>
      <c r="TPV3" t="s">
        <v>14136</v>
      </c>
      <c r="TPW3" t="s">
        <v>14137</v>
      </c>
      <c r="TPX3" t="s">
        <v>14138</v>
      </c>
      <c r="TPY3" t="s">
        <v>14139</v>
      </c>
      <c r="TPZ3" t="s">
        <v>14140</v>
      </c>
      <c r="TQA3" t="s">
        <v>14141</v>
      </c>
      <c r="TQB3" t="s">
        <v>14142</v>
      </c>
      <c r="TQC3" t="s">
        <v>14143</v>
      </c>
      <c r="TQD3" t="s">
        <v>14144</v>
      </c>
      <c r="TQE3" t="s">
        <v>14145</v>
      </c>
      <c r="TQF3" t="s">
        <v>14146</v>
      </c>
      <c r="TQG3" t="s">
        <v>14147</v>
      </c>
      <c r="TQH3" t="s">
        <v>14148</v>
      </c>
      <c r="TQI3" t="s">
        <v>14149</v>
      </c>
      <c r="TQJ3" t="s">
        <v>14150</v>
      </c>
      <c r="TQK3" t="s">
        <v>14151</v>
      </c>
      <c r="TQL3" t="s">
        <v>14152</v>
      </c>
      <c r="TQM3" t="s">
        <v>14153</v>
      </c>
      <c r="TQN3" t="s">
        <v>14154</v>
      </c>
      <c r="TQO3" t="s">
        <v>14155</v>
      </c>
      <c r="TQP3" t="s">
        <v>14156</v>
      </c>
      <c r="TQQ3" t="s">
        <v>14157</v>
      </c>
      <c r="TQR3" t="s">
        <v>14158</v>
      </c>
      <c r="TQS3" t="s">
        <v>14159</v>
      </c>
      <c r="TQT3" t="s">
        <v>14160</v>
      </c>
      <c r="TQU3" t="s">
        <v>14161</v>
      </c>
      <c r="TQV3" t="s">
        <v>14162</v>
      </c>
      <c r="TQW3" t="s">
        <v>14163</v>
      </c>
      <c r="TQX3" t="s">
        <v>14164</v>
      </c>
      <c r="TQY3" t="s">
        <v>14165</v>
      </c>
      <c r="TQZ3" t="s">
        <v>14166</v>
      </c>
      <c r="TRA3" t="s">
        <v>14167</v>
      </c>
      <c r="TRB3" t="s">
        <v>14168</v>
      </c>
      <c r="TRC3" t="s">
        <v>14169</v>
      </c>
      <c r="TRD3" t="s">
        <v>14170</v>
      </c>
      <c r="TRE3" t="s">
        <v>14171</v>
      </c>
      <c r="TRF3" t="s">
        <v>14172</v>
      </c>
      <c r="TRG3" t="s">
        <v>14173</v>
      </c>
      <c r="TRH3" t="s">
        <v>14174</v>
      </c>
      <c r="TRI3" t="s">
        <v>14175</v>
      </c>
      <c r="TRJ3" t="s">
        <v>14176</v>
      </c>
      <c r="TRK3" t="s">
        <v>14177</v>
      </c>
      <c r="TRL3" t="s">
        <v>14178</v>
      </c>
      <c r="TRM3" t="s">
        <v>14179</v>
      </c>
      <c r="TRN3" t="s">
        <v>14180</v>
      </c>
      <c r="TRO3" t="s">
        <v>14181</v>
      </c>
      <c r="TRP3" t="s">
        <v>14182</v>
      </c>
      <c r="TRQ3" t="s">
        <v>14183</v>
      </c>
      <c r="TRR3" t="s">
        <v>14184</v>
      </c>
      <c r="TRS3" t="s">
        <v>14185</v>
      </c>
      <c r="TRT3" t="s">
        <v>14186</v>
      </c>
      <c r="TRU3" t="s">
        <v>14187</v>
      </c>
      <c r="TRV3" t="s">
        <v>14188</v>
      </c>
      <c r="TRW3" t="s">
        <v>14189</v>
      </c>
      <c r="TRX3" t="s">
        <v>14190</v>
      </c>
      <c r="TRY3" t="s">
        <v>14191</v>
      </c>
      <c r="TRZ3" t="s">
        <v>14192</v>
      </c>
      <c r="TSA3" t="s">
        <v>14193</v>
      </c>
      <c r="TSB3" t="s">
        <v>14194</v>
      </c>
      <c r="TSC3" t="s">
        <v>14195</v>
      </c>
      <c r="TSD3" t="s">
        <v>14196</v>
      </c>
      <c r="TSE3" t="s">
        <v>14197</v>
      </c>
      <c r="TSF3" t="s">
        <v>14198</v>
      </c>
      <c r="TSG3" t="s">
        <v>14199</v>
      </c>
      <c r="TSH3" t="s">
        <v>14200</v>
      </c>
      <c r="TSI3" t="s">
        <v>14201</v>
      </c>
      <c r="TSJ3" t="s">
        <v>14202</v>
      </c>
      <c r="TSK3" t="s">
        <v>14203</v>
      </c>
      <c r="TSL3" t="s">
        <v>14204</v>
      </c>
      <c r="TSM3" t="s">
        <v>14205</v>
      </c>
      <c r="TSN3" t="s">
        <v>14206</v>
      </c>
      <c r="TSO3" t="s">
        <v>14207</v>
      </c>
      <c r="TSP3" t="s">
        <v>14208</v>
      </c>
      <c r="TSQ3" t="s">
        <v>14209</v>
      </c>
      <c r="TSR3" t="s">
        <v>14210</v>
      </c>
      <c r="TSS3" t="s">
        <v>14211</v>
      </c>
      <c r="TST3" t="s">
        <v>14212</v>
      </c>
      <c r="TSU3" t="s">
        <v>14213</v>
      </c>
      <c r="TSV3" t="s">
        <v>14214</v>
      </c>
      <c r="TSW3" t="s">
        <v>14215</v>
      </c>
      <c r="TSX3" t="s">
        <v>14216</v>
      </c>
      <c r="TSY3" t="s">
        <v>14217</v>
      </c>
      <c r="TSZ3" t="s">
        <v>14218</v>
      </c>
      <c r="TTA3" t="s">
        <v>14219</v>
      </c>
      <c r="TTB3" t="s">
        <v>14220</v>
      </c>
      <c r="TTC3" t="s">
        <v>14221</v>
      </c>
      <c r="TTD3" t="s">
        <v>14222</v>
      </c>
      <c r="TTE3" t="s">
        <v>14223</v>
      </c>
      <c r="TTF3" t="s">
        <v>14224</v>
      </c>
      <c r="TTG3" t="s">
        <v>14225</v>
      </c>
      <c r="TTH3" t="s">
        <v>14226</v>
      </c>
      <c r="TTI3" t="s">
        <v>14227</v>
      </c>
      <c r="TTJ3" t="s">
        <v>14228</v>
      </c>
      <c r="TTK3" t="s">
        <v>14229</v>
      </c>
      <c r="TTL3" t="s">
        <v>14230</v>
      </c>
      <c r="TTM3" t="s">
        <v>14231</v>
      </c>
      <c r="TTN3" t="s">
        <v>14232</v>
      </c>
      <c r="TTO3" t="s">
        <v>14233</v>
      </c>
      <c r="TTP3" t="s">
        <v>14234</v>
      </c>
      <c r="TTQ3" t="s">
        <v>14235</v>
      </c>
      <c r="TTR3" t="s">
        <v>14236</v>
      </c>
      <c r="TTS3" t="s">
        <v>14237</v>
      </c>
      <c r="TTT3" t="s">
        <v>14238</v>
      </c>
      <c r="TTU3" t="s">
        <v>14239</v>
      </c>
      <c r="TTV3" t="s">
        <v>14240</v>
      </c>
      <c r="TTW3" t="s">
        <v>14241</v>
      </c>
      <c r="TTX3" t="s">
        <v>14242</v>
      </c>
      <c r="TTY3" t="s">
        <v>14243</v>
      </c>
      <c r="TTZ3" t="s">
        <v>14244</v>
      </c>
      <c r="TUA3" t="s">
        <v>14245</v>
      </c>
      <c r="TUB3" t="s">
        <v>14246</v>
      </c>
      <c r="TUC3" t="s">
        <v>14247</v>
      </c>
      <c r="TUD3" t="s">
        <v>14248</v>
      </c>
      <c r="TUE3" t="s">
        <v>14249</v>
      </c>
      <c r="TUF3" t="s">
        <v>14250</v>
      </c>
      <c r="TUG3" t="s">
        <v>14251</v>
      </c>
      <c r="TUH3" t="s">
        <v>14252</v>
      </c>
      <c r="TUI3" t="s">
        <v>14253</v>
      </c>
      <c r="TUJ3" t="s">
        <v>14254</v>
      </c>
      <c r="TUK3" t="s">
        <v>14255</v>
      </c>
      <c r="TUL3" t="s">
        <v>14256</v>
      </c>
      <c r="TUM3" t="s">
        <v>14257</v>
      </c>
      <c r="TUN3" t="s">
        <v>14258</v>
      </c>
      <c r="TUO3" t="s">
        <v>14259</v>
      </c>
      <c r="TUP3" t="s">
        <v>14260</v>
      </c>
      <c r="TUQ3" t="s">
        <v>14261</v>
      </c>
      <c r="TUR3" t="s">
        <v>14262</v>
      </c>
      <c r="TUS3" t="s">
        <v>14263</v>
      </c>
      <c r="TUT3" t="s">
        <v>14264</v>
      </c>
      <c r="TUU3" t="s">
        <v>14265</v>
      </c>
      <c r="TUV3" t="s">
        <v>14266</v>
      </c>
      <c r="TUW3" t="s">
        <v>14267</v>
      </c>
      <c r="TUX3" t="s">
        <v>14268</v>
      </c>
      <c r="TUY3" t="s">
        <v>14269</v>
      </c>
      <c r="TUZ3" t="s">
        <v>14270</v>
      </c>
      <c r="TVA3" t="s">
        <v>14271</v>
      </c>
      <c r="TVB3" t="s">
        <v>14272</v>
      </c>
      <c r="TVC3" t="s">
        <v>14273</v>
      </c>
      <c r="TVD3" t="s">
        <v>14274</v>
      </c>
      <c r="TVE3" t="s">
        <v>14275</v>
      </c>
      <c r="TVF3" t="s">
        <v>14276</v>
      </c>
      <c r="TVG3" t="s">
        <v>14277</v>
      </c>
      <c r="TVH3" t="s">
        <v>14278</v>
      </c>
      <c r="TVI3" t="s">
        <v>14279</v>
      </c>
      <c r="TVJ3" t="s">
        <v>14280</v>
      </c>
      <c r="TVK3" t="s">
        <v>14281</v>
      </c>
      <c r="TVL3" t="s">
        <v>14282</v>
      </c>
      <c r="TVM3" t="s">
        <v>14283</v>
      </c>
      <c r="TVN3" t="s">
        <v>14284</v>
      </c>
      <c r="TVO3" t="s">
        <v>14285</v>
      </c>
      <c r="TVP3" t="s">
        <v>14286</v>
      </c>
      <c r="TVQ3" t="s">
        <v>14287</v>
      </c>
      <c r="TVR3" t="s">
        <v>14288</v>
      </c>
      <c r="TVS3" t="s">
        <v>14289</v>
      </c>
      <c r="TVT3" t="s">
        <v>14290</v>
      </c>
      <c r="TVU3" t="s">
        <v>14291</v>
      </c>
      <c r="TVV3" t="s">
        <v>14292</v>
      </c>
      <c r="TVW3" t="s">
        <v>14293</v>
      </c>
      <c r="TVX3" t="s">
        <v>14294</v>
      </c>
      <c r="TVY3" t="s">
        <v>14295</v>
      </c>
      <c r="TVZ3" t="s">
        <v>14296</v>
      </c>
      <c r="TWA3" t="s">
        <v>14297</v>
      </c>
      <c r="TWB3" t="s">
        <v>14298</v>
      </c>
      <c r="TWC3" t="s">
        <v>14299</v>
      </c>
      <c r="TWD3" t="s">
        <v>14300</v>
      </c>
      <c r="TWE3" t="s">
        <v>14301</v>
      </c>
      <c r="TWF3" t="s">
        <v>14302</v>
      </c>
      <c r="TWG3" t="s">
        <v>14303</v>
      </c>
      <c r="TWH3" t="s">
        <v>14304</v>
      </c>
      <c r="TWI3" t="s">
        <v>14305</v>
      </c>
      <c r="TWJ3" t="s">
        <v>14306</v>
      </c>
      <c r="TWK3" t="s">
        <v>14307</v>
      </c>
      <c r="TWL3" t="s">
        <v>14308</v>
      </c>
      <c r="TWM3" t="s">
        <v>14309</v>
      </c>
      <c r="TWN3" t="s">
        <v>14310</v>
      </c>
      <c r="TWO3" t="s">
        <v>14311</v>
      </c>
      <c r="TWP3" t="s">
        <v>14312</v>
      </c>
      <c r="TWQ3" t="s">
        <v>14313</v>
      </c>
      <c r="TWR3" t="s">
        <v>14314</v>
      </c>
      <c r="TWS3" t="s">
        <v>14315</v>
      </c>
      <c r="TWT3" t="s">
        <v>14316</v>
      </c>
      <c r="TWU3" t="s">
        <v>14317</v>
      </c>
      <c r="TWV3" t="s">
        <v>14318</v>
      </c>
      <c r="TWW3" t="s">
        <v>14319</v>
      </c>
      <c r="TWX3" t="s">
        <v>14320</v>
      </c>
      <c r="TWY3" t="s">
        <v>14321</v>
      </c>
      <c r="TWZ3" t="s">
        <v>14322</v>
      </c>
      <c r="TXA3" t="s">
        <v>14323</v>
      </c>
      <c r="TXB3" t="s">
        <v>14324</v>
      </c>
      <c r="TXC3" t="s">
        <v>14325</v>
      </c>
      <c r="TXD3" t="s">
        <v>14326</v>
      </c>
      <c r="TXE3" t="s">
        <v>14327</v>
      </c>
      <c r="TXF3" t="s">
        <v>14328</v>
      </c>
      <c r="TXG3" t="s">
        <v>14329</v>
      </c>
      <c r="TXH3" t="s">
        <v>14330</v>
      </c>
      <c r="TXI3" t="s">
        <v>14331</v>
      </c>
      <c r="TXJ3" t="s">
        <v>14332</v>
      </c>
      <c r="TXK3" t="s">
        <v>14333</v>
      </c>
      <c r="TXL3" t="s">
        <v>14334</v>
      </c>
      <c r="TXM3" t="s">
        <v>14335</v>
      </c>
      <c r="TXN3" t="s">
        <v>14336</v>
      </c>
      <c r="TXO3" t="s">
        <v>14337</v>
      </c>
      <c r="TXP3" t="s">
        <v>14338</v>
      </c>
      <c r="TXQ3" t="s">
        <v>14339</v>
      </c>
      <c r="TXR3" t="s">
        <v>14340</v>
      </c>
      <c r="TXS3" t="s">
        <v>14341</v>
      </c>
      <c r="TXT3" t="s">
        <v>14342</v>
      </c>
      <c r="TXU3" t="s">
        <v>14343</v>
      </c>
      <c r="TXV3" t="s">
        <v>14344</v>
      </c>
      <c r="TXW3" t="s">
        <v>14345</v>
      </c>
      <c r="TXX3" t="s">
        <v>14346</v>
      </c>
      <c r="TXY3" t="s">
        <v>14347</v>
      </c>
      <c r="TXZ3" t="s">
        <v>14348</v>
      </c>
      <c r="TYA3" t="s">
        <v>14349</v>
      </c>
      <c r="TYB3" t="s">
        <v>14350</v>
      </c>
      <c r="TYC3" t="s">
        <v>14351</v>
      </c>
      <c r="TYD3" t="s">
        <v>14352</v>
      </c>
      <c r="TYE3" t="s">
        <v>14353</v>
      </c>
      <c r="TYF3" t="s">
        <v>14354</v>
      </c>
      <c r="TYG3" t="s">
        <v>14355</v>
      </c>
      <c r="TYH3" t="s">
        <v>14356</v>
      </c>
      <c r="TYI3" t="s">
        <v>14357</v>
      </c>
      <c r="TYJ3" t="s">
        <v>14358</v>
      </c>
      <c r="TYK3" t="s">
        <v>14359</v>
      </c>
      <c r="TYL3" t="s">
        <v>14360</v>
      </c>
      <c r="TYM3" t="s">
        <v>14361</v>
      </c>
      <c r="TYN3" t="s">
        <v>14362</v>
      </c>
      <c r="TYO3" t="s">
        <v>14363</v>
      </c>
      <c r="TYP3" t="s">
        <v>14364</v>
      </c>
      <c r="TYQ3" t="s">
        <v>14365</v>
      </c>
      <c r="TYR3" t="s">
        <v>14366</v>
      </c>
      <c r="TYS3" t="s">
        <v>14367</v>
      </c>
      <c r="TYT3" t="s">
        <v>14368</v>
      </c>
      <c r="TYU3" t="s">
        <v>14369</v>
      </c>
      <c r="TYV3" t="s">
        <v>14370</v>
      </c>
      <c r="TYW3" t="s">
        <v>14371</v>
      </c>
      <c r="TYX3" t="s">
        <v>14372</v>
      </c>
      <c r="TYY3" t="s">
        <v>14373</v>
      </c>
      <c r="TYZ3" t="s">
        <v>14374</v>
      </c>
      <c r="TZA3" t="s">
        <v>14375</v>
      </c>
      <c r="TZB3" t="s">
        <v>14376</v>
      </c>
      <c r="TZC3" t="s">
        <v>14377</v>
      </c>
      <c r="TZD3" t="s">
        <v>14378</v>
      </c>
      <c r="TZE3" t="s">
        <v>14379</v>
      </c>
      <c r="TZF3" t="s">
        <v>14380</v>
      </c>
      <c r="TZG3" t="s">
        <v>14381</v>
      </c>
      <c r="TZH3" t="s">
        <v>14382</v>
      </c>
      <c r="TZI3" t="s">
        <v>14383</v>
      </c>
      <c r="TZJ3" t="s">
        <v>14384</v>
      </c>
      <c r="TZK3" t="s">
        <v>14385</v>
      </c>
      <c r="TZL3" t="s">
        <v>14386</v>
      </c>
      <c r="TZM3" t="s">
        <v>14387</v>
      </c>
      <c r="TZN3" t="s">
        <v>14388</v>
      </c>
      <c r="TZO3" t="s">
        <v>14389</v>
      </c>
      <c r="TZP3" t="s">
        <v>14390</v>
      </c>
      <c r="TZQ3" t="s">
        <v>14391</v>
      </c>
      <c r="TZR3" t="s">
        <v>14392</v>
      </c>
      <c r="TZS3" t="s">
        <v>14393</v>
      </c>
      <c r="TZT3" t="s">
        <v>14394</v>
      </c>
      <c r="TZU3" t="s">
        <v>14395</v>
      </c>
      <c r="TZV3" t="s">
        <v>14396</v>
      </c>
      <c r="TZW3" t="s">
        <v>14397</v>
      </c>
      <c r="TZX3" t="s">
        <v>14398</v>
      </c>
      <c r="TZY3" t="s">
        <v>14399</v>
      </c>
      <c r="TZZ3" t="s">
        <v>14400</v>
      </c>
      <c r="UAA3" t="s">
        <v>14401</v>
      </c>
      <c r="UAB3" t="s">
        <v>14402</v>
      </c>
      <c r="UAC3" t="s">
        <v>14403</v>
      </c>
      <c r="UAD3" t="s">
        <v>14404</v>
      </c>
      <c r="UAE3" t="s">
        <v>14405</v>
      </c>
      <c r="UAF3" t="s">
        <v>14406</v>
      </c>
      <c r="UAG3" t="s">
        <v>14407</v>
      </c>
      <c r="UAH3" t="s">
        <v>14408</v>
      </c>
      <c r="UAI3" t="s">
        <v>14409</v>
      </c>
      <c r="UAJ3" t="s">
        <v>14410</v>
      </c>
      <c r="UAK3" t="s">
        <v>14411</v>
      </c>
      <c r="UAL3" t="s">
        <v>14412</v>
      </c>
      <c r="UAM3" t="s">
        <v>14413</v>
      </c>
      <c r="UAN3" t="s">
        <v>14414</v>
      </c>
      <c r="UAO3" t="s">
        <v>14415</v>
      </c>
      <c r="UAP3" t="s">
        <v>14416</v>
      </c>
      <c r="UAQ3" t="s">
        <v>14417</v>
      </c>
      <c r="UAR3" t="s">
        <v>14418</v>
      </c>
      <c r="UAS3" t="s">
        <v>14419</v>
      </c>
      <c r="UAT3" t="s">
        <v>14420</v>
      </c>
      <c r="UAU3" t="s">
        <v>14421</v>
      </c>
      <c r="UAV3" t="s">
        <v>14422</v>
      </c>
      <c r="UAW3" t="s">
        <v>14423</v>
      </c>
      <c r="UAX3" t="s">
        <v>14424</v>
      </c>
      <c r="UAY3" t="s">
        <v>14425</v>
      </c>
      <c r="UAZ3" t="s">
        <v>14426</v>
      </c>
      <c r="UBA3" t="s">
        <v>14427</v>
      </c>
      <c r="UBB3" t="s">
        <v>14428</v>
      </c>
      <c r="UBC3" t="s">
        <v>14429</v>
      </c>
      <c r="UBD3" t="s">
        <v>14430</v>
      </c>
      <c r="UBE3" t="s">
        <v>14431</v>
      </c>
      <c r="UBF3" t="s">
        <v>14432</v>
      </c>
      <c r="UBG3" t="s">
        <v>14433</v>
      </c>
      <c r="UBH3" t="s">
        <v>14434</v>
      </c>
      <c r="UBI3" t="s">
        <v>14435</v>
      </c>
      <c r="UBJ3" t="s">
        <v>14436</v>
      </c>
      <c r="UBK3" t="s">
        <v>14437</v>
      </c>
      <c r="UBL3" t="s">
        <v>14438</v>
      </c>
      <c r="UBM3" t="s">
        <v>14439</v>
      </c>
      <c r="UBN3" t="s">
        <v>14440</v>
      </c>
      <c r="UBO3" t="s">
        <v>14441</v>
      </c>
      <c r="UBP3" t="s">
        <v>14442</v>
      </c>
      <c r="UBQ3" t="s">
        <v>14443</v>
      </c>
      <c r="UBR3" t="s">
        <v>14444</v>
      </c>
      <c r="UBS3" t="s">
        <v>14445</v>
      </c>
      <c r="UBT3" t="s">
        <v>14446</v>
      </c>
      <c r="UBU3" t="s">
        <v>14447</v>
      </c>
      <c r="UBV3" t="s">
        <v>14448</v>
      </c>
      <c r="UBW3" t="s">
        <v>14449</v>
      </c>
      <c r="UBX3" t="s">
        <v>14450</v>
      </c>
      <c r="UBY3" t="s">
        <v>14451</v>
      </c>
      <c r="UBZ3" t="s">
        <v>14452</v>
      </c>
      <c r="UCA3" t="s">
        <v>14453</v>
      </c>
      <c r="UCB3" t="s">
        <v>14454</v>
      </c>
      <c r="UCC3" t="s">
        <v>14455</v>
      </c>
      <c r="UCD3" t="s">
        <v>14456</v>
      </c>
      <c r="UCE3" t="s">
        <v>14457</v>
      </c>
      <c r="UCF3" t="s">
        <v>14458</v>
      </c>
      <c r="UCG3" t="s">
        <v>14459</v>
      </c>
      <c r="UCH3" t="s">
        <v>14460</v>
      </c>
      <c r="UCI3" t="s">
        <v>14461</v>
      </c>
      <c r="UCJ3" t="s">
        <v>14462</v>
      </c>
      <c r="UCK3" t="s">
        <v>14463</v>
      </c>
      <c r="UCL3" t="s">
        <v>14464</v>
      </c>
      <c r="UCM3" t="s">
        <v>14465</v>
      </c>
      <c r="UCN3" t="s">
        <v>14466</v>
      </c>
      <c r="UCO3" t="s">
        <v>14467</v>
      </c>
      <c r="UCP3" t="s">
        <v>14468</v>
      </c>
      <c r="UCQ3" t="s">
        <v>14469</v>
      </c>
      <c r="UCR3" t="s">
        <v>14470</v>
      </c>
      <c r="UCS3" t="s">
        <v>14471</v>
      </c>
      <c r="UCT3" t="s">
        <v>14472</v>
      </c>
      <c r="UCU3" t="s">
        <v>14473</v>
      </c>
      <c r="UCV3" t="s">
        <v>14474</v>
      </c>
      <c r="UCW3" t="s">
        <v>14475</v>
      </c>
      <c r="UCX3" t="s">
        <v>14476</v>
      </c>
      <c r="UCY3" t="s">
        <v>14477</v>
      </c>
      <c r="UCZ3" t="s">
        <v>14478</v>
      </c>
      <c r="UDA3" t="s">
        <v>14479</v>
      </c>
      <c r="UDB3" t="s">
        <v>14480</v>
      </c>
      <c r="UDC3" t="s">
        <v>14481</v>
      </c>
      <c r="UDD3" t="s">
        <v>14482</v>
      </c>
      <c r="UDE3" t="s">
        <v>14483</v>
      </c>
      <c r="UDF3" t="s">
        <v>14484</v>
      </c>
      <c r="UDG3" t="s">
        <v>14485</v>
      </c>
      <c r="UDH3" t="s">
        <v>14486</v>
      </c>
      <c r="UDI3" t="s">
        <v>14487</v>
      </c>
      <c r="UDJ3" t="s">
        <v>14488</v>
      </c>
      <c r="UDK3" t="s">
        <v>14489</v>
      </c>
      <c r="UDL3" t="s">
        <v>14490</v>
      </c>
      <c r="UDM3" t="s">
        <v>14491</v>
      </c>
      <c r="UDN3" t="s">
        <v>14492</v>
      </c>
      <c r="UDO3" t="s">
        <v>14493</v>
      </c>
      <c r="UDP3" t="s">
        <v>14494</v>
      </c>
      <c r="UDQ3" t="s">
        <v>14495</v>
      </c>
      <c r="UDR3" t="s">
        <v>14496</v>
      </c>
      <c r="UDS3" t="s">
        <v>14497</v>
      </c>
      <c r="UDT3" t="s">
        <v>14498</v>
      </c>
      <c r="UDU3" t="s">
        <v>14499</v>
      </c>
      <c r="UDV3" t="s">
        <v>14500</v>
      </c>
      <c r="UDW3" t="s">
        <v>14501</v>
      </c>
      <c r="UDX3" t="s">
        <v>14502</v>
      </c>
      <c r="UDY3" t="s">
        <v>14503</v>
      </c>
      <c r="UDZ3" t="s">
        <v>14504</v>
      </c>
      <c r="UEA3" t="s">
        <v>14505</v>
      </c>
      <c r="UEB3" t="s">
        <v>14506</v>
      </c>
      <c r="UEC3" t="s">
        <v>14507</v>
      </c>
      <c r="UED3" t="s">
        <v>14508</v>
      </c>
      <c r="UEE3" t="s">
        <v>14509</v>
      </c>
      <c r="UEF3" t="s">
        <v>14510</v>
      </c>
      <c r="UEG3" t="s">
        <v>14511</v>
      </c>
      <c r="UEH3" t="s">
        <v>14512</v>
      </c>
      <c r="UEI3" t="s">
        <v>14513</v>
      </c>
      <c r="UEJ3" t="s">
        <v>14514</v>
      </c>
      <c r="UEK3" t="s">
        <v>14515</v>
      </c>
      <c r="UEL3" t="s">
        <v>14516</v>
      </c>
      <c r="UEM3" t="s">
        <v>14517</v>
      </c>
      <c r="UEN3" t="s">
        <v>14518</v>
      </c>
      <c r="UEO3" t="s">
        <v>14519</v>
      </c>
      <c r="UEP3" t="s">
        <v>14520</v>
      </c>
      <c r="UEQ3" t="s">
        <v>14521</v>
      </c>
      <c r="UER3" t="s">
        <v>14522</v>
      </c>
      <c r="UES3" t="s">
        <v>14523</v>
      </c>
      <c r="UET3" t="s">
        <v>14524</v>
      </c>
      <c r="UEU3" t="s">
        <v>14525</v>
      </c>
      <c r="UEV3" t="s">
        <v>14526</v>
      </c>
      <c r="UEW3" t="s">
        <v>14527</v>
      </c>
      <c r="UEX3" t="s">
        <v>14528</v>
      </c>
      <c r="UEY3" t="s">
        <v>14529</v>
      </c>
      <c r="UEZ3" t="s">
        <v>14530</v>
      </c>
      <c r="UFA3" t="s">
        <v>14531</v>
      </c>
      <c r="UFB3" t="s">
        <v>14532</v>
      </c>
      <c r="UFC3" t="s">
        <v>14533</v>
      </c>
      <c r="UFD3" t="s">
        <v>14534</v>
      </c>
      <c r="UFE3" t="s">
        <v>14535</v>
      </c>
      <c r="UFF3" t="s">
        <v>14536</v>
      </c>
      <c r="UFG3" t="s">
        <v>14537</v>
      </c>
      <c r="UFH3" t="s">
        <v>14538</v>
      </c>
      <c r="UFI3" t="s">
        <v>14539</v>
      </c>
      <c r="UFJ3" t="s">
        <v>14540</v>
      </c>
      <c r="UFK3" t="s">
        <v>14541</v>
      </c>
      <c r="UFL3" t="s">
        <v>14542</v>
      </c>
      <c r="UFM3" t="s">
        <v>14543</v>
      </c>
      <c r="UFN3" t="s">
        <v>14544</v>
      </c>
      <c r="UFO3" t="s">
        <v>14545</v>
      </c>
      <c r="UFP3" t="s">
        <v>14546</v>
      </c>
      <c r="UFQ3" t="s">
        <v>14547</v>
      </c>
      <c r="UFR3" t="s">
        <v>14548</v>
      </c>
      <c r="UFS3" t="s">
        <v>14549</v>
      </c>
      <c r="UFT3" t="s">
        <v>14550</v>
      </c>
      <c r="UFU3" t="s">
        <v>14551</v>
      </c>
      <c r="UFV3" t="s">
        <v>14552</v>
      </c>
      <c r="UFW3" t="s">
        <v>14553</v>
      </c>
      <c r="UFX3" t="s">
        <v>14554</v>
      </c>
      <c r="UFY3" t="s">
        <v>14555</v>
      </c>
      <c r="UFZ3" t="s">
        <v>14556</v>
      </c>
      <c r="UGA3" t="s">
        <v>14557</v>
      </c>
      <c r="UGB3" t="s">
        <v>14558</v>
      </c>
      <c r="UGC3" t="s">
        <v>14559</v>
      </c>
      <c r="UGD3" t="s">
        <v>14560</v>
      </c>
      <c r="UGE3" t="s">
        <v>14561</v>
      </c>
      <c r="UGF3" t="s">
        <v>14562</v>
      </c>
      <c r="UGG3" t="s">
        <v>14563</v>
      </c>
      <c r="UGH3" t="s">
        <v>14564</v>
      </c>
      <c r="UGI3" t="s">
        <v>14565</v>
      </c>
      <c r="UGJ3" t="s">
        <v>14566</v>
      </c>
      <c r="UGK3" t="s">
        <v>14567</v>
      </c>
      <c r="UGL3" t="s">
        <v>14568</v>
      </c>
      <c r="UGM3" t="s">
        <v>14569</v>
      </c>
      <c r="UGN3" t="s">
        <v>14570</v>
      </c>
      <c r="UGO3" t="s">
        <v>14571</v>
      </c>
      <c r="UGP3" t="s">
        <v>14572</v>
      </c>
      <c r="UGQ3" t="s">
        <v>14573</v>
      </c>
      <c r="UGR3" t="s">
        <v>14574</v>
      </c>
      <c r="UGS3" t="s">
        <v>14575</v>
      </c>
      <c r="UGT3" t="s">
        <v>14576</v>
      </c>
      <c r="UGU3" t="s">
        <v>14577</v>
      </c>
      <c r="UGV3" t="s">
        <v>14578</v>
      </c>
      <c r="UGW3" t="s">
        <v>14579</v>
      </c>
      <c r="UGX3" t="s">
        <v>14580</v>
      </c>
      <c r="UGY3" t="s">
        <v>14581</v>
      </c>
      <c r="UGZ3" t="s">
        <v>14582</v>
      </c>
      <c r="UHA3" t="s">
        <v>14583</v>
      </c>
      <c r="UHB3" t="s">
        <v>14584</v>
      </c>
      <c r="UHC3" t="s">
        <v>14585</v>
      </c>
      <c r="UHD3" t="s">
        <v>14586</v>
      </c>
      <c r="UHE3" t="s">
        <v>14587</v>
      </c>
      <c r="UHF3" t="s">
        <v>14588</v>
      </c>
      <c r="UHG3" t="s">
        <v>14589</v>
      </c>
      <c r="UHH3" t="s">
        <v>14590</v>
      </c>
      <c r="UHI3" t="s">
        <v>14591</v>
      </c>
      <c r="UHJ3" t="s">
        <v>14592</v>
      </c>
      <c r="UHK3" t="s">
        <v>14593</v>
      </c>
      <c r="UHL3" t="s">
        <v>14594</v>
      </c>
      <c r="UHM3" t="s">
        <v>14595</v>
      </c>
      <c r="UHN3" t="s">
        <v>14596</v>
      </c>
      <c r="UHO3" t="s">
        <v>14597</v>
      </c>
      <c r="UHP3" t="s">
        <v>14598</v>
      </c>
      <c r="UHQ3" t="s">
        <v>14599</v>
      </c>
      <c r="UHR3" t="s">
        <v>14600</v>
      </c>
      <c r="UHS3" t="s">
        <v>14601</v>
      </c>
      <c r="UHT3" t="s">
        <v>14602</v>
      </c>
      <c r="UHU3" t="s">
        <v>14603</v>
      </c>
      <c r="UHV3" t="s">
        <v>14604</v>
      </c>
      <c r="UHW3" t="s">
        <v>14605</v>
      </c>
      <c r="UHX3" t="s">
        <v>14606</v>
      </c>
      <c r="UHY3" t="s">
        <v>14607</v>
      </c>
      <c r="UHZ3" t="s">
        <v>14608</v>
      </c>
      <c r="UIA3" t="s">
        <v>14609</v>
      </c>
      <c r="UIB3" t="s">
        <v>14610</v>
      </c>
      <c r="UIC3" t="s">
        <v>14611</v>
      </c>
      <c r="UID3" t="s">
        <v>14612</v>
      </c>
      <c r="UIE3" t="s">
        <v>14613</v>
      </c>
      <c r="UIF3" t="s">
        <v>14614</v>
      </c>
      <c r="UIG3" t="s">
        <v>14615</v>
      </c>
      <c r="UIH3" t="s">
        <v>14616</v>
      </c>
      <c r="UII3" t="s">
        <v>14617</v>
      </c>
      <c r="UIJ3" t="s">
        <v>14618</v>
      </c>
      <c r="UIK3" t="s">
        <v>14619</v>
      </c>
      <c r="UIL3" t="s">
        <v>14620</v>
      </c>
      <c r="UIM3" t="s">
        <v>14621</v>
      </c>
      <c r="UIN3" t="s">
        <v>14622</v>
      </c>
      <c r="UIO3" t="s">
        <v>14623</v>
      </c>
      <c r="UIP3" t="s">
        <v>14624</v>
      </c>
      <c r="UIQ3" t="s">
        <v>14625</v>
      </c>
      <c r="UIR3" t="s">
        <v>14626</v>
      </c>
      <c r="UIS3" t="s">
        <v>14627</v>
      </c>
      <c r="UIT3" t="s">
        <v>14628</v>
      </c>
      <c r="UIU3" t="s">
        <v>14629</v>
      </c>
      <c r="UIV3" t="s">
        <v>14630</v>
      </c>
      <c r="UIW3" t="s">
        <v>14631</v>
      </c>
      <c r="UIX3" t="s">
        <v>14632</v>
      </c>
      <c r="UIY3" t="s">
        <v>14633</v>
      </c>
      <c r="UIZ3" t="s">
        <v>14634</v>
      </c>
      <c r="UJA3" t="s">
        <v>14635</v>
      </c>
      <c r="UJB3" t="s">
        <v>14636</v>
      </c>
      <c r="UJC3" t="s">
        <v>14637</v>
      </c>
      <c r="UJD3" t="s">
        <v>14638</v>
      </c>
      <c r="UJE3" t="s">
        <v>14639</v>
      </c>
      <c r="UJF3" t="s">
        <v>14640</v>
      </c>
      <c r="UJG3" t="s">
        <v>14641</v>
      </c>
      <c r="UJH3" t="s">
        <v>14642</v>
      </c>
      <c r="UJI3" t="s">
        <v>14643</v>
      </c>
      <c r="UJJ3" t="s">
        <v>14644</v>
      </c>
      <c r="UJK3" t="s">
        <v>14645</v>
      </c>
      <c r="UJL3" t="s">
        <v>14646</v>
      </c>
      <c r="UJM3" t="s">
        <v>14647</v>
      </c>
      <c r="UJN3" t="s">
        <v>14648</v>
      </c>
      <c r="UJO3" t="s">
        <v>14649</v>
      </c>
      <c r="UJP3" t="s">
        <v>14650</v>
      </c>
      <c r="UJQ3" t="s">
        <v>14651</v>
      </c>
      <c r="UJR3" t="s">
        <v>14652</v>
      </c>
      <c r="UJS3" t="s">
        <v>14653</v>
      </c>
      <c r="UJT3" t="s">
        <v>14654</v>
      </c>
      <c r="UJU3" t="s">
        <v>14655</v>
      </c>
      <c r="UJV3" t="s">
        <v>14656</v>
      </c>
      <c r="UJW3" t="s">
        <v>14657</v>
      </c>
      <c r="UJX3" t="s">
        <v>14658</v>
      </c>
      <c r="UJY3" t="s">
        <v>14659</v>
      </c>
      <c r="UJZ3" t="s">
        <v>14660</v>
      </c>
      <c r="UKA3" t="s">
        <v>14661</v>
      </c>
      <c r="UKB3" t="s">
        <v>14662</v>
      </c>
      <c r="UKC3" t="s">
        <v>14663</v>
      </c>
      <c r="UKD3" t="s">
        <v>14664</v>
      </c>
      <c r="UKE3" t="s">
        <v>14665</v>
      </c>
      <c r="UKF3" t="s">
        <v>14666</v>
      </c>
      <c r="UKG3" t="s">
        <v>14667</v>
      </c>
      <c r="UKH3" t="s">
        <v>14668</v>
      </c>
      <c r="UKI3" t="s">
        <v>14669</v>
      </c>
      <c r="UKJ3" t="s">
        <v>14670</v>
      </c>
      <c r="UKK3" t="s">
        <v>14671</v>
      </c>
      <c r="UKL3" t="s">
        <v>14672</v>
      </c>
      <c r="UKM3" t="s">
        <v>14673</v>
      </c>
      <c r="UKN3" t="s">
        <v>14674</v>
      </c>
      <c r="UKO3" t="s">
        <v>14675</v>
      </c>
      <c r="UKP3" t="s">
        <v>14676</v>
      </c>
      <c r="UKQ3" t="s">
        <v>14677</v>
      </c>
      <c r="UKR3" t="s">
        <v>14678</v>
      </c>
      <c r="UKS3" t="s">
        <v>14679</v>
      </c>
      <c r="UKT3" t="s">
        <v>14680</v>
      </c>
      <c r="UKU3" t="s">
        <v>14681</v>
      </c>
      <c r="UKV3" t="s">
        <v>14682</v>
      </c>
      <c r="UKW3" t="s">
        <v>14683</v>
      </c>
      <c r="UKX3" t="s">
        <v>14684</v>
      </c>
      <c r="UKY3" t="s">
        <v>14685</v>
      </c>
      <c r="UKZ3" t="s">
        <v>14686</v>
      </c>
      <c r="ULA3" t="s">
        <v>14687</v>
      </c>
      <c r="ULB3" t="s">
        <v>14688</v>
      </c>
      <c r="ULC3" t="s">
        <v>14689</v>
      </c>
      <c r="ULD3" t="s">
        <v>14690</v>
      </c>
      <c r="ULE3" t="s">
        <v>14691</v>
      </c>
      <c r="ULF3" t="s">
        <v>14692</v>
      </c>
      <c r="ULG3" t="s">
        <v>14693</v>
      </c>
      <c r="ULH3" t="s">
        <v>14694</v>
      </c>
      <c r="ULI3" t="s">
        <v>14695</v>
      </c>
      <c r="ULJ3" t="s">
        <v>14696</v>
      </c>
      <c r="ULK3" t="s">
        <v>14697</v>
      </c>
      <c r="ULL3" t="s">
        <v>14698</v>
      </c>
      <c r="ULM3" t="s">
        <v>14699</v>
      </c>
      <c r="ULN3" t="s">
        <v>14700</v>
      </c>
      <c r="ULO3" t="s">
        <v>14701</v>
      </c>
      <c r="ULP3" t="s">
        <v>14702</v>
      </c>
      <c r="ULQ3" t="s">
        <v>14703</v>
      </c>
      <c r="ULR3" t="s">
        <v>14704</v>
      </c>
      <c r="ULS3" t="s">
        <v>14705</v>
      </c>
      <c r="ULT3" t="s">
        <v>14706</v>
      </c>
      <c r="ULU3" t="s">
        <v>14707</v>
      </c>
      <c r="ULV3" t="s">
        <v>14708</v>
      </c>
      <c r="ULW3" t="s">
        <v>14709</v>
      </c>
      <c r="ULX3" t="s">
        <v>14710</v>
      </c>
      <c r="ULY3" t="s">
        <v>14711</v>
      </c>
      <c r="ULZ3" t="s">
        <v>14712</v>
      </c>
      <c r="UMA3" t="s">
        <v>14713</v>
      </c>
      <c r="UMB3" t="s">
        <v>14714</v>
      </c>
      <c r="UMC3" t="s">
        <v>14715</v>
      </c>
      <c r="UMD3" t="s">
        <v>14716</v>
      </c>
      <c r="UME3" t="s">
        <v>14717</v>
      </c>
      <c r="UMF3" t="s">
        <v>14718</v>
      </c>
      <c r="UMG3" t="s">
        <v>14719</v>
      </c>
      <c r="UMH3" t="s">
        <v>14720</v>
      </c>
      <c r="UMI3" t="s">
        <v>14721</v>
      </c>
      <c r="UMJ3" t="s">
        <v>14722</v>
      </c>
      <c r="UMK3" t="s">
        <v>14723</v>
      </c>
      <c r="UML3" t="s">
        <v>14724</v>
      </c>
      <c r="UMM3" t="s">
        <v>14725</v>
      </c>
      <c r="UMN3" t="s">
        <v>14726</v>
      </c>
      <c r="UMO3" t="s">
        <v>14727</v>
      </c>
      <c r="UMP3" t="s">
        <v>14728</v>
      </c>
      <c r="UMQ3" t="s">
        <v>14729</v>
      </c>
      <c r="UMR3" t="s">
        <v>14730</v>
      </c>
      <c r="UMS3" t="s">
        <v>14731</v>
      </c>
      <c r="UMT3" t="s">
        <v>14732</v>
      </c>
      <c r="UMU3" t="s">
        <v>14733</v>
      </c>
      <c r="UMV3" t="s">
        <v>14734</v>
      </c>
      <c r="UMW3" t="s">
        <v>14735</v>
      </c>
      <c r="UMX3" t="s">
        <v>14736</v>
      </c>
      <c r="UMY3" t="s">
        <v>14737</v>
      </c>
      <c r="UMZ3" t="s">
        <v>14738</v>
      </c>
      <c r="UNA3" t="s">
        <v>14739</v>
      </c>
      <c r="UNB3" t="s">
        <v>14740</v>
      </c>
      <c r="UNC3" t="s">
        <v>14741</v>
      </c>
      <c r="UND3" t="s">
        <v>14742</v>
      </c>
      <c r="UNE3" t="s">
        <v>14743</v>
      </c>
      <c r="UNF3" t="s">
        <v>14744</v>
      </c>
      <c r="UNG3" t="s">
        <v>14745</v>
      </c>
      <c r="UNH3" t="s">
        <v>14746</v>
      </c>
      <c r="UNI3" t="s">
        <v>14747</v>
      </c>
      <c r="UNJ3" t="s">
        <v>14748</v>
      </c>
      <c r="UNK3" t="s">
        <v>14749</v>
      </c>
      <c r="UNL3" t="s">
        <v>14750</v>
      </c>
      <c r="UNM3" t="s">
        <v>14751</v>
      </c>
      <c r="UNN3" t="s">
        <v>14752</v>
      </c>
      <c r="UNO3" t="s">
        <v>14753</v>
      </c>
      <c r="UNP3" t="s">
        <v>14754</v>
      </c>
      <c r="UNQ3" t="s">
        <v>14755</v>
      </c>
      <c r="UNR3" t="s">
        <v>14756</v>
      </c>
      <c r="UNS3" t="s">
        <v>14757</v>
      </c>
      <c r="UNT3" t="s">
        <v>14758</v>
      </c>
      <c r="UNU3" t="s">
        <v>14759</v>
      </c>
      <c r="UNV3" t="s">
        <v>14760</v>
      </c>
      <c r="UNW3" t="s">
        <v>14761</v>
      </c>
      <c r="UNX3" t="s">
        <v>14762</v>
      </c>
      <c r="UNY3" t="s">
        <v>14763</v>
      </c>
      <c r="UNZ3" t="s">
        <v>14764</v>
      </c>
      <c r="UOA3" t="s">
        <v>14765</v>
      </c>
      <c r="UOB3" t="s">
        <v>14766</v>
      </c>
      <c r="UOC3" t="s">
        <v>14767</v>
      </c>
      <c r="UOD3" t="s">
        <v>14768</v>
      </c>
      <c r="UOE3" t="s">
        <v>14769</v>
      </c>
      <c r="UOF3" t="s">
        <v>14770</v>
      </c>
      <c r="UOG3" t="s">
        <v>14771</v>
      </c>
      <c r="UOH3" t="s">
        <v>14772</v>
      </c>
      <c r="UOI3" t="s">
        <v>14773</v>
      </c>
      <c r="UOJ3" t="s">
        <v>14774</v>
      </c>
      <c r="UOK3" t="s">
        <v>14775</v>
      </c>
      <c r="UOL3" t="s">
        <v>14776</v>
      </c>
      <c r="UOM3" t="s">
        <v>14777</v>
      </c>
      <c r="UON3" t="s">
        <v>14778</v>
      </c>
      <c r="UOO3" t="s">
        <v>14779</v>
      </c>
      <c r="UOP3" t="s">
        <v>14780</v>
      </c>
      <c r="UOQ3" t="s">
        <v>14781</v>
      </c>
      <c r="UOR3" t="s">
        <v>14782</v>
      </c>
      <c r="UOS3" t="s">
        <v>14783</v>
      </c>
      <c r="UOT3" t="s">
        <v>14784</v>
      </c>
      <c r="UOU3" t="s">
        <v>14785</v>
      </c>
      <c r="UOV3" t="s">
        <v>14786</v>
      </c>
      <c r="UOW3" t="s">
        <v>14787</v>
      </c>
      <c r="UOX3" t="s">
        <v>14788</v>
      </c>
      <c r="UOY3" t="s">
        <v>14789</v>
      </c>
      <c r="UOZ3" t="s">
        <v>14790</v>
      </c>
      <c r="UPA3" t="s">
        <v>14791</v>
      </c>
      <c r="UPB3" t="s">
        <v>14792</v>
      </c>
      <c r="UPC3" t="s">
        <v>14793</v>
      </c>
      <c r="UPD3" t="s">
        <v>14794</v>
      </c>
      <c r="UPE3" t="s">
        <v>14795</v>
      </c>
      <c r="UPF3" t="s">
        <v>14796</v>
      </c>
      <c r="UPG3" t="s">
        <v>14797</v>
      </c>
      <c r="UPH3" t="s">
        <v>14798</v>
      </c>
      <c r="UPI3" t="s">
        <v>14799</v>
      </c>
      <c r="UPJ3" t="s">
        <v>14800</v>
      </c>
      <c r="UPK3" t="s">
        <v>14801</v>
      </c>
      <c r="UPL3" t="s">
        <v>14802</v>
      </c>
      <c r="UPM3" t="s">
        <v>14803</v>
      </c>
      <c r="UPN3" t="s">
        <v>14804</v>
      </c>
      <c r="UPO3" t="s">
        <v>14805</v>
      </c>
      <c r="UPP3" t="s">
        <v>14806</v>
      </c>
      <c r="UPQ3" t="s">
        <v>14807</v>
      </c>
      <c r="UPR3" t="s">
        <v>14808</v>
      </c>
      <c r="UPS3" t="s">
        <v>14809</v>
      </c>
      <c r="UPT3" t="s">
        <v>14810</v>
      </c>
      <c r="UPU3" t="s">
        <v>14811</v>
      </c>
      <c r="UPV3" t="s">
        <v>14812</v>
      </c>
      <c r="UPW3" t="s">
        <v>14813</v>
      </c>
      <c r="UPX3" t="s">
        <v>14814</v>
      </c>
      <c r="UPY3" t="s">
        <v>14815</v>
      </c>
      <c r="UPZ3" t="s">
        <v>14816</v>
      </c>
      <c r="UQA3" t="s">
        <v>14817</v>
      </c>
      <c r="UQB3" t="s">
        <v>14818</v>
      </c>
      <c r="UQC3" t="s">
        <v>14819</v>
      </c>
      <c r="UQD3" t="s">
        <v>14820</v>
      </c>
      <c r="UQE3" t="s">
        <v>14821</v>
      </c>
      <c r="UQF3" t="s">
        <v>14822</v>
      </c>
      <c r="UQG3" t="s">
        <v>14823</v>
      </c>
      <c r="UQH3" t="s">
        <v>14824</v>
      </c>
      <c r="UQI3" t="s">
        <v>14825</v>
      </c>
      <c r="UQJ3" t="s">
        <v>14826</v>
      </c>
      <c r="UQK3" t="s">
        <v>14827</v>
      </c>
      <c r="UQL3" t="s">
        <v>14828</v>
      </c>
      <c r="UQM3" t="s">
        <v>14829</v>
      </c>
      <c r="UQN3" t="s">
        <v>14830</v>
      </c>
      <c r="UQO3" t="s">
        <v>14831</v>
      </c>
      <c r="UQP3" t="s">
        <v>14832</v>
      </c>
      <c r="UQQ3" t="s">
        <v>14833</v>
      </c>
      <c r="UQR3" t="s">
        <v>14834</v>
      </c>
      <c r="UQS3" t="s">
        <v>14835</v>
      </c>
      <c r="UQT3" t="s">
        <v>14836</v>
      </c>
      <c r="UQU3" t="s">
        <v>14837</v>
      </c>
      <c r="UQV3" t="s">
        <v>14838</v>
      </c>
      <c r="UQW3" t="s">
        <v>14839</v>
      </c>
      <c r="UQX3" t="s">
        <v>14840</v>
      </c>
      <c r="UQY3" t="s">
        <v>14841</v>
      </c>
      <c r="UQZ3" t="s">
        <v>14842</v>
      </c>
      <c r="URA3" t="s">
        <v>14843</v>
      </c>
      <c r="URB3" t="s">
        <v>14844</v>
      </c>
      <c r="URC3" t="s">
        <v>14845</v>
      </c>
      <c r="URD3" t="s">
        <v>14846</v>
      </c>
      <c r="URE3" t="s">
        <v>14847</v>
      </c>
      <c r="URF3" t="s">
        <v>14848</v>
      </c>
      <c r="URG3" t="s">
        <v>14849</v>
      </c>
      <c r="URH3" t="s">
        <v>14850</v>
      </c>
      <c r="URI3" t="s">
        <v>14851</v>
      </c>
      <c r="URJ3" t="s">
        <v>14852</v>
      </c>
      <c r="URK3" t="s">
        <v>14853</v>
      </c>
      <c r="URL3" t="s">
        <v>14854</v>
      </c>
      <c r="URM3" t="s">
        <v>14855</v>
      </c>
      <c r="URN3" t="s">
        <v>14856</v>
      </c>
      <c r="URO3" t="s">
        <v>14857</v>
      </c>
      <c r="URP3" t="s">
        <v>14858</v>
      </c>
      <c r="URQ3" t="s">
        <v>14859</v>
      </c>
      <c r="URR3" t="s">
        <v>14860</v>
      </c>
      <c r="URS3" t="s">
        <v>14861</v>
      </c>
      <c r="URT3" t="s">
        <v>14862</v>
      </c>
      <c r="URU3" t="s">
        <v>14863</v>
      </c>
      <c r="URV3" t="s">
        <v>14864</v>
      </c>
      <c r="URW3" t="s">
        <v>14865</v>
      </c>
      <c r="URX3" t="s">
        <v>14866</v>
      </c>
      <c r="URY3" t="s">
        <v>14867</v>
      </c>
      <c r="URZ3" t="s">
        <v>14868</v>
      </c>
      <c r="USA3" t="s">
        <v>14869</v>
      </c>
      <c r="USB3" t="s">
        <v>14870</v>
      </c>
      <c r="USC3" t="s">
        <v>14871</v>
      </c>
      <c r="USD3" t="s">
        <v>14872</v>
      </c>
      <c r="USE3" t="s">
        <v>14873</v>
      </c>
      <c r="USF3" t="s">
        <v>14874</v>
      </c>
      <c r="USG3" t="s">
        <v>14875</v>
      </c>
      <c r="USH3" t="s">
        <v>14876</v>
      </c>
      <c r="USI3" t="s">
        <v>14877</v>
      </c>
      <c r="USJ3" t="s">
        <v>14878</v>
      </c>
      <c r="USK3" t="s">
        <v>14879</v>
      </c>
      <c r="USL3" t="s">
        <v>14880</v>
      </c>
      <c r="USM3" t="s">
        <v>14881</v>
      </c>
      <c r="USN3" t="s">
        <v>14882</v>
      </c>
      <c r="USO3" t="s">
        <v>14883</v>
      </c>
      <c r="USP3" t="s">
        <v>14884</v>
      </c>
      <c r="USQ3" t="s">
        <v>14885</v>
      </c>
      <c r="USR3" t="s">
        <v>14886</v>
      </c>
      <c r="USS3" t="s">
        <v>14887</v>
      </c>
      <c r="UST3" t="s">
        <v>14888</v>
      </c>
      <c r="USU3" t="s">
        <v>14889</v>
      </c>
      <c r="USV3" t="s">
        <v>14890</v>
      </c>
      <c r="USW3" t="s">
        <v>14891</v>
      </c>
      <c r="USX3" t="s">
        <v>14892</v>
      </c>
      <c r="USY3" t="s">
        <v>14893</v>
      </c>
      <c r="USZ3" t="s">
        <v>14894</v>
      </c>
      <c r="UTA3" t="s">
        <v>14895</v>
      </c>
      <c r="UTB3" t="s">
        <v>14896</v>
      </c>
      <c r="UTC3" t="s">
        <v>14897</v>
      </c>
      <c r="UTD3" t="s">
        <v>14898</v>
      </c>
      <c r="UTE3" t="s">
        <v>14899</v>
      </c>
      <c r="UTF3" t="s">
        <v>14900</v>
      </c>
      <c r="UTG3" t="s">
        <v>14901</v>
      </c>
      <c r="UTH3" t="s">
        <v>14902</v>
      </c>
      <c r="UTI3" t="s">
        <v>14903</v>
      </c>
      <c r="UTJ3" t="s">
        <v>14904</v>
      </c>
      <c r="UTK3" t="s">
        <v>14905</v>
      </c>
      <c r="UTL3" t="s">
        <v>14906</v>
      </c>
      <c r="UTM3" t="s">
        <v>14907</v>
      </c>
      <c r="UTN3" t="s">
        <v>14908</v>
      </c>
      <c r="UTO3" t="s">
        <v>14909</v>
      </c>
      <c r="UTP3" t="s">
        <v>14910</v>
      </c>
      <c r="UTQ3" t="s">
        <v>14911</v>
      </c>
      <c r="UTR3" t="s">
        <v>14912</v>
      </c>
      <c r="UTS3" t="s">
        <v>14913</v>
      </c>
      <c r="UTT3" t="s">
        <v>14914</v>
      </c>
      <c r="UTU3" t="s">
        <v>14915</v>
      </c>
      <c r="UTV3" t="s">
        <v>14916</v>
      </c>
      <c r="UTW3" t="s">
        <v>14917</v>
      </c>
      <c r="UTX3" t="s">
        <v>14918</v>
      </c>
      <c r="UTY3" t="s">
        <v>14919</v>
      </c>
      <c r="UTZ3" t="s">
        <v>14920</v>
      </c>
      <c r="UUA3" t="s">
        <v>14921</v>
      </c>
      <c r="UUB3" t="s">
        <v>14922</v>
      </c>
      <c r="UUC3" t="s">
        <v>14923</v>
      </c>
      <c r="UUD3" t="s">
        <v>14924</v>
      </c>
      <c r="UUE3" t="s">
        <v>14925</v>
      </c>
      <c r="UUF3" t="s">
        <v>14926</v>
      </c>
      <c r="UUG3" t="s">
        <v>14927</v>
      </c>
      <c r="UUH3" t="s">
        <v>14928</v>
      </c>
      <c r="UUI3" t="s">
        <v>14929</v>
      </c>
      <c r="UUJ3" t="s">
        <v>14930</v>
      </c>
      <c r="UUK3" t="s">
        <v>14931</v>
      </c>
      <c r="UUL3" t="s">
        <v>14932</v>
      </c>
      <c r="UUM3" t="s">
        <v>14933</v>
      </c>
      <c r="UUN3" t="s">
        <v>14934</v>
      </c>
      <c r="UUO3" t="s">
        <v>14935</v>
      </c>
      <c r="UUP3" t="s">
        <v>14936</v>
      </c>
      <c r="UUQ3" t="s">
        <v>14937</v>
      </c>
      <c r="UUR3" t="s">
        <v>14938</v>
      </c>
      <c r="UUS3" t="s">
        <v>14939</v>
      </c>
      <c r="UUT3" t="s">
        <v>14940</v>
      </c>
      <c r="UUU3" t="s">
        <v>14941</v>
      </c>
      <c r="UUV3" t="s">
        <v>14942</v>
      </c>
      <c r="UUW3" t="s">
        <v>14943</v>
      </c>
      <c r="UUX3" t="s">
        <v>14944</v>
      </c>
      <c r="UUY3" t="s">
        <v>14945</v>
      </c>
      <c r="UUZ3" t="s">
        <v>14946</v>
      </c>
      <c r="UVA3" t="s">
        <v>14947</v>
      </c>
      <c r="UVB3" t="s">
        <v>14948</v>
      </c>
      <c r="UVC3" t="s">
        <v>14949</v>
      </c>
      <c r="UVD3" t="s">
        <v>14950</v>
      </c>
      <c r="UVE3" t="s">
        <v>14951</v>
      </c>
      <c r="UVF3" t="s">
        <v>14952</v>
      </c>
      <c r="UVG3" t="s">
        <v>14953</v>
      </c>
      <c r="UVH3" t="s">
        <v>14954</v>
      </c>
      <c r="UVI3" t="s">
        <v>14955</v>
      </c>
      <c r="UVJ3" t="s">
        <v>14956</v>
      </c>
      <c r="UVK3" t="s">
        <v>14957</v>
      </c>
      <c r="UVL3" t="s">
        <v>14958</v>
      </c>
      <c r="UVM3" t="s">
        <v>14959</v>
      </c>
      <c r="UVN3" t="s">
        <v>14960</v>
      </c>
      <c r="UVO3" t="s">
        <v>14961</v>
      </c>
      <c r="UVP3" t="s">
        <v>14962</v>
      </c>
      <c r="UVQ3" t="s">
        <v>14963</v>
      </c>
      <c r="UVR3" t="s">
        <v>14964</v>
      </c>
      <c r="UVS3" t="s">
        <v>14965</v>
      </c>
      <c r="UVT3" t="s">
        <v>14966</v>
      </c>
      <c r="UVU3" t="s">
        <v>14967</v>
      </c>
      <c r="UVV3" t="s">
        <v>14968</v>
      </c>
      <c r="UVW3" t="s">
        <v>14969</v>
      </c>
      <c r="UVX3" t="s">
        <v>14970</v>
      </c>
      <c r="UVY3" t="s">
        <v>14971</v>
      </c>
      <c r="UVZ3" t="s">
        <v>14972</v>
      </c>
      <c r="UWA3" t="s">
        <v>14973</v>
      </c>
      <c r="UWB3" t="s">
        <v>14974</v>
      </c>
      <c r="UWC3" t="s">
        <v>14975</v>
      </c>
      <c r="UWD3" t="s">
        <v>14976</v>
      </c>
      <c r="UWE3" t="s">
        <v>14977</v>
      </c>
      <c r="UWF3" t="s">
        <v>14978</v>
      </c>
      <c r="UWG3" t="s">
        <v>14979</v>
      </c>
      <c r="UWH3" t="s">
        <v>14980</v>
      </c>
      <c r="UWI3" t="s">
        <v>14981</v>
      </c>
      <c r="UWJ3" t="s">
        <v>14982</v>
      </c>
      <c r="UWK3" t="s">
        <v>14983</v>
      </c>
      <c r="UWL3" t="s">
        <v>14984</v>
      </c>
      <c r="UWM3" t="s">
        <v>14985</v>
      </c>
      <c r="UWN3" t="s">
        <v>14986</v>
      </c>
      <c r="UWO3" t="s">
        <v>14987</v>
      </c>
      <c r="UWP3" t="s">
        <v>14988</v>
      </c>
      <c r="UWQ3" t="s">
        <v>14989</v>
      </c>
      <c r="UWR3" t="s">
        <v>14990</v>
      </c>
      <c r="UWS3" t="s">
        <v>14991</v>
      </c>
      <c r="UWT3" t="s">
        <v>14992</v>
      </c>
      <c r="UWU3" t="s">
        <v>14993</v>
      </c>
      <c r="UWV3" t="s">
        <v>14994</v>
      </c>
      <c r="UWW3" t="s">
        <v>14995</v>
      </c>
      <c r="UWX3" t="s">
        <v>14996</v>
      </c>
      <c r="UWY3" t="s">
        <v>14997</v>
      </c>
      <c r="UWZ3" t="s">
        <v>14998</v>
      </c>
      <c r="UXA3" t="s">
        <v>14999</v>
      </c>
      <c r="UXB3" t="s">
        <v>15000</v>
      </c>
      <c r="UXC3" t="s">
        <v>15001</v>
      </c>
      <c r="UXD3" t="s">
        <v>15002</v>
      </c>
      <c r="UXE3" t="s">
        <v>15003</v>
      </c>
      <c r="UXF3" t="s">
        <v>15004</v>
      </c>
      <c r="UXG3" t="s">
        <v>15005</v>
      </c>
      <c r="UXH3" t="s">
        <v>15006</v>
      </c>
      <c r="UXI3" t="s">
        <v>15007</v>
      </c>
      <c r="UXJ3" t="s">
        <v>15008</v>
      </c>
      <c r="UXK3" t="s">
        <v>15009</v>
      </c>
      <c r="UXL3" t="s">
        <v>15010</v>
      </c>
      <c r="UXM3" t="s">
        <v>15011</v>
      </c>
      <c r="UXN3" t="s">
        <v>15012</v>
      </c>
      <c r="UXO3" t="s">
        <v>15013</v>
      </c>
      <c r="UXP3" t="s">
        <v>15014</v>
      </c>
      <c r="UXQ3" t="s">
        <v>15015</v>
      </c>
      <c r="UXR3" t="s">
        <v>15016</v>
      </c>
      <c r="UXS3" t="s">
        <v>15017</v>
      </c>
      <c r="UXT3" t="s">
        <v>15018</v>
      </c>
      <c r="UXU3" t="s">
        <v>15019</v>
      </c>
      <c r="UXV3" t="s">
        <v>15020</v>
      </c>
      <c r="UXW3" t="s">
        <v>15021</v>
      </c>
      <c r="UXX3" t="s">
        <v>15022</v>
      </c>
      <c r="UXY3" t="s">
        <v>15023</v>
      </c>
      <c r="UXZ3" t="s">
        <v>15024</v>
      </c>
      <c r="UYA3" t="s">
        <v>15025</v>
      </c>
      <c r="UYB3" t="s">
        <v>15026</v>
      </c>
      <c r="UYC3" t="s">
        <v>15027</v>
      </c>
      <c r="UYD3" t="s">
        <v>15028</v>
      </c>
      <c r="UYE3" t="s">
        <v>15029</v>
      </c>
      <c r="UYF3" t="s">
        <v>15030</v>
      </c>
      <c r="UYG3" t="s">
        <v>15031</v>
      </c>
      <c r="UYH3" t="s">
        <v>15032</v>
      </c>
      <c r="UYI3" t="s">
        <v>15033</v>
      </c>
      <c r="UYJ3" t="s">
        <v>15034</v>
      </c>
      <c r="UYK3" t="s">
        <v>15035</v>
      </c>
      <c r="UYL3" t="s">
        <v>15036</v>
      </c>
      <c r="UYM3" t="s">
        <v>15037</v>
      </c>
      <c r="UYN3" t="s">
        <v>15038</v>
      </c>
      <c r="UYO3" t="s">
        <v>15039</v>
      </c>
      <c r="UYP3" t="s">
        <v>15040</v>
      </c>
      <c r="UYQ3" t="s">
        <v>15041</v>
      </c>
      <c r="UYR3" t="s">
        <v>15042</v>
      </c>
      <c r="UYS3" t="s">
        <v>15043</v>
      </c>
      <c r="UYT3" t="s">
        <v>15044</v>
      </c>
      <c r="UYU3" t="s">
        <v>15045</v>
      </c>
      <c r="UYV3" t="s">
        <v>15046</v>
      </c>
      <c r="UYW3" t="s">
        <v>15047</v>
      </c>
      <c r="UYX3" t="s">
        <v>15048</v>
      </c>
      <c r="UYY3" t="s">
        <v>15049</v>
      </c>
      <c r="UYZ3" t="s">
        <v>15050</v>
      </c>
      <c r="UZA3" t="s">
        <v>15051</v>
      </c>
      <c r="UZB3" t="s">
        <v>15052</v>
      </c>
      <c r="UZC3" t="s">
        <v>15053</v>
      </c>
      <c r="UZD3" t="s">
        <v>15054</v>
      </c>
      <c r="UZE3" t="s">
        <v>15055</v>
      </c>
      <c r="UZF3" t="s">
        <v>15056</v>
      </c>
      <c r="UZG3" t="s">
        <v>15057</v>
      </c>
      <c r="UZH3" t="s">
        <v>15058</v>
      </c>
      <c r="UZI3" t="s">
        <v>15059</v>
      </c>
      <c r="UZJ3" t="s">
        <v>15060</v>
      </c>
      <c r="UZK3" t="s">
        <v>15061</v>
      </c>
      <c r="UZL3" t="s">
        <v>15062</v>
      </c>
      <c r="UZM3" t="s">
        <v>15063</v>
      </c>
      <c r="UZN3" t="s">
        <v>15064</v>
      </c>
      <c r="UZO3" t="s">
        <v>15065</v>
      </c>
      <c r="UZP3" t="s">
        <v>15066</v>
      </c>
      <c r="UZQ3" t="s">
        <v>15067</v>
      </c>
      <c r="UZR3" t="s">
        <v>15068</v>
      </c>
      <c r="UZS3" t="s">
        <v>15069</v>
      </c>
      <c r="UZT3" t="s">
        <v>15070</v>
      </c>
      <c r="UZU3" t="s">
        <v>15071</v>
      </c>
      <c r="UZV3" t="s">
        <v>15072</v>
      </c>
      <c r="UZW3" t="s">
        <v>15073</v>
      </c>
      <c r="UZX3" t="s">
        <v>15074</v>
      </c>
      <c r="UZY3" t="s">
        <v>15075</v>
      </c>
      <c r="UZZ3" t="s">
        <v>15076</v>
      </c>
      <c r="VAA3" t="s">
        <v>15077</v>
      </c>
      <c r="VAB3" t="s">
        <v>15078</v>
      </c>
      <c r="VAC3" t="s">
        <v>15079</v>
      </c>
      <c r="VAD3" t="s">
        <v>15080</v>
      </c>
      <c r="VAE3" t="s">
        <v>15081</v>
      </c>
      <c r="VAF3" t="s">
        <v>15082</v>
      </c>
      <c r="VAG3" t="s">
        <v>15083</v>
      </c>
      <c r="VAH3" t="s">
        <v>15084</v>
      </c>
      <c r="VAI3" t="s">
        <v>15085</v>
      </c>
      <c r="VAJ3" t="s">
        <v>15086</v>
      </c>
      <c r="VAK3" t="s">
        <v>15087</v>
      </c>
      <c r="VAL3" t="s">
        <v>15088</v>
      </c>
      <c r="VAM3" t="s">
        <v>15089</v>
      </c>
      <c r="VAN3" t="s">
        <v>15090</v>
      </c>
      <c r="VAO3" t="s">
        <v>15091</v>
      </c>
      <c r="VAP3" t="s">
        <v>15092</v>
      </c>
      <c r="VAQ3" t="s">
        <v>15093</v>
      </c>
      <c r="VAR3" t="s">
        <v>15094</v>
      </c>
      <c r="VAS3" t="s">
        <v>15095</v>
      </c>
      <c r="VAT3" t="s">
        <v>15096</v>
      </c>
      <c r="VAU3" t="s">
        <v>15097</v>
      </c>
      <c r="VAV3" t="s">
        <v>15098</v>
      </c>
      <c r="VAW3" t="s">
        <v>15099</v>
      </c>
      <c r="VAX3" t="s">
        <v>15100</v>
      </c>
      <c r="VAY3" t="s">
        <v>15101</v>
      </c>
      <c r="VAZ3" t="s">
        <v>15102</v>
      </c>
      <c r="VBA3" t="s">
        <v>15103</v>
      </c>
      <c r="VBB3" t="s">
        <v>15104</v>
      </c>
      <c r="VBC3" t="s">
        <v>15105</v>
      </c>
      <c r="VBD3" t="s">
        <v>15106</v>
      </c>
      <c r="VBE3" t="s">
        <v>15107</v>
      </c>
      <c r="VBF3" t="s">
        <v>15108</v>
      </c>
      <c r="VBG3" t="s">
        <v>15109</v>
      </c>
      <c r="VBH3" t="s">
        <v>15110</v>
      </c>
      <c r="VBI3" t="s">
        <v>15111</v>
      </c>
      <c r="VBJ3" t="s">
        <v>15112</v>
      </c>
      <c r="VBK3" t="s">
        <v>15113</v>
      </c>
      <c r="VBL3" t="s">
        <v>15114</v>
      </c>
      <c r="VBM3" t="s">
        <v>15115</v>
      </c>
      <c r="VBN3" t="s">
        <v>15116</v>
      </c>
      <c r="VBO3" t="s">
        <v>15117</v>
      </c>
      <c r="VBP3" t="s">
        <v>15118</v>
      </c>
      <c r="VBQ3" t="s">
        <v>15119</v>
      </c>
      <c r="VBR3" t="s">
        <v>15120</v>
      </c>
      <c r="VBS3" t="s">
        <v>15121</v>
      </c>
      <c r="VBT3" t="s">
        <v>15122</v>
      </c>
      <c r="VBU3" t="s">
        <v>15123</v>
      </c>
      <c r="VBV3" t="s">
        <v>15124</v>
      </c>
      <c r="VBW3" t="s">
        <v>15125</v>
      </c>
      <c r="VBX3" t="s">
        <v>15126</v>
      </c>
      <c r="VBY3" t="s">
        <v>15127</v>
      </c>
      <c r="VBZ3" t="s">
        <v>15128</v>
      </c>
      <c r="VCA3" t="s">
        <v>15129</v>
      </c>
      <c r="VCB3" t="s">
        <v>15130</v>
      </c>
      <c r="VCC3" t="s">
        <v>15131</v>
      </c>
      <c r="VCD3" t="s">
        <v>15132</v>
      </c>
      <c r="VCE3" t="s">
        <v>15133</v>
      </c>
      <c r="VCF3" t="s">
        <v>15134</v>
      </c>
      <c r="VCG3" t="s">
        <v>15135</v>
      </c>
      <c r="VCH3" t="s">
        <v>15136</v>
      </c>
      <c r="VCI3" t="s">
        <v>15137</v>
      </c>
      <c r="VCJ3" t="s">
        <v>15138</v>
      </c>
      <c r="VCK3" t="s">
        <v>15139</v>
      </c>
      <c r="VCL3" t="s">
        <v>15140</v>
      </c>
      <c r="VCM3" t="s">
        <v>15141</v>
      </c>
      <c r="VCN3" t="s">
        <v>15142</v>
      </c>
      <c r="VCO3" t="s">
        <v>15143</v>
      </c>
      <c r="VCP3" t="s">
        <v>15144</v>
      </c>
      <c r="VCQ3" t="s">
        <v>15145</v>
      </c>
      <c r="VCR3" t="s">
        <v>15146</v>
      </c>
      <c r="VCS3" t="s">
        <v>15147</v>
      </c>
      <c r="VCT3" t="s">
        <v>15148</v>
      </c>
      <c r="VCU3" t="s">
        <v>15149</v>
      </c>
      <c r="VCV3" t="s">
        <v>15150</v>
      </c>
      <c r="VCW3" t="s">
        <v>15151</v>
      </c>
      <c r="VCX3" t="s">
        <v>15152</v>
      </c>
      <c r="VCY3" t="s">
        <v>15153</v>
      </c>
      <c r="VCZ3" t="s">
        <v>15154</v>
      </c>
      <c r="VDA3" t="s">
        <v>15155</v>
      </c>
      <c r="VDB3" t="s">
        <v>15156</v>
      </c>
      <c r="VDC3" t="s">
        <v>15157</v>
      </c>
      <c r="VDD3" t="s">
        <v>15158</v>
      </c>
      <c r="VDE3" t="s">
        <v>15159</v>
      </c>
      <c r="VDF3" t="s">
        <v>15160</v>
      </c>
      <c r="VDG3" t="s">
        <v>15161</v>
      </c>
      <c r="VDH3" t="s">
        <v>15162</v>
      </c>
      <c r="VDI3" t="s">
        <v>15163</v>
      </c>
      <c r="VDJ3" t="s">
        <v>15164</v>
      </c>
      <c r="VDK3" t="s">
        <v>15165</v>
      </c>
      <c r="VDL3" t="s">
        <v>15166</v>
      </c>
      <c r="VDM3" t="s">
        <v>15167</v>
      </c>
      <c r="VDN3" t="s">
        <v>15168</v>
      </c>
      <c r="VDO3" t="s">
        <v>15169</v>
      </c>
      <c r="VDP3" t="s">
        <v>15170</v>
      </c>
      <c r="VDQ3" t="s">
        <v>15171</v>
      </c>
      <c r="VDR3" t="s">
        <v>15172</v>
      </c>
      <c r="VDS3" t="s">
        <v>15173</v>
      </c>
      <c r="VDT3" t="s">
        <v>15174</v>
      </c>
      <c r="VDU3" t="s">
        <v>15175</v>
      </c>
      <c r="VDV3" t="s">
        <v>15176</v>
      </c>
      <c r="VDW3" t="s">
        <v>15177</v>
      </c>
      <c r="VDX3" t="s">
        <v>15178</v>
      </c>
      <c r="VDY3" t="s">
        <v>15179</v>
      </c>
      <c r="VDZ3" t="s">
        <v>15180</v>
      </c>
      <c r="VEA3" t="s">
        <v>15181</v>
      </c>
      <c r="VEB3" t="s">
        <v>15182</v>
      </c>
      <c r="VEC3" t="s">
        <v>15183</v>
      </c>
      <c r="VED3" t="s">
        <v>15184</v>
      </c>
      <c r="VEE3" t="s">
        <v>15185</v>
      </c>
      <c r="VEF3" t="s">
        <v>15186</v>
      </c>
      <c r="VEG3" t="s">
        <v>15187</v>
      </c>
      <c r="VEH3" t="s">
        <v>15188</v>
      </c>
      <c r="VEI3" t="s">
        <v>15189</v>
      </c>
      <c r="VEJ3" t="s">
        <v>15190</v>
      </c>
      <c r="VEK3" t="s">
        <v>15191</v>
      </c>
      <c r="VEL3" t="s">
        <v>15192</v>
      </c>
      <c r="VEM3" t="s">
        <v>15193</v>
      </c>
      <c r="VEN3" t="s">
        <v>15194</v>
      </c>
      <c r="VEO3" t="s">
        <v>15195</v>
      </c>
      <c r="VEP3" t="s">
        <v>15196</v>
      </c>
      <c r="VEQ3" t="s">
        <v>15197</v>
      </c>
      <c r="VER3" t="s">
        <v>15198</v>
      </c>
      <c r="VES3" t="s">
        <v>15199</v>
      </c>
      <c r="VET3" t="s">
        <v>15200</v>
      </c>
      <c r="VEU3" t="s">
        <v>15201</v>
      </c>
      <c r="VEV3" t="s">
        <v>15202</v>
      </c>
      <c r="VEW3" t="s">
        <v>15203</v>
      </c>
      <c r="VEX3" t="s">
        <v>15204</v>
      </c>
      <c r="VEY3" t="s">
        <v>15205</v>
      </c>
      <c r="VEZ3" t="s">
        <v>15206</v>
      </c>
      <c r="VFA3" t="s">
        <v>15207</v>
      </c>
      <c r="VFB3" t="s">
        <v>15208</v>
      </c>
      <c r="VFC3" t="s">
        <v>15209</v>
      </c>
      <c r="VFD3" t="s">
        <v>15210</v>
      </c>
      <c r="VFE3" t="s">
        <v>15211</v>
      </c>
      <c r="VFF3" t="s">
        <v>15212</v>
      </c>
      <c r="VFG3" t="s">
        <v>15213</v>
      </c>
      <c r="VFH3" t="s">
        <v>15214</v>
      </c>
      <c r="VFI3" t="s">
        <v>15215</v>
      </c>
      <c r="VFJ3" t="s">
        <v>15216</v>
      </c>
      <c r="VFK3" t="s">
        <v>15217</v>
      </c>
      <c r="VFL3" t="s">
        <v>15218</v>
      </c>
      <c r="VFM3" t="s">
        <v>15219</v>
      </c>
      <c r="VFN3" t="s">
        <v>15220</v>
      </c>
      <c r="VFO3" t="s">
        <v>15221</v>
      </c>
      <c r="VFP3" t="s">
        <v>15222</v>
      </c>
      <c r="VFQ3" t="s">
        <v>15223</v>
      </c>
      <c r="VFR3" t="s">
        <v>15224</v>
      </c>
      <c r="VFS3" t="s">
        <v>15225</v>
      </c>
      <c r="VFT3" t="s">
        <v>15226</v>
      </c>
      <c r="VFU3" t="s">
        <v>15227</v>
      </c>
      <c r="VFV3" t="s">
        <v>15228</v>
      </c>
      <c r="VFW3" t="s">
        <v>15229</v>
      </c>
      <c r="VFX3" t="s">
        <v>15230</v>
      </c>
      <c r="VFY3" t="s">
        <v>15231</v>
      </c>
      <c r="VFZ3" t="s">
        <v>15232</v>
      </c>
      <c r="VGA3" t="s">
        <v>15233</v>
      </c>
      <c r="VGB3" t="s">
        <v>15234</v>
      </c>
      <c r="VGC3" t="s">
        <v>15235</v>
      </c>
      <c r="VGD3" t="s">
        <v>15236</v>
      </c>
      <c r="VGE3" t="s">
        <v>15237</v>
      </c>
      <c r="VGF3" t="s">
        <v>15238</v>
      </c>
      <c r="VGG3" t="s">
        <v>15239</v>
      </c>
      <c r="VGH3" t="s">
        <v>15240</v>
      </c>
      <c r="VGI3" t="s">
        <v>15241</v>
      </c>
      <c r="VGJ3" t="s">
        <v>15242</v>
      </c>
      <c r="VGK3" t="s">
        <v>15243</v>
      </c>
      <c r="VGL3" t="s">
        <v>15244</v>
      </c>
      <c r="VGM3" t="s">
        <v>15245</v>
      </c>
      <c r="VGN3" t="s">
        <v>15246</v>
      </c>
      <c r="VGO3" t="s">
        <v>15247</v>
      </c>
      <c r="VGP3" t="s">
        <v>15248</v>
      </c>
      <c r="VGQ3" t="s">
        <v>15249</v>
      </c>
      <c r="VGR3" t="s">
        <v>15250</v>
      </c>
      <c r="VGS3" t="s">
        <v>15251</v>
      </c>
      <c r="VGT3" t="s">
        <v>15252</v>
      </c>
      <c r="VGU3" t="s">
        <v>15253</v>
      </c>
      <c r="VGV3" t="s">
        <v>15254</v>
      </c>
      <c r="VGW3" t="s">
        <v>15255</v>
      </c>
      <c r="VGX3" t="s">
        <v>15256</v>
      </c>
      <c r="VGY3" t="s">
        <v>15257</v>
      </c>
      <c r="VGZ3" t="s">
        <v>15258</v>
      </c>
      <c r="VHA3" t="s">
        <v>15259</v>
      </c>
      <c r="VHB3" t="s">
        <v>15260</v>
      </c>
      <c r="VHC3" t="s">
        <v>15261</v>
      </c>
      <c r="VHD3" t="s">
        <v>15262</v>
      </c>
      <c r="VHE3" t="s">
        <v>15263</v>
      </c>
      <c r="VHF3" t="s">
        <v>15264</v>
      </c>
      <c r="VHG3" t="s">
        <v>15265</v>
      </c>
      <c r="VHH3" t="s">
        <v>15266</v>
      </c>
      <c r="VHI3" t="s">
        <v>15267</v>
      </c>
      <c r="VHJ3" t="s">
        <v>15268</v>
      </c>
      <c r="VHK3" t="s">
        <v>15269</v>
      </c>
      <c r="VHL3" t="s">
        <v>15270</v>
      </c>
      <c r="VHM3" t="s">
        <v>15271</v>
      </c>
      <c r="VHN3" t="s">
        <v>15272</v>
      </c>
      <c r="VHO3" t="s">
        <v>15273</v>
      </c>
      <c r="VHP3" t="s">
        <v>15274</v>
      </c>
      <c r="VHQ3" t="s">
        <v>15275</v>
      </c>
      <c r="VHR3" t="s">
        <v>15276</v>
      </c>
      <c r="VHS3" t="s">
        <v>15277</v>
      </c>
      <c r="VHT3" t="s">
        <v>15278</v>
      </c>
      <c r="VHU3" t="s">
        <v>15279</v>
      </c>
      <c r="VHV3" t="s">
        <v>15280</v>
      </c>
      <c r="VHW3" t="s">
        <v>15281</v>
      </c>
      <c r="VHX3" t="s">
        <v>15282</v>
      </c>
      <c r="VHY3" t="s">
        <v>15283</v>
      </c>
      <c r="VHZ3" t="s">
        <v>15284</v>
      </c>
      <c r="VIA3" t="s">
        <v>15285</v>
      </c>
      <c r="VIB3" t="s">
        <v>15286</v>
      </c>
      <c r="VIC3" t="s">
        <v>15287</v>
      </c>
      <c r="VID3" t="s">
        <v>15288</v>
      </c>
      <c r="VIE3" t="s">
        <v>15289</v>
      </c>
      <c r="VIF3" t="s">
        <v>15290</v>
      </c>
      <c r="VIG3" t="s">
        <v>15291</v>
      </c>
      <c r="VIH3" t="s">
        <v>15292</v>
      </c>
      <c r="VII3" t="s">
        <v>15293</v>
      </c>
      <c r="VIJ3" t="s">
        <v>15294</v>
      </c>
      <c r="VIK3" t="s">
        <v>15295</v>
      </c>
      <c r="VIL3" t="s">
        <v>15296</v>
      </c>
      <c r="VIM3" t="s">
        <v>15297</v>
      </c>
      <c r="VIN3" t="s">
        <v>15298</v>
      </c>
      <c r="VIO3" t="s">
        <v>15299</v>
      </c>
      <c r="VIP3" t="s">
        <v>15300</v>
      </c>
      <c r="VIQ3" t="s">
        <v>15301</v>
      </c>
      <c r="VIR3" t="s">
        <v>15302</v>
      </c>
      <c r="VIS3" t="s">
        <v>15303</v>
      </c>
      <c r="VIT3" t="s">
        <v>15304</v>
      </c>
      <c r="VIU3" t="s">
        <v>15305</v>
      </c>
      <c r="VIV3" t="s">
        <v>15306</v>
      </c>
      <c r="VIW3" t="s">
        <v>15307</v>
      </c>
      <c r="VIX3" t="s">
        <v>15308</v>
      </c>
      <c r="VIY3" t="s">
        <v>15309</v>
      </c>
      <c r="VIZ3" t="s">
        <v>15310</v>
      </c>
      <c r="VJA3" t="s">
        <v>15311</v>
      </c>
      <c r="VJB3" t="s">
        <v>15312</v>
      </c>
      <c r="VJC3" t="s">
        <v>15313</v>
      </c>
      <c r="VJD3" t="s">
        <v>15314</v>
      </c>
      <c r="VJE3" t="s">
        <v>15315</v>
      </c>
      <c r="VJF3" t="s">
        <v>15316</v>
      </c>
      <c r="VJG3" t="s">
        <v>15317</v>
      </c>
      <c r="VJH3" t="s">
        <v>15318</v>
      </c>
      <c r="VJI3" t="s">
        <v>15319</v>
      </c>
      <c r="VJJ3" t="s">
        <v>15320</v>
      </c>
      <c r="VJK3" t="s">
        <v>15321</v>
      </c>
      <c r="VJL3" t="s">
        <v>15322</v>
      </c>
      <c r="VJM3" t="s">
        <v>15323</v>
      </c>
      <c r="VJN3" t="s">
        <v>15324</v>
      </c>
      <c r="VJO3" t="s">
        <v>15325</v>
      </c>
      <c r="VJP3" t="s">
        <v>15326</v>
      </c>
      <c r="VJQ3" t="s">
        <v>15327</v>
      </c>
      <c r="VJR3" t="s">
        <v>15328</v>
      </c>
      <c r="VJS3" t="s">
        <v>15329</v>
      </c>
      <c r="VJT3" t="s">
        <v>15330</v>
      </c>
      <c r="VJU3" t="s">
        <v>15331</v>
      </c>
      <c r="VJV3" t="s">
        <v>15332</v>
      </c>
      <c r="VJW3" t="s">
        <v>15333</v>
      </c>
      <c r="VJX3" t="s">
        <v>15334</v>
      </c>
      <c r="VJY3" t="s">
        <v>15335</v>
      </c>
      <c r="VJZ3" t="s">
        <v>15336</v>
      </c>
      <c r="VKA3" t="s">
        <v>15337</v>
      </c>
      <c r="VKB3" t="s">
        <v>15338</v>
      </c>
      <c r="VKC3" t="s">
        <v>15339</v>
      </c>
      <c r="VKD3" t="s">
        <v>15340</v>
      </c>
      <c r="VKE3" t="s">
        <v>15341</v>
      </c>
      <c r="VKF3" t="s">
        <v>15342</v>
      </c>
      <c r="VKG3" t="s">
        <v>15343</v>
      </c>
      <c r="VKH3" t="s">
        <v>15344</v>
      </c>
      <c r="VKI3" t="s">
        <v>15345</v>
      </c>
      <c r="VKJ3" t="s">
        <v>15346</v>
      </c>
      <c r="VKK3" t="s">
        <v>15347</v>
      </c>
      <c r="VKL3" t="s">
        <v>15348</v>
      </c>
      <c r="VKM3" t="s">
        <v>15349</v>
      </c>
      <c r="VKN3" t="s">
        <v>15350</v>
      </c>
      <c r="VKO3" t="s">
        <v>15351</v>
      </c>
      <c r="VKP3" t="s">
        <v>15352</v>
      </c>
      <c r="VKQ3" t="s">
        <v>15353</v>
      </c>
      <c r="VKR3" t="s">
        <v>15354</v>
      </c>
      <c r="VKS3" t="s">
        <v>15355</v>
      </c>
      <c r="VKT3" t="s">
        <v>15356</v>
      </c>
      <c r="VKU3" t="s">
        <v>15357</v>
      </c>
      <c r="VKV3" t="s">
        <v>15358</v>
      </c>
      <c r="VKW3" t="s">
        <v>15359</v>
      </c>
      <c r="VKX3" t="s">
        <v>15360</v>
      </c>
      <c r="VKY3" t="s">
        <v>15361</v>
      </c>
      <c r="VKZ3" t="s">
        <v>15362</v>
      </c>
      <c r="VLA3" t="s">
        <v>15363</v>
      </c>
      <c r="VLB3" t="s">
        <v>15364</v>
      </c>
      <c r="VLC3" t="s">
        <v>15365</v>
      </c>
      <c r="VLD3" t="s">
        <v>15366</v>
      </c>
      <c r="VLE3" t="s">
        <v>15367</v>
      </c>
      <c r="VLF3" t="s">
        <v>15368</v>
      </c>
      <c r="VLG3" t="s">
        <v>15369</v>
      </c>
      <c r="VLH3" t="s">
        <v>15370</v>
      </c>
      <c r="VLI3" t="s">
        <v>15371</v>
      </c>
      <c r="VLJ3" t="s">
        <v>15372</v>
      </c>
      <c r="VLK3" t="s">
        <v>15373</v>
      </c>
      <c r="VLL3" t="s">
        <v>15374</v>
      </c>
      <c r="VLM3" t="s">
        <v>15375</v>
      </c>
      <c r="VLN3" t="s">
        <v>15376</v>
      </c>
      <c r="VLO3" t="s">
        <v>15377</v>
      </c>
      <c r="VLP3" t="s">
        <v>15378</v>
      </c>
      <c r="VLQ3" t="s">
        <v>15379</v>
      </c>
      <c r="VLR3" t="s">
        <v>15380</v>
      </c>
      <c r="VLS3" t="s">
        <v>15381</v>
      </c>
      <c r="VLT3" t="s">
        <v>15382</v>
      </c>
      <c r="VLU3" t="s">
        <v>15383</v>
      </c>
      <c r="VLV3" t="s">
        <v>15384</v>
      </c>
      <c r="VLW3" t="s">
        <v>15385</v>
      </c>
      <c r="VLX3" t="s">
        <v>15386</v>
      </c>
      <c r="VLY3" t="s">
        <v>15387</v>
      </c>
      <c r="VLZ3" t="s">
        <v>15388</v>
      </c>
      <c r="VMA3" t="s">
        <v>15389</v>
      </c>
      <c r="VMB3" t="s">
        <v>15390</v>
      </c>
      <c r="VMC3" t="s">
        <v>15391</v>
      </c>
      <c r="VMD3" t="s">
        <v>15392</v>
      </c>
      <c r="VME3" t="s">
        <v>15393</v>
      </c>
      <c r="VMF3" t="s">
        <v>15394</v>
      </c>
      <c r="VMG3" t="s">
        <v>15395</v>
      </c>
      <c r="VMH3" t="s">
        <v>15396</v>
      </c>
      <c r="VMI3" t="s">
        <v>15397</v>
      </c>
      <c r="VMJ3" t="s">
        <v>15398</v>
      </c>
      <c r="VMK3" t="s">
        <v>15399</v>
      </c>
      <c r="VML3" t="s">
        <v>15400</v>
      </c>
      <c r="VMM3" t="s">
        <v>15401</v>
      </c>
      <c r="VMN3" t="s">
        <v>15402</v>
      </c>
      <c r="VMO3" t="s">
        <v>15403</v>
      </c>
      <c r="VMP3" t="s">
        <v>15404</v>
      </c>
      <c r="VMQ3" t="s">
        <v>15405</v>
      </c>
      <c r="VMR3" t="s">
        <v>15406</v>
      </c>
      <c r="VMS3" t="s">
        <v>15407</v>
      </c>
      <c r="VMT3" t="s">
        <v>15408</v>
      </c>
      <c r="VMU3" t="s">
        <v>15409</v>
      </c>
      <c r="VMV3" t="s">
        <v>15410</v>
      </c>
      <c r="VMW3" t="s">
        <v>15411</v>
      </c>
      <c r="VMX3" t="s">
        <v>15412</v>
      </c>
      <c r="VMY3" t="s">
        <v>15413</v>
      </c>
      <c r="VMZ3" t="s">
        <v>15414</v>
      </c>
      <c r="VNA3" t="s">
        <v>15415</v>
      </c>
      <c r="VNB3" t="s">
        <v>15416</v>
      </c>
      <c r="VNC3" t="s">
        <v>15417</v>
      </c>
      <c r="VND3" t="s">
        <v>15418</v>
      </c>
      <c r="VNE3" t="s">
        <v>15419</v>
      </c>
      <c r="VNF3" t="s">
        <v>15420</v>
      </c>
      <c r="VNG3" t="s">
        <v>15421</v>
      </c>
      <c r="VNH3" t="s">
        <v>15422</v>
      </c>
      <c r="VNI3" t="s">
        <v>15423</v>
      </c>
      <c r="VNJ3" t="s">
        <v>15424</v>
      </c>
      <c r="VNK3" t="s">
        <v>15425</v>
      </c>
      <c r="VNL3" t="s">
        <v>15426</v>
      </c>
      <c r="VNM3" t="s">
        <v>15427</v>
      </c>
      <c r="VNN3" t="s">
        <v>15428</v>
      </c>
      <c r="VNO3" t="s">
        <v>15429</v>
      </c>
      <c r="VNP3" t="s">
        <v>15430</v>
      </c>
      <c r="VNQ3" t="s">
        <v>15431</v>
      </c>
      <c r="VNR3" t="s">
        <v>15432</v>
      </c>
      <c r="VNS3" t="s">
        <v>15433</v>
      </c>
      <c r="VNT3" t="s">
        <v>15434</v>
      </c>
      <c r="VNU3" t="s">
        <v>15435</v>
      </c>
      <c r="VNV3" t="s">
        <v>15436</v>
      </c>
      <c r="VNW3" t="s">
        <v>15437</v>
      </c>
      <c r="VNX3" t="s">
        <v>15438</v>
      </c>
      <c r="VNY3" t="s">
        <v>15439</v>
      </c>
      <c r="VNZ3" t="s">
        <v>15440</v>
      </c>
      <c r="VOA3" t="s">
        <v>15441</v>
      </c>
      <c r="VOB3" t="s">
        <v>15442</v>
      </c>
      <c r="VOC3" t="s">
        <v>15443</v>
      </c>
      <c r="VOD3" t="s">
        <v>15444</v>
      </c>
      <c r="VOE3" t="s">
        <v>15445</v>
      </c>
      <c r="VOF3" t="s">
        <v>15446</v>
      </c>
      <c r="VOG3" t="s">
        <v>15447</v>
      </c>
      <c r="VOH3" t="s">
        <v>15448</v>
      </c>
      <c r="VOI3" t="s">
        <v>15449</v>
      </c>
      <c r="VOJ3" t="s">
        <v>15450</v>
      </c>
      <c r="VOK3" t="s">
        <v>15451</v>
      </c>
      <c r="VOL3" t="s">
        <v>15452</v>
      </c>
      <c r="VOM3" t="s">
        <v>15453</v>
      </c>
      <c r="VON3" t="s">
        <v>15454</v>
      </c>
      <c r="VOO3" t="s">
        <v>15455</v>
      </c>
      <c r="VOP3" t="s">
        <v>15456</v>
      </c>
      <c r="VOQ3" t="s">
        <v>15457</v>
      </c>
      <c r="VOR3" t="s">
        <v>15458</v>
      </c>
      <c r="VOS3" t="s">
        <v>15459</v>
      </c>
      <c r="VOT3" t="s">
        <v>15460</v>
      </c>
      <c r="VOU3" t="s">
        <v>15461</v>
      </c>
      <c r="VOV3" t="s">
        <v>15462</v>
      </c>
      <c r="VOW3" t="s">
        <v>15463</v>
      </c>
      <c r="VOX3" t="s">
        <v>15464</v>
      </c>
      <c r="VOY3" t="s">
        <v>15465</v>
      </c>
      <c r="VOZ3" t="s">
        <v>15466</v>
      </c>
      <c r="VPA3" t="s">
        <v>15467</v>
      </c>
      <c r="VPB3" t="s">
        <v>15468</v>
      </c>
      <c r="VPC3" t="s">
        <v>15469</v>
      </c>
      <c r="VPD3" t="s">
        <v>15470</v>
      </c>
      <c r="VPE3" t="s">
        <v>15471</v>
      </c>
      <c r="VPF3" t="s">
        <v>15472</v>
      </c>
      <c r="VPG3" t="s">
        <v>15473</v>
      </c>
      <c r="VPH3" t="s">
        <v>15474</v>
      </c>
      <c r="VPI3" t="s">
        <v>15475</v>
      </c>
      <c r="VPJ3" t="s">
        <v>15476</v>
      </c>
      <c r="VPK3" t="s">
        <v>15477</v>
      </c>
      <c r="VPL3" t="s">
        <v>15478</v>
      </c>
      <c r="VPM3" t="s">
        <v>15479</v>
      </c>
      <c r="VPN3" t="s">
        <v>15480</v>
      </c>
      <c r="VPO3" t="s">
        <v>15481</v>
      </c>
      <c r="VPP3" t="s">
        <v>15482</v>
      </c>
      <c r="VPQ3" t="s">
        <v>15483</v>
      </c>
      <c r="VPR3" t="s">
        <v>15484</v>
      </c>
      <c r="VPS3" t="s">
        <v>15485</v>
      </c>
      <c r="VPT3" t="s">
        <v>15486</v>
      </c>
      <c r="VPU3" t="s">
        <v>15487</v>
      </c>
      <c r="VPV3" t="s">
        <v>15488</v>
      </c>
      <c r="VPW3" t="s">
        <v>15489</v>
      </c>
      <c r="VPX3" t="s">
        <v>15490</v>
      </c>
      <c r="VPY3" t="s">
        <v>15491</v>
      </c>
      <c r="VPZ3" t="s">
        <v>15492</v>
      </c>
      <c r="VQA3" t="s">
        <v>15493</v>
      </c>
      <c r="VQB3" t="s">
        <v>15494</v>
      </c>
      <c r="VQC3" t="s">
        <v>15495</v>
      </c>
      <c r="VQD3" t="s">
        <v>15496</v>
      </c>
      <c r="VQE3" t="s">
        <v>15497</v>
      </c>
      <c r="VQF3" t="s">
        <v>15498</v>
      </c>
      <c r="VQG3" t="s">
        <v>15499</v>
      </c>
      <c r="VQH3" t="s">
        <v>15500</v>
      </c>
      <c r="VQI3" t="s">
        <v>15501</v>
      </c>
      <c r="VQJ3" t="s">
        <v>15502</v>
      </c>
      <c r="VQK3" t="s">
        <v>15503</v>
      </c>
      <c r="VQL3" t="s">
        <v>15504</v>
      </c>
      <c r="VQM3" t="s">
        <v>15505</v>
      </c>
      <c r="VQN3" t="s">
        <v>15506</v>
      </c>
      <c r="VQO3" t="s">
        <v>15507</v>
      </c>
      <c r="VQP3" t="s">
        <v>15508</v>
      </c>
      <c r="VQQ3" t="s">
        <v>15509</v>
      </c>
      <c r="VQR3" t="s">
        <v>15510</v>
      </c>
      <c r="VQS3" t="s">
        <v>15511</v>
      </c>
      <c r="VQT3" t="s">
        <v>15512</v>
      </c>
      <c r="VQU3" t="s">
        <v>15513</v>
      </c>
      <c r="VQV3" t="s">
        <v>15514</v>
      </c>
      <c r="VQW3" t="s">
        <v>15515</v>
      </c>
      <c r="VQX3" t="s">
        <v>15516</v>
      </c>
      <c r="VQY3" t="s">
        <v>15517</v>
      </c>
      <c r="VQZ3" t="s">
        <v>15518</v>
      </c>
      <c r="VRA3" t="s">
        <v>15519</v>
      </c>
      <c r="VRB3" t="s">
        <v>15520</v>
      </c>
      <c r="VRC3" t="s">
        <v>15521</v>
      </c>
      <c r="VRD3" t="s">
        <v>15522</v>
      </c>
      <c r="VRE3" t="s">
        <v>15523</v>
      </c>
      <c r="VRF3" t="s">
        <v>15524</v>
      </c>
      <c r="VRG3" t="s">
        <v>15525</v>
      </c>
      <c r="VRH3" t="s">
        <v>15526</v>
      </c>
      <c r="VRI3" t="s">
        <v>15527</v>
      </c>
      <c r="VRJ3" t="s">
        <v>15528</v>
      </c>
      <c r="VRK3" t="s">
        <v>15529</v>
      </c>
      <c r="VRL3" t="s">
        <v>15530</v>
      </c>
      <c r="VRM3" t="s">
        <v>15531</v>
      </c>
      <c r="VRN3" t="s">
        <v>15532</v>
      </c>
      <c r="VRO3" t="s">
        <v>15533</v>
      </c>
      <c r="VRP3" t="s">
        <v>15534</v>
      </c>
      <c r="VRQ3" t="s">
        <v>15535</v>
      </c>
      <c r="VRR3" t="s">
        <v>15536</v>
      </c>
      <c r="VRS3" t="s">
        <v>15537</v>
      </c>
      <c r="VRT3" t="s">
        <v>15538</v>
      </c>
      <c r="VRU3" t="s">
        <v>15539</v>
      </c>
      <c r="VRV3" t="s">
        <v>15540</v>
      </c>
      <c r="VRW3" t="s">
        <v>15541</v>
      </c>
      <c r="VRX3" t="s">
        <v>15542</v>
      </c>
      <c r="VRY3" t="s">
        <v>15543</v>
      </c>
      <c r="VRZ3" t="s">
        <v>15544</v>
      </c>
      <c r="VSA3" t="s">
        <v>15545</v>
      </c>
      <c r="VSB3" t="s">
        <v>15546</v>
      </c>
      <c r="VSC3" t="s">
        <v>15547</v>
      </c>
      <c r="VSD3" t="s">
        <v>15548</v>
      </c>
      <c r="VSE3" t="s">
        <v>15549</v>
      </c>
      <c r="VSF3" t="s">
        <v>15550</v>
      </c>
      <c r="VSG3" t="s">
        <v>15551</v>
      </c>
      <c r="VSH3" t="s">
        <v>15552</v>
      </c>
      <c r="VSI3" t="s">
        <v>15553</v>
      </c>
      <c r="VSJ3" t="s">
        <v>15554</v>
      </c>
      <c r="VSK3" t="s">
        <v>15555</v>
      </c>
      <c r="VSL3" t="s">
        <v>15556</v>
      </c>
      <c r="VSM3" t="s">
        <v>15557</v>
      </c>
      <c r="VSN3" t="s">
        <v>15558</v>
      </c>
      <c r="VSO3" t="s">
        <v>15559</v>
      </c>
      <c r="VSP3" t="s">
        <v>15560</v>
      </c>
      <c r="VSQ3" t="s">
        <v>15561</v>
      </c>
      <c r="VSR3" t="s">
        <v>15562</v>
      </c>
      <c r="VSS3" t="s">
        <v>15563</v>
      </c>
      <c r="VST3" t="s">
        <v>15564</v>
      </c>
      <c r="VSU3" t="s">
        <v>15565</v>
      </c>
      <c r="VSV3" t="s">
        <v>15566</v>
      </c>
      <c r="VSW3" t="s">
        <v>15567</v>
      </c>
      <c r="VSX3" t="s">
        <v>15568</v>
      </c>
      <c r="VSY3" t="s">
        <v>15569</v>
      </c>
      <c r="VSZ3" t="s">
        <v>15570</v>
      </c>
      <c r="VTA3" t="s">
        <v>15571</v>
      </c>
      <c r="VTB3" t="s">
        <v>15572</v>
      </c>
      <c r="VTC3" t="s">
        <v>15573</v>
      </c>
      <c r="VTD3" t="s">
        <v>15574</v>
      </c>
      <c r="VTE3" t="s">
        <v>15575</v>
      </c>
      <c r="VTF3" t="s">
        <v>15576</v>
      </c>
      <c r="VTG3" t="s">
        <v>15577</v>
      </c>
      <c r="VTH3" t="s">
        <v>15578</v>
      </c>
      <c r="VTI3" t="s">
        <v>15579</v>
      </c>
      <c r="VTJ3" t="s">
        <v>15580</v>
      </c>
      <c r="VTK3" t="s">
        <v>15581</v>
      </c>
      <c r="VTL3" t="s">
        <v>15582</v>
      </c>
      <c r="VTM3" t="s">
        <v>15583</v>
      </c>
      <c r="VTN3" t="s">
        <v>15584</v>
      </c>
      <c r="VTO3" t="s">
        <v>15585</v>
      </c>
      <c r="VTP3" t="s">
        <v>15586</v>
      </c>
      <c r="VTQ3" t="s">
        <v>15587</v>
      </c>
      <c r="VTR3" t="s">
        <v>15588</v>
      </c>
      <c r="VTS3" t="s">
        <v>15589</v>
      </c>
      <c r="VTT3" t="s">
        <v>15590</v>
      </c>
      <c r="VTU3" t="s">
        <v>15591</v>
      </c>
      <c r="VTV3" t="s">
        <v>15592</v>
      </c>
      <c r="VTW3" t="s">
        <v>15593</v>
      </c>
      <c r="VTX3" t="s">
        <v>15594</v>
      </c>
      <c r="VTY3" t="s">
        <v>15595</v>
      </c>
      <c r="VTZ3" t="s">
        <v>15596</v>
      </c>
      <c r="VUA3" t="s">
        <v>15597</v>
      </c>
      <c r="VUB3" t="s">
        <v>15598</v>
      </c>
      <c r="VUC3" t="s">
        <v>15599</v>
      </c>
      <c r="VUD3" t="s">
        <v>15600</v>
      </c>
      <c r="VUE3" t="s">
        <v>15601</v>
      </c>
      <c r="VUF3" t="s">
        <v>15602</v>
      </c>
      <c r="VUG3" t="s">
        <v>15603</v>
      </c>
      <c r="VUH3" t="s">
        <v>15604</v>
      </c>
      <c r="VUI3" t="s">
        <v>15605</v>
      </c>
      <c r="VUJ3" t="s">
        <v>15606</v>
      </c>
      <c r="VUK3" t="s">
        <v>15607</v>
      </c>
      <c r="VUL3" t="s">
        <v>15608</v>
      </c>
      <c r="VUM3" t="s">
        <v>15609</v>
      </c>
      <c r="VUN3" t="s">
        <v>15610</v>
      </c>
      <c r="VUO3" t="s">
        <v>15611</v>
      </c>
      <c r="VUP3" t="s">
        <v>15612</v>
      </c>
      <c r="VUQ3" t="s">
        <v>15613</v>
      </c>
      <c r="VUR3" t="s">
        <v>15614</v>
      </c>
      <c r="VUS3" t="s">
        <v>15615</v>
      </c>
      <c r="VUT3" t="s">
        <v>15616</v>
      </c>
      <c r="VUU3" t="s">
        <v>15617</v>
      </c>
      <c r="VUV3" t="s">
        <v>15618</v>
      </c>
      <c r="VUW3" t="s">
        <v>15619</v>
      </c>
      <c r="VUX3" t="s">
        <v>15620</v>
      </c>
      <c r="VUY3" t="s">
        <v>15621</v>
      </c>
      <c r="VUZ3" t="s">
        <v>15622</v>
      </c>
      <c r="VVA3" t="s">
        <v>15623</v>
      </c>
      <c r="VVB3" t="s">
        <v>15624</v>
      </c>
      <c r="VVC3" t="s">
        <v>15625</v>
      </c>
      <c r="VVD3" t="s">
        <v>15626</v>
      </c>
      <c r="VVE3" t="s">
        <v>15627</v>
      </c>
      <c r="VVF3" t="s">
        <v>15628</v>
      </c>
      <c r="VVG3" t="s">
        <v>15629</v>
      </c>
      <c r="VVH3" t="s">
        <v>15630</v>
      </c>
      <c r="VVI3" t="s">
        <v>15631</v>
      </c>
      <c r="VVJ3" t="s">
        <v>15632</v>
      </c>
      <c r="VVK3" t="s">
        <v>15633</v>
      </c>
      <c r="VVL3" t="s">
        <v>15634</v>
      </c>
      <c r="VVM3" t="s">
        <v>15635</v>
      </c>
      <c r="VVN3" t="s">
        <v>15636</v>
      </c>
      <c r="VVO3" t="s">
        <v>15637</v>
      </c>
      <c r="VVP3" t="s">
        <v>15638</v>
      </c>
      <c r="VVQ3" t="s">
        <v>15639</v>
      </c>
      <c r="VVR3" t="s">
        <v>15640</v>
      </c>
      <c r="VVS3" t="s">
        <v>15641</v>
      </c>
      <c r="VVT3" t="s">
        <v>15642</v>
      </c>
      <c r="VVU3" t="s">
        <v>15643</v>
      </c>
      <c r="VVV3" t="s">
        <v>15644</v>
      </c>
      <c r="VVW3" t="s">
        <v>15645</v>
      </c>
      <c r="VVX3" t="s">
        <v>15646</v>
      </c>
      <c r="VVY3" t="s">
        <v>15647</v>
      </c>
      <c r="VVZ3" t="s">
        <v>15648</v>
      </c>
      <c r="VWA3" t="s">
        <v>15649</v>
      </c>
      <c r="VWB3" t="s">
        <v>15650</v>
      </c>
      <c r="VWC3" t="s">
        <v>15651</v>
      </c>
      <c r="VWD3" t="s">
        <v>15652</v>
      </c>
      <c r="VWE3" t="s">
        <v>15653</v>
      </c>
      <c r="VWF3" t="s">
        <v>15654</v>
      </c>
      <c r="VWG3" t="s">
        <v>15655</v>
      </c>
      <c r="VWH3" t="s">
        <v>15656</v>
      </c>
      <c r="VWI3" t="s">
        <v>15657</v>
      </c>
      <c r="VWJ3" t="s">
        <v>15658</v>
      </c>
      <c r="VWK3" t="s">
        <v>15659</v>
      </c>
      <c r="VWL3" t="s">
        <v>15660</v>
      </c>
      <c r="VWM3" t="s">
        <v>15661</v>
      </c>
      <c r="VWN3" t="s">
        <v>15662</v>
      </c>
      <c r="VWO3" t="s">
        <v>15663</v>
      </c>
      <c r="VWP3" t="s">
        <v>15664</v>
      </c>
      <c r="VWQ3" t="s">
        <v>15665</v>
      </c>
      <c r="VWR3" t="s">
        <v>15666</v>
      </c>
      <c r="VWS3" t="s">
        <v>15667</v>
      </c>
      <c r="VWT3" t="s">
        <v>15668</v>
      </c>
      <c r="VWU3" t="s">
        <v>15669</v>
      </c>
      <c r="VWV3" t="s">
        <v>15670</v>
      </c>
      <c r="VWW3" t="s">
        <v>15671</v>
      </c>
      <c r="VWX3" t="s">
        <v>15672</v>
      </c>
      <c r="VWY3" t="s">
        <v>15673</v>
      </c>
      <c r="VWZ3" t="s">
        <v>15674</v>
      </c>
      <c r="VXA3" t="s">
        <v>15675</v>
      </c>
      <c r="VXB3" t="s">
        <v>15676</v>
      </c>
      <c r="VXC3" t="s">
        <v>15677</v>
      </c>
      <c r="VXD3" t="s">
        <v>15678</v>
      </c>
      <c r="VXE3" t="s">
        <v>15679</v>
      </c>
      <c r="VXF3" t="s">
        <v>15680</v>
      </c>
      <c r="VXG3" t="s">
        <v>15681</v>
      </c>
      <c r="VXH3" t="s">
        <v>15682</v>
      </c>
      <c r="VXI3" t="s">
        <v>15683</v>
      </c>
      <c r="VXJ3" t="s">
        <v>15684</v>
      </c>
      <c r="VXK3" t="s">
        <v>15685</v>
      </c>
      <c r="VXL3" t="s">
        <v>15686</v>
      </c>
      <c r="VXM3" t="s">
        <v>15687</v>
      </c>
      <c r="VXN3" t="s">
        <v>15688</v>
      </c>
      <c r="VXO3" t="s">
        <v>15689</v>
      </c>
      <c r="VXP3" t="s">
        <v>15690</v>
      </c>
      <c r="VXQ3" t="s">
        <v>15691</v>
      </c>
      <c r="VXR3" t="s">
        <v>15692</v>
      </c>
      <c r="VXS3" t="s">
        <v>15693</v>
      </c>
      <c r="VXT3" t="s">
        <v>15694</v>
      </c>
      <c r="VXU3" t="s">
        <v>15695</v>
      </c>
      <c r="VXV3" t="s">
        <v>15696</v>
      </c>
      <c r="VXW3" t="s">
        <v>15697</v>
      </c>
      <c r="VXX3" t="s">
        <v>15698</v>
      </c>
      <c r="VXY3" t="s">
        <v>15699</v>
      </c>
      <c r="VXZ3" t="s">
        <v>15700</v>
      </c>
      <c r="VYA3" t="s">
        <v>15701</v>
      </c>
      <c r="VYB3" t="s">
        <v>15702</v>
      </c>
      <c r="VYC3" t="s">
        <v>15703</v>
      </c>
      <c r="VYD3" t="s">
        <v>15704</v>
      </c>
      <c r="VYE3" t="s">
        <v>15705</v>
      </c>
      <c r="VYF3" t="s">
        <v>15706</v>
      </c>
      <c r="VYG3" t="s">
        <v>15707</v>
      </c>
      <c r="VYH3" t="s">
        <v>15708</v>
      </c>
      <c r="VYI3" t="s">
        <v>15709</v>
      </c>
      <c r="VYJ3" t="s">
        <v>15710</v>
      </c>
      <c r="VYK3" t="s">
        <v>15711</v>
      </c>
      <c r="VYL3" t="s">
        <v>15712</v>
      </c>
      <c r="VYM3" t="s">
        <v>15713</v>
      </c>
      <c r="VYN3" t="s">
        <v>15714</v>
      </c>
      <c r="VYO3" t="s">
        <v>15715</v>
      </c>
      <c r="VYP3" t="s">
        <v>15716</v>
      </c>
      <c r="VYQ3" t="s">
        <v>15717</v>
      </c>
      <c r="VYR3" t="s">
        <v>15718</v>
      </c>
      <c r="VYS3" t="s">
        <v>15719</v>
      </c>
      <c r="VYT3" t="s">
        <v>15720</v>
      </c>
      <c r="VYU3" t="s">
        <v>15721</v>
      </c>
      <c r="VYV3" t="s">
        <v>15722</v>
      </c>
      <c r="VYW3" t="s">
        <v>15723</v>
      </c>
      <c r="VYX3" t="s">
        <v>15724</v>
      </c>
      <c r="VYY3" t="s">
        <v>15725</v>
      </c>
      <c r="VYZ3" t="s">
        <v>15726</v>
      </c>
      <c r="VZA3" t="s">
        <v>15727</v>
      </c>
      <c r="VZB3" t="s">
        <v>15728</v>
      </c>
      <c r="VZC3" t="s">
        <v>15729</v>
      </c>
      <c r="VZD3" t="s">
        <v>15730</v>
      </c>
      <c r="VZE3" t="s">
        <v>15731</v>
      </c>
      <c r="VZF3" t="s">
        <v>15732</v>
      </c>
      <c r="VZG3" t="s">
        <v>15733</v>
      </c>
      <c r="VZH3" t="s">
        <v>15734</v>
      </c>
      <c r="VZI3" t="s">
        <v>15735</v>
      </c>
      <c r="VZJ3" t="s">
        <v>15736</v>
      </c>
      <c r="VZK3" t="s">
        <v>15737</v>
      </c>
      <c r="VZL3" t="s">
        <v>15738</v>
      </c>
      <c r="VZM3" t="s">
        <v>15739</v>
      </c>
      <c r="VZN3" t="s">
        <v>15740</v>
      </c>
      <c r="VZO3" t="s">
        <v>15741</v>
      </c>
      <c r="VZP3" t="s">
        <v>15742</v>
      </c>
      <c r="VZQ3" t="s">
        <v>15743</v>
      </c>
      <c r="VZR3" t="s">
        <v>15744</v>
      </c>
      <c r="VZS3" t="s">
        <v>15745</v>
      </c>
      <c r="VZT3" t="s">
        <v>15746</v>
      </c>
      <c r="VZU3" t="s">
        <v>15747</v>
      </c>
      <c r="VZV3" t="s">
        <v>15748</v>
      </c>
      <c r="VZW3" t="s">
        <v>15749</v>
      </c>
      <c r="VZX3" t="s">
        <v>15750</v>
      </c>
      <c r="VZY3" t="s">
        <v>15751</v>
      </c>
      <c r="VZZ3" t="s">
        <v>15752</v>
      </c>
      <c r="WAA3" t="s">
        <v>15753</v>
      </c>
      <c r="WAB3" t="s">
        <v>15754</v>
      </c>
      <c r="WAC3" t="s">
        <v>15755</v>
      </c>
      <c r="WAD3" t="s">
        <v>15756</v>
      </c>
      <c r="WAE3" t="s">
        <v>15757</v>
      </c>
      <c r="WAF3" t="s">
        <v>15758</v>
      </c>
      <c r="WAG3" t="s">
        <v>15759</v>
      </c>
      <c r="WAH3" t="s">
        <v>15760</v>
      </c>
      <c r="WAI3" t="s">
        <v>15761</v>
      </c>
      <c r="WAJ3" t="s">
        <v>15762</v>
      </c>
      <c r="WAK3" t="s">
        <v>15763</v>
      </c>
      <c r="WAL3" t="s">
        <v>15764</v>
      </c>
      <c r="WAM3" t="s">
        <v>15765</v>
      </c>
      <c r="WAN3" t="s">
        <v>15766</v>
      </c>
      <c r="WAO3" t="s">
        <v>15767</v>
      </c>
      <c r="WAP3" t="s">
        <v>15768</v>
      </c>
      <c r="WAQ3" t="s">
        <v>15769</v>
      </c>
      <c r="WAR3" t="s">
        <v>15770</v>
      </c>
      <c r="WAS3" t="s">
        <v>15771</v>
      </c>
      <c r="WAT3" t="s">
        <v>15772</v>
      </c>
      <c r="WAU3" t="s">
        <v>15773</v>
      </c>
      <c r="WAV3" t="s">
        <v>15774</v>
      </c>
      <c r="WAW3" t="s">
        <v>15775</v>
      </c>
      <c r="WAX3" t="s">
        <v>15776</v>
      </c>
      <c r="WAY3" t="s">
        <v>15777</v>
      </c>
      <c r="WAZ3" t="s">
        <v>15778</v>
      </c>
      <c r="WBA3" t="s">
        <v>15779</v>
      </c>
      <c r="WBB3" t="s">
        <v>15780</v>
      </c>
      <c r="WBC3" t="s">
        <v>15781</v>
      </c>
      <c r="WBD3" t="s">
        <v>15782</v>
      </c>
      <c r="WBE3" t="s">
        <v>15783</v>
      </c>
      <c r="WBF3" t="s">
        <v>15784</v>
      </c>
      <c r="WBG3" t="s">
        <v>15785</v>
      </c>
      <c r="WBH3" t="s">
        <v>15786</v>
      </c>
      <c r="WBI3" t="s">
        <v>15787</v>
      </c>
      <c r="WBJ3" t="s">
        <v>15788</v>
      </c>
      <c r="WBK3" t="s">
        <v>15789</v>
      </c>
      <c r="WBL3" t="s">
        <v>15790</v>
      </c>
      <c r="WBM3" t="s">
        <v>15791</v>
      </c>
      <c r="WBN3" t="s">
        <v>15792</v>
      </c>
      <c r="WBO3" t="s">
        <v>15793</v>
      </c>
      <c r="WBP3" t="s">
        <v>15794</v>
      </c>
      <c r="WBQ3" t="s">
        <v>15795</v>
      </c>
      <c r="WBR3" t="s">
        <v>15796</v>
      </c>
      <c r="WBS3" t="s">
        <v>15797</v>
      </c>
      <c r="WBT3" t="s">
        <v>15798</v>
      </c>
      <c r="WBU3" t="s">
        <v>15799</v>
      </c>
      <c r="WBV3" t="s">
        <v>15800</v>
      </c>
      <c r="WBW3" t="s">
        <v>15801</v>
      </c>
      <c r="WBX3" t="s">
        <v>15802</v>
      </c>
      <c r="WBY3" t="s">
        <v>15803</v>
      </c>
      <c r="WBZ3" t="s">
        <v>15804</v>
      </c>
      <c r="WCA3" t="s">
        <v>15805</v>
      </c>
      <c r="WCB3" t="s">
        <v>15806</v>
      </c>
      <c r="WCC3" t="s">
        <v>15807</v>
      </c>
      <c r="WCD3" t="s">
        <v>15808</v>
      </c>
      <c r="WCE3" t="s">
        <v>15809</v>
      </c>
      <c r="WCF3" t="s">
        <v>15810</v>
      </c>
      <c r="WCG3" t="s">
        <v>15811</v>
      </c>
      <c r="WCH3" t="s">
        <v>15812</v>
      </c>
      <c r="WCI3" t="s">
        <v>15813</v>
      </c>
      <c r="WCJ3" t="s">
        <v>15814</v>
      </c>
      <c r="WCK3" t="s">
        <v>15815</v>
      </c>
      <c r="WCL3" t="s">
        <v>15816</v>
      </c>
      <c r="WCM3" t="s">
        <v>15817</v>
      </c>
      <c r="WCN3" t="s">
        <v>15818</v>
      </c>
      <c r="WCO3" t="s">
        <v>15819</v>
      </c>
      <c r="WCP3" t="s">
        <v>15820</v>
      </c>
      <c r="WCQ3" t="s">
        <v>15821</v>
      </c>
      <c r="WCR3" t="s">
        <v>15822</v>
      </c>
      <c r="WCS3" t="s">
        <v>15823</v>
      </c>
      <c r="WCT3" t="s">
        <v>15824</v>
      </c>
      <c r="WCU3" t="s">
        <v>15825</v>
      </c>
      <c r="WCV3" t="s">
        <v>15826</v>
      </c>
      <c r="WCW3" t="s">
        <v>15827</v>
      </c>
      <c r="WCX3" t="s">
        <v>15828</v>
      </c>
      <c r="WCY3" t="s">
        <v>15829</v>
      </c>
      <c r="WCZ3" t="s">
        <v>15830</v>
      </c>
      <c r="WDA3" t="s">
        <v>15831</v>
      </c>
      <c r="WDB3" t="s">
        <v>15832</v>
      </c>
      <c r="WDC3" t="s">
        <v>15833</v>
      </c>
      <c r="WDD3" t="s">
        <v>15834</v>
      </c>
      <c r="WDE3" t="s">
        <v>15835</v>
      </c>
      <c r="WDF3" t="s">
        <v>15836</v>
      </c>
      <c r="WDG3" t="s">
        <v>15837</v>
      </c>
      <c r="WDH3" t="s">
        <v>15838</v>
      </c>
      <c r="WDI3" t="s">
        <v>15839</v>
      </c>
      <c r="WDJ3" t="s">
        <v>15840</v>
      </c>
      <c r="WDK3" t="s">
        <v>15841</v>
      </c>
      <c r="WDL3" t="s">
        <v>15842</v>
      </c>
      <c r="WDM3" t="s">
        <v>15843</v>
      </c>
      <c r="WDN3" t="s">
        <v>15844</v>
      </c>
      <c r="WDO3" t="s">
        <v>15845</v>
      </c>
      <c r="WDP3" t="s">
        <v>15846</v>
      </c>
      <c r="WDQ3" t="s">
        <v>15847</v>
      </c>
      <c r="WDR3" t="s">
        <v>15848</v>
      </c>
      <c r="WDS3" t="s">
        <v>15849</v>
      </c>
      <c r="WDT3" t="s">
        <v>15850</v>
      </c>
      <c r="WDU3" t="s">
        <v>15851</v>
      </c>
      <c r="WDV3" t="s">
        <v>15852</v>
      </c>
      <c r="WDW3" t="s">
        <v>15853</v>
      </c>
      <c r="WDX3" t="s">
        <v>15854</v>
      </c>
      <c r="WDY3" t="s">
        <v>15855</v>
      </c>
      <c r="WDZ3" t="s">
        <v>15856</v>
      </c>
      <c r="WEA3" t="s">
        <v>15857</v>
      </c>
      <c r="WEB3" t="s">
        <v>15858</v>
      </c>
      <c r="WEC3" t="s">
        <v>15859</v>
      </c>
      <c r="WED3" t="s">
        <v>15860</v>
      </c>
      <c r="WEE3" t="s">
        <v>15861</v>
      </c>
      <c r="WEF3" t="s">
        <v>15862</v>
      </c>
      <c r="WEG3" t="s">
        <v>15863</v>
      </c>
      <c r="WEH3" t="s">
        <v>15864</v>
      </c>
      <c r="WEI3" t="s">
        <v>15865</v>
      </c>
      <c r="WEJ3" t="s">
        <v>15866</v>
      </c>
      <c r="WEK3" t="s">
        <v>15867</v>
      </c>
      <c r="WEL3" t="s">
        <v>15868</v>
      </c>
      <c r="WEM3" t="s">
        <v>15869</v>
      </c>
      <c r="WEN3" t="s">
        <v>15870</v>
      </c>
      <c r="WEO3" t="s">
        <v>15871</v>
      </c>
      <c r="WEP3" t="s">
        <v>15872</v>
      </c>
      <c r="WEQ3" t="s">
        <v>15873</v>
      </c>
      <c r="WER3" t="s">
        <v>15874</v>
      </c>
      <c r="WES3" t="s">
        <v>15875</v>
      </c>
      <c r="WET3" t="s">
        <v>15876</v>
      </c>
      <c r="WEU3" t="s">
        <v>15877</v>
      </c>
      <c r="WEV3" t="s">
        <v>15878</v>
      </c>
      <c r="WEW3" t="s">
        <v>15879</v>
      </c>
      <c r="WEX3" t="s">
        <v>15880</v>
      </c>
      <c r="WEY3" t="s">
        <v>15881</v>
      </c>
      <c r="WEZ3" t="s">
        <v>15882</v>
      </c>
      <c r="WFA3" t="s">
        <v>15883</v>
      </c>
      <c r="WFB3" t="s">
        <v>15884</v>
      </c>
      <c r="WFC3" t="s">
        <v>15885</v>
      </c>
      <c r="WFD3" t="s">
        <v>15886</v>
      </c>
      <c r="WFE3" t="s">
        <v>15887</v>
      </c>
      <c r="WFF3" t="s">
        <v>15888</v>
      </c>
      <c r="WFG3" t="s">
        <v>15889</v>
      </c>
      <c r="WFH3" t="s">
        <v>15890</v>
      </c>
      <c r="WFI3" t="s">
        <v>15891</v>
      </c>
      <c r="WFJ3" t="s">
        <v>15892</v>
      </c>
      <c r="WFK3" t="s">
        <v>15893</v>
      </c>
      <c r="WFL3" t="s">
        <v>15894</v>
      </c>
      <c r="WFM3" t="s">
        <v>15895</v>
      </c>
      <c r="WFN3" t="s">
        <v>15896</v>
      </c>
      <c r="WFO3" t="s">
        <v>15897</v>
      </c>
      <c r="WFP3" t="s">
        <v>15898</v>
      </c>
      <c r="WFQ3" t="s">
        <v>15899</v>
      </c>
      <c r="WFR3" t="s">
        <v>15900</v>
      </c>
      <c r="WFS3" t="s">
        <v>15901</v>
      </c>
      <c r="WFT3" t="s">
        <v>15902</v>
      </c>
      <c r="WFU3" t="s">
        <v>15903</v>
      </c>
      <c r="WFV3" t="s">
        <v>15904</v>
      </c>
      <c r="WFW3" t="s">
        <v>15905</v>
      </c>
      <c r="WFX3" t="s">
        <v>15906</v>
      </c>
      <c r="WFY3" t="s">
        <v>15907</v>
      </c>
      <c r="WFZ3" t="s">
        <v>15908</v>
      </c>
      <c r="WGA3" t="s">
        <v>15909</v>
      </c>
      <c r="WGB3" t="s">
        <v>15910</v>
      </c>
      <c r="WGC3" t="s">
        <v>15911</v>
      </c>
      <c r="WGD3" t="s">
        <v>15912</v>
      </c>
      <c r="WGE3" t="s">
        <v>15913</v>
      </c>
      <c r="WGF3" t="s">
        <v>15914</v>
      </c>
      <c r="WGG3" t="s">
        <v>15915</v>
      </c>
      <c r="WGH3" t="s">
        <v>15916</v>
      </c>
      <c r="WGI3" t="s">
        <v>15917</v>
      </c>
      <c r="WGJ3" t="s">
        <v>15918</v>
      </c>
      <c r="WGK3" t="s">
        <v>15919</v>
      </c>
      <c r="WGL3" t="s">
        <v>15920</v>
      </c>
      <c r="WGM3" t="s">
        <v>15921</v>
      </c>
      <c r="WGN3" t="s">
        <v>15922</v>
      </c>
      <c r="WGO3" t="s">
        <v>15923</v>
      </c>
      <c r="WGP3" t="s">
        <v>15924</v>
      </c>
      <c r="WGQ3" t="s">
        <v>15925</v>
      </c>
      <c r="WGR3" t="s">
        <v>15926</v>
      </c>
      <c r="WGS3" t="s">
        <v>15927</v>
      </c>
      <c r="WGT3" t="s">
        <v>15928</v>
      </c>
      <c r="WGU3" t="s">
        <v>15929</v>
      </c>
      <c r="WGV3" t="s">
        <v>15930</v>
      </c>
      <c r="WGW3" t="s">
        <v>15931</v>
      </c>
      <c r="WGX3" t="s">
        <v>15932</v>
      </c>
      <c r="WGY3" t="s">
        <v>15933</v>
      </c>
      <c r="WGZ3" t="s">
        <v>15934</v>
      </c>
      <c r="WHA3" t="s">
        <v>15935</v>
      </c>
      <c r="WHB3" t="s">
        <v>15936</v>
      </c>
      <c r="WHC3" t="s">
        <v>15937</v>
      </c>
      <c r="WHD3" t="s">
        <v>15938</v>
      </c>
      <c r="WHE3" t="s">
        <v>15939</v>
      </c>
      <c r="WHF3" t="s">
        <v>15940</v>
      </c>
      <c r="WHG3" t="s">
        <v>15941</v>
      </c>
      <c r="WHH3" t="s">
        <v>15942</v>
      </c>
      <c r="WHI3" t="s">
        <v>15943</v>
      </c>
      <c r="WHJ3" t="s">
        <v>15944</v>
      </c>
      <c r="WHK3" t="s">
        <v>15945</v>
      </c>
      <c r="WHL3" t="s">
        <v>15946</v>
      </c>
      <c r="WHM3" t="s">
        <v>15947</v>
      </c>
      <c r="WHN3" t="s">
        <v>15948</v>
      </c>
      <c r="WHO3" t="s">
        <v>15949</v>
      </c>
      <c r="WHP3" t="s">
        <v>15950</v>
      </c>
      <c r="WHQ3" t="s">
        <v>15951</v>
      </c>
      <c r="WHR3" t="s">
        <v>15952</v>
      </c>
      <c r="WHS3" t="s">
        <v>15953</v>
      </c>
      <c r="WHT3" t="s">
        <v>15954</v>
      </c>
      <c r="WHU3" t="s">
        <v>15955</v>
      </c>
      <c r="WHV3" t="s">
        <v>15956</v>
      </c>
      <c r="WHW3" t="s">
        <v>15957</v>
      </c>
      <c r="WHX3" t="s">
        <v>15958</v>
      </c>
      <c r="WHY3" t="s">
        <v>15959</v>
      </c>
      <c r="WHZ3" t="s">
        <v>15960</v>
      </c>
      <c r="WIA3" t="s">
        <v>15961</v>
      </c>
      <c r="WIB3" t="s">
        <v>15962</v>
      </c>
      <c r="WIC3" t="s">
        <v>15963</v>
      </c>
      <c r="WID3" t="s">
        <v>15964</v>
      </c>
      <c r="WIE3" t="s">
        <v>15965</v>
      </c>
      <c r="WIF3" t="s">
        <v>15966</v>
      </c>
      <c r="WIG3" t="s">
        <v>15967</v>
      </c>
      <c r="WIH3" t="s">
        <v>15968</v>
      </c>
      <c r="WII3" t="s">
        <v>15969</v>
      </c>
      <c r="WIJ3" t="s">
        <v>15970</v>
      </c>
      <c r="WIK3" t="s">
        <v>15971</v>
      </c>
      <c r="WIL3" t="s">
        <v>15972</v>
      </c>
      <c r="WIM3" t="s">
        <v>15973</v>
      </c>
      <c r="WIN3" t="s">
        <v>15974</v>
      </c>
      <c r="WIO3" t="s">
        <v>15975</v>
      </c>
      <c r="WIP3" t="s">
        <v>15976</v>
      </c>
      <c r="WIQ3" t="s">
        <v>15977</v>
      </c>
      <c r="WIR3" t="s">
        <v>15978</v>
      </c>
      <c r="WIS3" t="s">
        <v>15979</v>
      </c>
      <c r="WIT3" t="s">
        <v>15980</v>
      </c>
      <c r="WIU3" t="s">
        <v>15981</v>
      </c>
      <c r="WIV3" t="s">
        <v>15982</v>
      </c>
      <c r="WIW3" t="s">
        <v>15983</v>
      </c>
      <c r="WIX3" t="s">
        <v>15984</v>
      </c>
      <c r="WIY3" t="s">
        <v>15985</v>
      </c>
      <c r="WIZ3" t="s">
        <v>15986</v>
      </c>
      <c r="WJA3" t="s">
        <v>15987</v>
      </c>
      <c r="WJB3" t="s">
        <v>15988</v>
      </c>
      <c r="WJC3" t="s">
        <v>15989</v>
      </c>
      <c r="WJD3" t="s">
        <v>15990</v>
      </c>
      <c r="WJE3" t="s">
        <v>15991</v>
      </c>
      <c r="WJF3" t="s">
        <v>15992</v>
      </c>
      <c r="WJG3" t="s">
        <v>15993</v>
      </c>
      <c r="WJH3" t="s">
        <v>15994</v>
      </c>
      <c r="WJI3" t="s">
        <v>15995</v>
      </c>
      <c r="WJJ3" t="s">
        <v>15996</v>
      </c>
      <c r="WJK3" t="s">
        <v>15997</v>
      </c>
      <c r="WJL3" t="s">
        <v>15998</v>
      </c>
      <c r="WJM3" t="s">
        <v>15999</v>
      </c>
      <c r="WJN3" t="s">
        <v>16000</v>
      </c>
      <c r="WJO3" t="s">
        <v>16001</v>
      </c>
      <c r="WJP3" t="s">
        <v>16002</v>
      </c>
      <c r="WJQ3" t="s">
        <v>16003</v>
      </c>
      <c r="WJR3" t="s">
        <v>16004</v>
      </c>
      <c r="WJS3" t="s">
        <v>16005</v>
      </c>
      <c r="WJT3" t="s">
        <v>16006</v>
      </c>
      <c r="WJU3" t="s">
        <v>16007</v>
      </c>
      <c r="WJV3" t="s">
        <v>16008</v>
      </c>
      <c r="WJW3" t="s">
        <v>16009</v>
      </c>
      <c r="WJX3" t="s">
        <v>16010</v>
      </c>
      <c r="WJY3" t="s">
        <v>16011</v>
      </c>
      <c r="WJZ3" t="s">
        <v>16012</v>
      </c>
      <c r="WKA3" t="s">
        <v>16013</v>
      </c>
      <c r="WKB3" t="s">
        <v>16014</v>
      </c>
      <c r="WKC3" t="s">
        <v>16015</v>
      </c>
      <c r="WKD3" t="s">
        <v>16016</v>
      </c>
      <c r="WKE3" t="s">
        <v>16017</v>
      </c>
      <c r="WKF3" t="s">
        <v>16018</v>
      </c>
      <c r="WKG3" t="s">
        <v>16019</v>
      </c>
      <c r="WKH3" t="s">
        <v>16020</v>
      </c>
      <c r="WKI3" t="s">
        <v>16021</v>
      </c>
      <c r="WKJ3" t="s">
        <v>16022</v>
      </c>
      <c r="WKK3" t="s">
        <v>16023</v>
      </c>
      <c r="WKL3" t="s">
        <v>16024</v>
      </c>
      <c r="WKM3" t="s">
        <v>16025</v>
      </c>
      <c r="WKN3" t="s">
        <v>16026</v>
      </c>
      <c r="WKO3" t="s">
        <v>16027</v>
      </c>
      <c r="WKP3" t="s">
        <v>16028</v>
      </c>
      <c r="WKQ3" t="s">
        <v>16029</v>
      </c>
      <c r="WKR3" t="s">
        <v>16030</v>
      </c>
      <c r="WKS3" t="s">
        <v>16031</v>
      </c>
      <c r="WKT3" t="s">
        <v>16032</v>
      </c>
      <c r="WKU3" t="s">
        <v>16033</v>
      </c>
      <c r="WKV3" t="s">
        <v>16034</v>
      </c>
      <c r="WKW3" t="s">
        <v>16035</v>
      </c>
      <c r="WKX3" t="s">
        <v>16036</v>
      </c>
      <c r="WKY3" t="s">
        <v>16037</v>
      </c>
      <c r="WKZ3" t="s">
        <v>16038</v>
      </c>
      <c r="WLA3" t="s">
        <v>16039</v>
      </c>
      <c r="WLB3" t="s">
        <v>16040</v>
      </c>
      <c r="WLC3" t="s">
        <v>16041</v>
      </c>
      <c r="WLD3" t="s">
        <v>16042</v>
      </c>
      <c r="WLE3" t="s">
        <v>16043</v>
      </c>
      <c r="WLF3" t="s">
        <v>16044</v>
      </c>
      <c r="WLG3" t="s">
        <v>16045</v>
      </c>
      <c r="WLH3" t="s">
        <v>16046</v>
      </c>
      <c r="WLI3" t="s">
        <v>16047</v>
      </c>
      <c r="WLJ3" t="s">
        <v>16048</v>
      </c>
      <c r="WLK3" t="s">
        <v>16049</v>
      </c>
      <c r="WLL3" t="s">
        <v>16050</v>
      </c>
      <c r="WLM3" t="s">
        <v>16051</v>
      </c>
      <c r="WLN3" t="s">
        <v>16052</v>
      </c>
      <c r="WLO3" t="s">
        <v>16053</v>
      </c>
      <c r="WLP3" t="s">
        <v>16054</v>
      </c>
      <c r="WLQ3" t="s">
        <v>16055</v>
      </c>
      <c r="WLR3" t="s">
        <v>16056</v>
      </c>
      <c r="WLS3" t="s">
        <v>16057</v>
      </c>
      <c r="WLT3" t="s">
        <v>16058</v>
      </c>
      <c r="WLU3" t="s">
        <v>16059</v>
      </c>
      <c r="WLV3" t="s">
        <v>16060</v>
      </c>
      <c r="WLW3" t="s">
        <v>16061</v>
      </c>
      <c r="WLX3" t="s">
        <v>16062</v>
      </c>
      <c r="WLY3" t="s">
        <v>16063</v>
      </c>
      <c r="WLZ3" t="s">
        <v>16064</v>
      </c>
      <c r="WMA3" t="s">
        <v>16065</v>
      </c>
      <c r="WMB3" t="s">
        <v>16066</v>
      </c>
      <c r="WMC3" t="s">
        <v>16067</v>
      </c>
      <c r="WMD3" t="s">
        <v>16068</v>
      </c>
      <c r="WME3" t="s">
        <v>16069</v>
      </c>
      <c r="WMF3" t="s">
        <v>16070</v>
      </c>
      <c r="WMG3" t="s">
        <v>16071</v>
      </c>
      <c r="WMH3" t="s">
        <v>16072</v>
      </c>
      <c r="WMI3" t="s">
        <v>16073</v>
      </c>
      <c r="WMJ3" t="s">
        <v>16074</v>
      </c>
      <c r="WMK3" t="s">
        <v>16075</v>
      </c>
      <c r="WML3" t="s">
        <v>16076</v>
      </c>
      <c r="WMM3" t="s">
        <v>16077</v>
      </c>
      <c r="WMN3" t="s">
        <v>16078</v>
      </c>
      <c r="WMO3" t="s">
        <v>16079</v>
      </c>
      <c r="WMP3" t="s">
        <v>16080</v>
      </c>
      <c r="WMQ3" t="s">
        <v>16081</v>
      </c>
      <c r="WMR3" t="s">
        <v>16082</v>
      </c>
      <c r="WMS3" t="s">
        <v>16083</v>
      </c>
      <c r="WMT3" t="s">
        <v>16084</v>
      </c>
      <c r="WMU3" t="s">
        <v>16085</v>
      </c>
      <c r="WMV3" t="s">
        <v>16086</v>
      </c>
      <c r="WMW3" t="s">
        <v>16087</v>
      </c>
      <c r="WMX3" t="s">
        <v>16088</v>
      </c>
      <c r="WMY3" t="s">
        <v>16089</v>
      </c>
      <c r="WMZ3" t="s">
        <v>16090</v>
      </c>
      <c r="WNA3" t="s">
        <v>16091</v>
      </c>
      <c r="WNB3" t="s">
        <v>16092</v>
      </c>
      <c r="WNC3" t="s">
        <v>16093</v>
      </c>
      <c r="WND3" t="s">
        <v>16094</v>
      </c>
      <c r="WNE3" t="s">
        <v>16095</v>
      </c>
      <c r="WNF3" t="s">
        <v>16096</v>
      </c>
      <c r="WNG3" t="s">
        <v>16097</v>
      </c>
      <c r="WNH3" t="s">
        <v>16098</v>
      </c>
      <c r="WNI3" t="s">
        <v>16099</v>
      </c>
      <c r="WNJ3" t="s">
        <v>16100</v>
      </c>
      <c r="WNK3" t="s">
        <v>16101</v>
      </c>
      <c r="WNL3" t="s">
        <v>16102</v>
      </c>
      <c r="WNM3" t="s">
        <v>16103</v>
      </c>
      <c r="WNN3" t="s">
        <v>16104</v>
      </c>
      <c r="WNO3" t="s">
        <v>16105</v>
      </c>
      <c r="WNP3" t="s">
        <v>16106</v>
      </c>
      <c r="WNQ3" t="s">
        <v>16107</v>
      </c>
      <c r="WNR3" t="s">
        <v>16108</v>
      </c>
      <c r="WNS3" t="s">
        <v>16109</v>
      </c>
      <c r="WNT3" t="s">
        <v>16110</v>
      </c>
      <c r="WNU3" t="s">
        <v>16111</v>
      </c>
      <c r="WNV3" t="s">
        <v>16112</v>
      </c>
      <c r="WNW3" t="s">
        <v>16113</v>
      </c>
      <c r="WNX3" t="s">
        <v>16114</v>
      </c>
      <c r="WNY3" t="s">
        <v>16115</v>
      </c>
      <c r="WNZ3" t="s">
        <v>16116</v>
      </c>
      <c r="WOA3" t="s">
        <v>16117</v>
      </c>
      <c r="WOB3" t="s">
        <v>16118</v>
      </c>
      <c r="WOC3" t="s">
        <v>16119</v>
      </c>
      <c r="WOD3" t="s">
        <v>16120</v>
      </c>
      <c r="WOE3" t="s">
        <v>16121</v>
      </c>
      <c r="WOF3" t="s">
        <v>16122</v>
      </c>
      <c r="WOG3" t="s">
        <v>16123</v>
      </c>
      <c r="WOH3" t="s">
        <v>16124</v>
      </c>
      <c r="WOI3" t="s">
        <v>16125</v>
      </c>
      <c r="WOJ3" t="s">
        <v>16126</v>
      </c>
      <c r="WOK3" t="s">
        <v>16127</v>
      </c>
      <c r="WOL3" t="s">
        <v>16128</v>
      </c>
      <c r="WOM3" t="s">
        <v>16129</v>
      </c>
      <c r="WON3" t="s">
        <v>16130</v>
      </c>
      <c r="WOO3" t="s">
        <v>16131</v>
      </c>
      <c r="WOP3" t="s">
        <v>16132</v>
      </c>
      <c r="WOQ3" t="s">
        <v>16133</v>
      </c>
      <c r="WOR3" t="s">
        <v>16134</v>
      </c>
      <c r="WOS3" t="s">
        <v>16135</v>
      </c>
      <c r="WOT3" t="s">
        <v>16136</v>
      </c>
      <c r="WOU3" t="s">
        <v>16137</v>
      </c>
      <c r="WOV3" t="s">
        <v>16138</v>
      </c>
      <c r="WOW3" t="s">
        <v>16139</v>
      </c>
      <c r="WOX3" t="s">
        <v>16140</v>
      </c>
      <c r="WOY3" t="s">
        <v>16141</v>
      </c>
      <c r="WOZ3" t="s">
        <v>16142</v>
      </c>
      <c r="WPA3" t="s">
        <v>16143</v>
      </c>
      <c r="WPB3" t="s">
        <v>16144</v>
      </c>
      <c r="WPC3" t="s">
        <v>16145</v>
      </c>
      <c r="WPD3" t="s">
        <v>16146</v>
      </c>
      <c r="WPE3" t="s">
        <v>16147</v>
      </c>
      <c r="WPF3" t="s">
        <v>16148</v>
      </c>
      <c r="WPG3" t="s">
        <v>16149</v>
      </c>
      <c r="WPH3" t="s">
        <v>16150</v>
      </c>
      <c r="WPI3" t="s">
        <v>16151</v>
      </c>
      <c r="WPJ3" t="s">
        <v>16152</v>
      </c>
      <c r="WPK3" t="s">
        <v>16153</v>
      </c>
      <c r="WPL3" t="s">
        <v>16154</v>
      </c>
      <c r="WPM3" t="s">
        <v>16155</v>
      </c>
      <c r="WPN3" t="s">
        <v>16156</v>
      </c>
      <c r="WPO3" t="s">
        <v>16157</v>
      </c>
      <c r="WPP3" t="s">
        <v>16158</v>
      </c>
      <c r="WPQ3" t="s">
        <v>16159</v>
      </c>
      <c r="WPR3" t="s">
        <v>16160</v>
      </c>
      <c r="WPS3" t="s">
        <v>16161</v>
      </c>
      <c r="WPT3" t="s">
        <v>16162</v>
      </c>
      <c r="WPU3" t="s">
        <v>16163</v>
      </c>
      <c r="WPV3" t="s">
        <v>16164</v>
      </c>
      <c r="WPW3" t="s">
        <v>16165</v>
      </c>
      <c r="WPX3" t="s">
        <v>16166</v>
      </c>
      <c r="WPY3" t="s">
        <v>16167</v>
      </c>
      <c r="WPZ3" t="s">
        <v>16168</v>
      </c>
      <c r="WQA3" t="s">
        <v>16169</v>
      </c>
      <c r="WQB3" t="s">
        <v>16170</v>
      </c>
      <c r="WQC3" t="s">
        <v>16171</v>
      </c>
      <c r="WQD3" t="s">
        <v>16172</v>
      </c>
      <c r="WQE3" t="s">
        <v>16173</v>
      </c>
      <c r="WQF3" t="s">
        <v>16174</v>
      </c>
      <c r="WQG3" t="s">
        <v>16175</v>
      </c>
      <c r="WQH3" t="s">
        <v>16176</v>
      </c>
      <c r="WQI3" t="s">
        <v>16177</v>
      </c>
      <c r="WQJ3" t="s">
        <v>16178</v>
      </c>
      <c r="WQK3" t="s">
        <v>16179</v>
      </c>
      <c r="WQL3" t="s">
        <v>16180</v>
      </c>
      <c r="WQM3" t="s">
        <v>16181</v>
      </c>
      <c r="WQN3" t="s">
        <v>16182</v>
      </c>
      <c r="WQO3" t="s">
        <v>16183</v>
      </c>
      <c r="WQP3" t="s">
        <v>16184</v>
      </c>
      <c r="WQQ3" t="s">
        <v>16185</v>
      </c>
      <c r="WQR3" t="s">
        <v>16186</v>
      </c>
      <c r="WQS3" t="s">
        <v>16187</v>
      </c>
      <c r="WQT3" t="s">
        <v>16188</v>
      </c>
      <c r="WQU3" t="s">
        <v>16189</v>
      </c>
      <c r="WQV3" t="s">
        <v>16190</v>
      </c>
      <c r="WQW3" t="s">
        <v>16191</v>
      </c>
      <c r="WQX3" t="s">
        <v>16192</v>
      </c>
      <c r="WQY3" t="s">
        <v>16193</v>
      </c>
      <c r="WQZ3" t="s">
        <v>16194</v>
      </c>
      <c r="WRA3" t="s">
        <v>16195</v>
      </c>
      <c r="WRB3" t="s">
        <v>16196</v>
      </c>
      <c r="WRC3" t="s">
        <v>16197</v>
      </c>
      <c r="WRD3" t="s">
        <v>16198</v>
      </c>
      <c r="WRE3" t="s">
        <v>16199</v>
      </c>
      <c r="WRF3" t="s">
        <v>16200</v>
      </c>
      <c r="WRG3" t="s">
        <v>16201</v>
      </c>
      <c r="WRH3" t="s">
        <v>16202</v>
      </c>
      <c r="WRI3" t="s">
        <v>16203</v>
      </c>
      <c r="WRJ3" t="s">
        <v>16204</v>
      </c>
      <c r="WRK3" t="s">
        <v>16205</v>
      </c>
      <c r="WRL3" t="s">
        <v>16206</v>
      </c>
      <c r="WRM3" t="s">
        <v>16207</v>
      </c>
      <c r="WRN3" t="s">
        <v>16208</v>
      </c>
      <c r="WRO3" t="s">
        <v>16209</v>
      </c>
      <c r="WRP3" t="s">
        <v>16210</v>
      </c>
      <c r="WRQ3" t="s">
        <v>16211</v>
      </c>
      <c r="WRR3" t="s">
        <v>16212</v>
      </c>
      <c r="WRS3" t="s">
        <v>16213</v>
      </c>
      <c r="WRT3" t="s">
        <v>16214</v>
      </c>
      <c r="WRU3" t="s">
        <v>16215</v>
      </c>
      <c r="WRV3" t="s">
        <v>16216</v>
      </c>
      <c r="WRW3" t="s">
        <v>16217</v>
      </c>
      <c r="WRX3" t="s">
        <v>16218</v>
      </c>
      <c r="WRY3" t="s">
        <v>16219</v>
      </c>
      <c r="WRZ3" t="s">
        <v>16220</v>
      </c>
      <c r="WSA3" t="s">
        <v>16221</v>
      </c>
      <c r="WSB3" t="s">
        <v>16222</v>
      </c>
      <c r="WSC3" t="s">
        <v>16223</v>
      </c>
      <c r="WSD3" t="s">
        <v>16224</v>
      </c>
      <c r="WSE3" t="s">
        <v>16225</v>
      </c>
      <c r="WSF3" t="s">
        <v>16226</v>
      </c>
      <c r="WSG3" t="s">
        <v>16227</v>
      </c>
      <c r="WSH3" t="s">
        <v>16228</v>
      </c>
      <c r="WSI3" t="s">
        <v>16229</v>
      </c>
      <c r="WSJ3" t="s">
        <v>16230</v>
      </c>
      <c r="WSK3" t="s">
        <v>16231</v>
      </c>
      <c r="WSL3" t="s">
        <v>16232</v>
      </c>
      <c r="WSM3" t="s">
        <v>16233</v>
      </c>
      <c r="WSN3" t="s">
        <v>16234</v>
      </c>
      <c r="WSO3" t="s">
        <v>16235</v>
      </c>
      <c r="WSP3" t="s">
        <v>16236</v>
      </c>
      <c r="WSQ3" t="s">
        <v>16237</v>
      </c>
      <c r="WSR3" t="s">
        <v>16238</v>
      </c>
      <c r="WSS3" t="s">
        <v>16239</v>
      </c>
      <c r="WST3" t="s">
        <v>16240</v>
      </c>
      <c r="WSU3" t="s">
        <v>16241</v>
      </c>
      <c r="WSV3" t="s">
        <v>16242</v>
      </c>
      <c r="WSW3" t="s">
        <v>16243</v>
      </c>
      <c r="WSX3" t="s">
        <v>16244</v>
      </c>
      <c r="WSY3" t="s">
        <v>16245</v>
      </c>
      <c r="WSZ3" t="s">
        <v>16246</v>
      </c>
      <c r="WTA3" t="s">
        <v>16247</v>
      </c>
      <c r="WTB3" t="s">
        <v>16248</v>
      </c>
      <c r="WTC3" t="s">
        <v>16249</v>
      </c>
      <c r="WTD3" t="s">
        <v>16250</v>
      </c>
      <c r="WTE3" t="s">
        <v>16251</v>
      </c>
      <c r="WTF3" t="s">
        <v>16252</v>
      </c>
      <c r="WTG3" t="s">
        <v>16253</v>
      </c>
      <c r="WTH3" t="s">
        <v>16254</v>
      </c>
      <c r="WTI3" t="s">
        <v>16255</v>
      </c>
      <c r="WTJ3" t="s">
        <v>16256</v>
      </c>
      <c r="WTK3" t="s">
        <v>16257</v>
      </c>
      <c r="WTL3" t="s">
        <v>16258</v>
      </c>
      <c r="WTM3" t="s">
        <v>16259</v>
      </c>
      <c r="WTN3" t="s">
        <v>16260</v>
      </c>
      <c r="WTO3" t="s">
        <v>16261</v>
      </c>
      <c r="WTP3" t="s">
        <v>16262</v>
      </c>
      <c r="WTQ3" t="s">
        <v>16263</v>
      </c>
      <c r="WTR3" t="s">
        <v>16264</v>
      </c>
      <c r="WTS3" t="s">
        <v>16265</v>
      </c>
      <c r="WTT3" t="s">
        <v>16266</v>
      </c>
      <c r="WTU3" t="s">
        <v>16267</v>
      </c>
      <c r="WTV3" t="s">
        <v>16268</v>
      </c>
      <c r="WTW3" t="s">
        <v>16269</v>
      </c>
      <c r="WTX3" t="s">
        <v>16270</v>
      </c>
      <c r="WTY3" t="s">
        <v>16271</v>
      </c>
      <c r="WTZ3" t="s">
        <v>16272</v>
      </c>
      <c r="WUA3" t="s">
        <v>16273</v>
      </c>
      <c r="WUB3" t="s">
        <v>16274</v>
      </c>
      <c r="WUC3" t="s">
        <v>16275</v>
      </c>
      <c r="WUD3" t="s">
        <v>16276</v>
      </c>
      <c r="WUE3" t="s">
        <v>16277</v>
      </c>
      <c r="WUF3" t="s">
        <v>16278</v>
      </c>
      <c r="WUG3" t="s">
        <v>16279</v>
      </c>
      <c r="WUH3" t="s">
        <v>16280</v>
      </c>
      <c r="WUI3" t="s">
        <v>16281</v>
      </c>
      <c r="WUJ3" t="s">
        <v>16282</v>
      </c>
      <c r="WUK3" t="s">
        <v>16283</v>
      </c>
      <c r="WUL3" t="s">
        <v>16284</v>
      </c>
      <c r="WUM3" t="s">
        <v>16285</v>
      </c>
      <c r="WUN3" t="s">
        <v>16286</v>
      </c>
      <c r="WUO3" t="s">
        <v>16287</v>
      </c>
      <c r="WUP3" t="s">
        <v>16288</v>
      </c>
      <c r="WUQ3" t="s">
        <v>16289</v>
      </c>
      <c r="WUR3" t="s">
        <v>16290</v>
      </c>
      <c r="WUS3" t="s">
        <v>16291</v>
      </c>
      <c r="WUT3" t="s">
        <v>16292</v>
      </c>
      <c r="WUU3" t="s">
        <v>16293</v>
      </c>
      <c r="WUV3" t="s">
        <v>16294</v>
      </c>
      <c r="WUW3" t="s">
        <v>16295</v>
      </c>
      <c r="WUX3" t="s">
        <v>16296</v>
      </c>
      <c r="WUY3" t="s">
        <v>16297</v>
      </c>
      <c r="WUZ3" t="s">
        <v>16298</v>
      </c>
      <c r="WVA3" t="s">
        <v>16299</v>
      </c>
      <c r="WVB3" t="s">
        <v>16300</v>
      </c>
      <c r="WVC3" t="s">
        <v>16301</v>
      </c>
      <c r="WVD3" t="s">
        <v>16302</v>
      </c>
      <c r="WVE3" t="s">
        <v>16303</v>
      </c>
      <c r="WVF3" t="s">
        <v>16304</v>
      </c>
      <c r="WVG3" t="s">
        <v>16305</v>
      </c>
      <c r="WVH3" t="s">
        <v>16306</v>
      </c>
      <c r="WVI3" t="s">
        <v>16307</v>
      </c>
      <c r="WVJ3" t="s">
        <v>16308</v>
      </c>
      <c r="WVK3" t="s">
        <v>16309</v>
      </c>
      <c r="WVL3" t="s">
        <v>16310</v>
      </c>
      <c r="WVM3" t="s">
        <v>16311</v>
      </c>
      <c r="WVN3" t="s">
        <v>16312</v>
      </c>
      <c r="WVO3" t="s">
        <v>16313</v>
      </c>
      <c r="WVP3" t="s">
        <v>16314</v>
      </c>
      <c r="WVQ3" t="s">
        <v>16315</v>
      </c>
      <c r="WVR3" t="s">
        <v>16316</v>
      </c>
      <c r="WVS3" t="s">
        <v>16317</v>
      </c>
      <c r="WVT3" t="s">
        <v>16318</v>
      </c>
      <c r="WVU3" t="s">
        <v>16319</v>
      </c>
      <c r="WVV3" t="s">
        <v>16320</v>
      </c>
      <c r="WVW3" t="s">
        <v>16321</v>
      </c>
      <c r="WVX3" t="s">
        <v>16322</v>
      </c>
      <c r="WVY3" t="s">
        <v>16323</v>
      </c>
      <c r="WVZ3" t="s">
        <v>16324</v>
      </c>
      <c r="WWA3" t="s">
        <v>16325</v>
      </c>
      <c r="WWB3" t="s">
        <v>16326</v>
      </c>
      <c r="WWC3" t="s">
        <v>16327</v>
      </c>
      <c r="WWD3" t="s">
        <v>16328</v>
      </c>
      <c r="WWE3" t="s">
        <v>16329</v>
      </c>
      <c r="WWF3" t="s">
        <v>16330</v>
      </c>
      <c r="WWG3" t="s">
        <v>16331</v>
      </c>
      <c r="WWH3" t="s">
        <v>16332</v>
      </c>
      <c r="WWI3" t="s">
        <v>16333</v>
      </c>
      <c r="WWJ3" t="s">
        <v>16334</v>
      </c>
      <c r="WWK3" t="s">
        <v>16335</v>
      </c>
      <c r="WWL3" t="s">
        <v>16336</v>
      </c>
      <c r="WWM3" t="s">
        <v>16337</v>
      </c>
      <c r="WWN3" t="s">
        <v>16338</v>
      </c>
      <c r="WWO3" t="s">
        <v>16339</v>
      </c>
      <c r="WWP3" t="s">
        <v>16340</v>
      </c>
      <c r="WWQ3" t="s">
        <v>16341</v>
      </c>
      <c r="WWR3" t="s">
        <v>16342</v>
      </c>
      <c r="WWS3" t="s">
        <v>16343</v>
      </c>
      <c r="WWT3" t="s">
        <v>16344</v>
      </c>
      <c r="WWU3" t="s">
        <v>16345</v>
      </c>
      <c r="WWV3" t="s">
        <v>16346</v>
      </c>
      <c r="WWW3" t="s">
        <v>16347</v>
      </c>
      <c r="WWX3" t="s">
        <v>16348</v>
      </c>
      <c r="WWY3" t="s">
        <v>16349</v>
      </c>
      <c r="WWZ3" t="s">
        <v>16350</v>
      </c>
      <c r="WXA3" t="s">
        <v>16351</v>
      </c>
      <c r="WXB3" t="s">
        <v>16352</v>
      </c>
      <c r="WXC3" t="s">
        <v>16353</v>
      </c>
      <c r="WXD3" t="s">
        <v>16354</v>
      </c>
      <c r="WXE3" t="s">
        <v>16355</v>
      </c>
      <c r="WXF3" t="s">
        <v>16356</v>
      </c>
      <c r="WXG3" t="s">
        <v>16357</v>
      </c>
      <c r="WXH3" t="s">
        <v>16358</v>
      </c>
      <c r="WXI3" t="s">
        <v>16359</v>
      </c>
      <c r="WXJ3" t="s">
        <v>16360</v>
      </c>
      <c r="WXK3" t="s">
        <v>16361</v>
      </c>
      <c r="WXL3" t="s">
        <v>16362</v>
      </c>
      <c r="WXM3" t="s">
        <v>16363</v>
      </c>
      <c r="WXN3" t="s">
        <v>16364</v>
      </c>
      <c r="WXO3" t="s">
        <v>16365</v>
      </c>
      <c r="WXP3" t="s">
        <v>16366</v>
      </c>
      <c r="WXQ3" t="s">
        <v>16367</v>
      </c>
      <c r="WXR3" t="s">
        <v>16368</v>
      </c>
      <c r="WXS3" t="s">
        <v>16369</v>
      </c>
      <c r="WXT3" t="s">
        <v>16370</v>
      </c>
      <c r="WXU3" t="s">
        <v>16371</v>
      </c>
      <c r="WXV3" t="s">
        <v>16372</v>
      </c>
      <c r="WXW3" t="s">
        <v>16373</v>
      </c>
      <c r="WXX3" t="s">
        <v>16374</v>
      </c>
      <c r="WXY3" t="s">
        <v>16375</v>
      </c>
      <c r="WXZ3" t="s">
        <v>16376</v>
      </c>
      <c r="WYA3" t="s">
        <v>16377</v>
      </c>
      <c r="WYB3" t="s">
        <v>16378</v>
      </c>
      <c r="WYC3" t="s">
        <v>16379</v>
      </c>
      <c r="WYD3" t="s">
        <v>16380</v>
      </c>
      <c r="WYE3" t="s">
        <v>16381</v>
      </c>
      <c r="WYF3" t="s">
        <v>16382</v>
      </c>
      <c r="WYG3" t="s">
        <v>16383</v>
      </c>
      <c r="WYH3" t="s">
        <v>16384</v>
      </c>
      <c r="WYI3" t="s">
        <v>16385</v>
      </c>
      <c r="WYJ3" t="s">
        <v>16386</v>
      </c>
      <c r="WYK3" t="s">
        <v>16387</v>
      </c>
      <c r="WYL3" t="s">
        <v>16388</v>
      </c>
      <c r="WYM3" t="s">
        <v>16389</v>
      </c>
      <c r="WYN3" t="s">
        <v>16390</v>
      </c>
      <c r="WYO3" t="s">
        <v>16391</v>
      </c>
      <c r="WYP3" t="s">
        <v>16392</v>
      </c>
      <c r="WYQ3" t="s">
        <v>16393</v>
      </c>
      <c r="WYR3" t="s">
        <v>16394</v>
      </c>
      <c r="WYS3" t="s">
        <v>16395</v>
      </c>
      <c r="WYT3" t="s">
        <v>16396</v>
      </c>
      <c r="WYU3" t="s">
        <v>16397</v>
      </c>
      <c r="WYV3" t="s">
        <v>16398</v>
      </c>
      <c r="WYW3" t="s">
        <v>16399</v>
      </c>
      <c r="WYX3" t="s">
        <v>16400</v>
      </c>
      <c r="WYY3" t="s">
        <v>16401</v>
      </c>
      <c r="WYZ3" t="s">
        <v>16402</v>
      </c>
      <c r="WZA3" t="s">
        <v>16403</v>
      </c>
      <c r="WZB3" t="s">
        <v>16404</v>
      </c>
      <c r="WZC3" t="s">
        <v>16405</v>
      </c>
      <c r="WZD3" t="s">
        <v>16406</v>
      </c>
      <c r="WZE3" t="s">
        <v>16407</v>
      </c>
      <c r="WZF3" t="s">
        <v>16408</v>
      </c>
      <c r="WZG3" t="s">
        <v>16409</v>
      </c>
      <c r="WZH3" t="s">
        <v>16410</v>
      </c>
      <c r="WZI3" t="s">
        <v>16411</v>
      </c>
      <c r="WZJ3" t="s">
        <v>16412</v>
      </c>
      <c r="WZK3" t="s">
        <v>16413</v>
      </c>
      <c r="WZL3" t="s">
        <v>16414</v>
      </c>
      <c r="WZM3" t="s">
        <v>16415</v>
      </c>
      <c r="WZN3" t="s">
        <v>16416</v>
      </c>
      <c r="WZO3" t="s">
        <v>16417</v>
      </c>
      <c r="WZP3" t="s">
        <v>16418</v>
      </c>
      <c r="WZQ3" t="s">
        <v>16419</v>
      </c>
      <c r="WZR3" t="s">
        <v>16420</v>
      </c>
      <c r="WZS3" t="s">
        <v>16421</v>
      </c>
      <c r="WZT3" t="s">
        <v>16422</v>
      </c>
      <c r="WZU3" t="s">
        <v>16423</v>
      </c>
      <c r="WZV3" t="s">
        <v>16424</v>
      </c>
      <c r="WZW3" t="s">
        <v>16425</v>
      </c>
      <c r="WZX3" t="s">
        <v>16426</v>
      </c>
      <c r="WZY3" t="s">
        <v>16427</v>
      </c>
      <c r="WZZ3" t="s">
        <v>16428</v>
      </c>
      <c r="XAA3" t="s">
        <v>16429</v>
      </c>
      <c r="XAB3" t="s">
        <v>16430</v>
      </c>
      <c r="XAC3" t="s">
        <v>16431</v>
      </c>
      <c r="XAD3" t="s">
        <v>16432</v>
      </c>
      <c r="XAE3" t="s">
        <v>16433</v>
      </c>
      <c r="XAF3" t="s">
        <v>16434</v>
      </c>
      <c r="XAG3" t="s">
        <v>16435</v>
      </c>
      <c r="XAH3" t="s">
        <v>16436</v>
      </c>
      <c r="XAI3" t="s">
        <v>16437</v>
      </c>
      <c r="XAJ3" t="s">
        <v>16438</v>
      </c>
      <c r="XAK3" t="s">
        <v>16439</v>
      </c>
      <c r="XAL3" t="s">
        <v>16440</v>
      </c>
      <c r="XAM3" t="s">
        <v>16441</v>
      </c>
      <c r="XAN3" t="s">
        <v>16442</v>
      </c>
      <c r="XAO3" t="s">
        <v>16443</v>
      </c>
      <c r="XAP3" t="s">
        <v>16444</v>
      </c>
      <c r="XAQ3" t="s">
        <v>16445</v>
      </c>
      <c r="XAR3" t="s">
        <v>16446</v>
      </c>
      <c r="XAS3" t="s">
        <v>16447</v>
      </c>
      <c r="XAT3" t="s">
        <v>16448</v>
      </c>
      <c r="XAU3" t="s">
        <v>16449</v>
      </c>
      <c r="XAV3" t="s">
        <v>16450</v>
      </c>
      <c r="XAW3" t="s">
        <v>16451</v>
      </c>
      <c r="XAX3" t="s">
        <v>16452</v>
      </c>
      <c r="XAY3" t="s">
        <v>16453</v>
      </c>
      <c r="XAZ3" t="s">
        <v>16454</v>
      </c>
      <c r="XBA3" t="s">
        <v>16455</v>
      </c>
      <c r="XBB3" t="s">
        <v>16456</v>
      </c>
      <c r="XBC3" t="s">
        <v>16457</v>
      </c>
      <c r="XBD3" t="s">
        <v>16458</v>
      </c>
      <c r="XBE3" t="s">
        <v>16459</v>
      </c>
      <c r="XBF3" t="s">
        <v>16460</v>
      </c>
      <c r="XBG3" t="s">
        <v>16461</v>
      </c>
      <c r="XBH3" t="s">
        <v>16462</v>
      </c>
      <c r="XBI3" t="s">
        <v>16463</v>
      </c>
      <c r="XBJ3" t="s">
        <v>16464</v>
      </c>
      <c r="XBK3" t="s">
        <v>16465</v>
      </c>
      <c r="XBL3" t="s">
        <v>16466</v>
      </c>
      <c r="XBM3" t="s">
        <v>16467</v>
      </c>
      <c r="XBN3" t="s">
        <v>16468</v>
      </c>
      <c r="XBO3" t="s">
        <v>16469</v>
      </c>
      <c r="XBP3" t="s">
        <v>16470</v>
      </c>
      <c r="XBQ3" t="s">
        <v>16471</v>
      </c>
      <c r="XBR3" t="s">
        <v>16472</v>
      </c>
      <c r="XBS3" t="s">
        <v>16473</v>
      </c>
      <c r="XBT3" t="s">
        <v>16474</v>
      </c>
      <c r="XBU3" t="s">
        <v>16475</v>
      </c>
      <c r="XBV3" t="s">
        <v>16476</v>
      </c>
      <c r="XBW3" t="s">
        <v>16477</v>
      </c>
      <c r="XBX3" t="s">
        <v>16478</v>
      </c>
      <c r="XBY3" t="s">
        <v>16479</v>
      </c>
      <c r="XBZ3" t="s">
        <v>16480</v>
      </c>
      <c r="XCA3" t="s">
        <v>16481</v>
      </c>
      <c r="XCB3" t="s">
        <v>16482</v>
      </c>
      <c r="XCC3" t="s">
        <v>16483</v>
      </c>
      <c r="XCD3" t="s">
        <v>16484</v>
      </c>
      <c r="XCE3" t="s">
        <v>16485</v>
      </c>
      <c r="XCF3" t="s">
        <v>16486</v>
      </c>
      <c r="XCG3" t="s">
        <v>16487</v>
      </c>
      <c r="XCH3" t="s">
        <v>16488</v>
      </c>
      <c r="XCI3" t="s">
        <v>16489</v>
      </c>
      <c r="XCJ3" t="s">
        <v>16490</v>
      </c>
      <c r="XCK3" t="s">
        <v>16491</v>
      </c>
      <c r="XCL3" t="s">
        <v>16492</v>
      </c>
      <c r="XCM3" t="s">
        <v>16493</v>
      </c>
      <c r="XCN3" t="s">
        <v>16494</v>
      </c>
      <c r="XCO3" t="s">
        <v>16495</v>
      </c>
      <c r="XCP3" t="s">
        <v>16496</v>
      </c>
      <c r="XCQ3" t="s">
        <v>16497</v>
      </c>
      <c r="XCR3" t="s">
        <v>16498</v>
      </c>
      <c r="XCS3" t="s">
        <v>16499</v>
      </c>
      <c r="XCT3" t="s">
        <v>16500</v>
      </c>
      <c r="XCU3" t="s">
        <v>16501</v>
      </c>
      <c r="XCV3" t="s">
        <v>16502</v>
      </c>
      <c r="XCW3" t="s">
        <v>16503</v>
      </c>
      <c r="XCX3" t="s">
        <v>16504</v>
      </c>
      <c r="XCY3" t="s">
        <v>16505</v>
      </c>
      <c r="XCZ3" t="s">
        <v>16506</v>
      </c>
      <c r="XDA3" t="s">
        <v>16507</v>
      </c>
      <c r="XDB3" t="s">
        <v>16508</v>
      </c>
      <c r="XDC3" t="s">
        <v>16509</v>
      </c>
      <c r="XDD3" t="s">
        <v>16510</v>
      </c>
      <c r="XDE3" t="s">
        <v>16511</v>
      </c>
      <c r="XDF3" t="s">
        <v>16512</v>
      </c>
      <c r="XDG3" t="s">
        <v>16513</v>
      </c>
      <c r="XDH3" t="s">
        <v>16514</v>
      </c>
      <c r="XDI3" t="s">
        <v>16515</v>
      </c>
      <c r="XDJ3" t="s">
        <v>16516</v>
      </c>
      <c r="XDK3" t="s">
        <v>16517</v>
      </c>
      <c r="XDL3" t="s">
        <v>16518</v>
      </c>
      <c r="XDM3" t="s">
        <v>16519</v>
      </c>
      <c r="XDN3" t="s">
        <v>16520</v>
      </c>
      <c r="XDO3" t="s">
        <v>16521</v>
      </c>
      <c r="XDP3" t="s">
        <v>16522</v>
      </c>
      <c r="XDQ3" t="s">
        <v>16523</v>
      </c>
      <c r="XDR3" t="s">
        <v>16524</v>
      </c>
      <c r="XDS3" t="s">
        <v>16525</v>
      </c>
      <c r="XDT3" t="s">
        <v>16526</v>
      </c>
      <c r="XDU3" t="s">
        <v>16527</v>
      </c>
      <c r="XDV3" t="s">
        <v>16528</v>
      </c>
      <c r="XDW3" t="s">
        <v>16529</v>
      </c>
      <c r="XDX3" t="s">
        <v>16530</v>
      </c>
      <c r="XDY3" t="s">
        <v>16531</v>
      </c>
      <c r="XDZ3" t="s">
        <v>16532</v>
      </c>
      <c r="XEA3" t="s">
        <v>16533</v>
      </c>
      <c r="XEB3" t="s">
        <v>16534</v>
      </c>
      <c r="XEC3" t="s">
        <v>16535</v>
      </c>
      <c r="XED3" t="s">
        <v>16536</v>
      </c>
      <c r="XEE3" t="s">
        <v>16537</v>
      </c>
      <c r="XEF3" t="s">
        <v>16538</v>
      </c>
      <c r="XEG3" t="s">
        <v>16539</v>
      </c>
      <c r="XEH3" t="s">
        <v>16540</v>
      </c>
      <c r="XEI3" t="s">
        <v>16541</v>
      </c>
      <c r="XEJ3" t="s">
        <v>16542</v>
      </c>
      <c r="XEK3" t="s">
        <v>16543</v>
      </c>
      <c r="XEL3" t="s">
        <v>16544</v>
      </c>
      <c r="XEM3" t="s">
        <v>16545</v>
      </c>
      <c r="XEN3" t="s">
        <v>16546</v>
      </c>
      <c r="XEO3" t="s">
        <v>16547</v>
      </c>
      <c r="XEP3" t="s">
        <v>16548</v>
      </c>
      <c r="XEQ3" t="s">
        <v>16549</v>
      </c>
      <c r="XER3" t="s">
        <v>16550</v>
      </c>
      <c r="XES3" t="s">
        <v>16551</v>
      </c>
      <c r="XET3" t="s">
        <v>16552</v>
      </c>
      <c r="XEU3" t="s">
        <v>16553</v>
      </c>
      <c r="XEV3" t="s">
        <v>16554</v>
      </c>
      <c r="XEW3" t="s">
        <v>16555</v>
      </c>
      <c r="XEX3" t="s">
        <v>16556</v>
      </c>
      <c r="XEY3" t="s">
        <v>16557</v>
      </c>
      <c r="XEZ3" t="s">
        <v>16558</v>
      </c>
      <c r="XFA3" t="s">
        <v>16559</v>
      </c>
      <c r="XFB3" t="s">
        <v>16560</v>
      </c>
      <c r="XFC3" t="s">
        <v>16561</v>
      </c>
      <c r="XFD3" t="s">
        <v>16562</v>
      </c>
    </row>
    <row r="4" spans="1:16384" ht="30.75" customHeight="1" x14ac:dyDescent="0.2">
      <c r="A4" s="11" t="s">
        <v>0</v>
      </c>
      <c r="B4" s="11" t="s">
        <v>1</v>
      </c>
      <c r="C4" s="11" t="s">
        <v>2</v>
      </c>
      <c r="D4" s="11" t="s">
        <v>134</v>
      </c>
      <c r="E4" s="11" t="s">
        <v>135</v>
      </c>
      <c r="F4" s="11" t="s">
        <v>136</v>
      </c>
      <c r="G4" s="11" t="s">
        <v>137</v>
      </c>
      <c r="H4" s="12" t="s">
        <v>138</v>
      </c>
      <c r="I4" s="12" t="s">
        <v>139</v>
      </c>
      <c r="J4" s="12" t="s">
        <v>140</v>
      </c>
      <c r="K4" s="12" t="s">
        <v>141</v>
      </c>
      <c r="L4" s="12" t="s">
        <v>142</v>
      </c>
      <c r="M4" s="12" t="s">
        <v>143</v>
      </c>
      <c r="N4" s="12" t="s">
        <v>144</v>
      </c>
      <c r="O4" s="12" t="s">
        <v>145</v>
      </c>
      <c r="P4" s="28" t="s">
        <v>146</v>
      </c>
      <c r="Q4" s="28" t="s">
        <v>147</v>
      </c>
      <c r="R4" s="29">
        <v>46030</v>
      </c>
      <c r="S4" s="29">
        <v>46031</v>
      </c>
      <c r="T4" s="29">
        <v>46032</v>
      </c>
      <c r="U4" s="29">
        <v>46033</v>
      </c>
      <c r="V4" s="29">
        <v>46034</v>
      </c>
      <c r="W4" s="29">
        <v>46035</v>
      </c>
      <c r="X4" s="29">
        <v>46036</v>
      </c>
      <c r="Y4" s="29">
        <v>46037</v>
      </c>
      <c r="Z4" s="29">
        <v>46038</v>
      </c>
      <c r="AA4" s="29">
        <v>46039</v>
      </c>
      <c r="AB4" s="29">
        <v>46040</v>
      </c>
      <c r="AC4" s="29">
        <v>46041</v>
      </c>
      <c r="AD4" s="29">
        <v>46042</v>
      </c>
      <c r="AE4" s="29">
        <v>46043</v>
      </c>
      <c r="AF4" s="29">
        <v>46044</v>
      </c>
      <c r="AG4" s="29">
        <v>46045</v>
      </c>
      <c r="AH4" s="29">
        <v>46046</v>
      </c>
      <c r="AI4" s="29">
        <v>46047</v>
      </c>
      <c r="AJ4" s="29">
        <v>46048</v>
      </c>
      <c r="AK4" s="29">
        <v>46049</v>
      </c>
      <c r="AL4" s="29">
        <v>46050</v>
      </c>
      <c r="AM4" s="29">
        <v>46051</v>
      </c>
      <c r="AN4" s="29">
        <v>46052</v>
      </c>
      <c r="AO4" s="26"/>
      <c r="AP4" s="27" t="s">
        <v>148</v>
      </c>
    </row>
    <row r="5" spans="1:16384" ht="15" customHeight="1" x14ac:dyDescent="0.2">
      <c r="A5" s="103">
        <v>1</v>
      </c>
      <c r="B5" s="103" t="str">
        <f>Listado!B4</f>
        <v>Alonso Mansilla</v>
      </c>
      <c r="C5" s="103" t="str">
        <f>Listado!C4</f>
        <v>Javier</v>
      </c>
      <c r="D5" s="107" t="str">
        <f>Listado!D4</f>
        <v>Javi</v>
      </c>
      <c r="E5" s="103" t="str">
        <f>Listado!E4</f>
        <v>javier.alonsomansilla@tajamar365.com</v>
      </c>
      <c r="F5" s="103"/>
      <c r="G5" s="103"/>
      <c r="H5" s="30">
        <f t="shared" ref="H5:H30" si="0">COUNTBLANK(R5:AN5)</f>
        <v>17</v>
      </c>
      <c r="I5" s="31">
        <f t="shared" ref="I5:I30" si="1">COUNTIF(R5:AN5,"FJ")</f>
        <v>0</v>
      </c>
      <c r="J5" s="31">
        <f t="shared" ref="J5:J30" si="2">COUNTIF(R5:AN5,"RJ")</f>
        <v>0</v>
      </c>
      <c r="K5" s="31">
        <f t="shared" ref="K5:K30" si="3">COUNTIF(R5:AN5,"SAFJ")</f>
        <v>0</v>
      </c>
      <c r="L5" s="31">
        <f t="shared" ref="L5:L30" si="4">COUNTIF(R5:AN5,"F")</f>
        <v>0</v>
      </c>
      <c r="M5" s="31">
        <f t="shared" ref="M5:M30" si="5">COUNTIF(R5:AN5,"R")</f>
        <v>0</v>
      </c>
      <c r="N5" s="31">
        <f t="shared" ref="N5:N30" si="6">COUNTIF(R5:AN5,"SAF")</f>
        <v>0</v>
      </c>
      <c r="O5" s="32">
        <f t="shared" ref="O5:O30" si="7">(L5+(M5/2))+(N5/2)</f>
        <v>0</v>
      </c>
      <c r="P5" s="4">
        <f t="shared" ref="P5:P30" si="8">I5+L5</f>
        <v>0</v>
      </c>
      <c r="Q5" s="4">
        <f t="shared" ref="Q5:Q30" si="9">SUM(I5:N5)</f>
        <v>0</v>
      </c>
      <c r="R5" s="25"/>
      <c r="S5" s="25"/>
      <c r="T5" s="34" t="s">
        <v>123</v>
      </c>
      <c r="U5" s="34" t="s">
        <v>123</v>
      </c>
      <c r="V5" s="132"/>
      <c r="W5" s="25"/>
      <c r="X5" s="128"/>
      <c r="Y5" s="25"/>
      <c r="Z5" s="25"/>
      <c r="AA5" s="34" t="s">
        <v>123</v>
      </c>
      <c r="AB5" s="34" t="s">
        <v>123</v>
      </c>
      <c r="AC5" s="25"/>
      <c r="AD5" s="25"/>
      <c r="AE5" s="25"/>
      <c r="AF5" s="25"/>
      <c r="AG5" s="25"/>
      <c r="AH5" s="34" t="s">
        <v>123</v>
      </c>
      <c r="AI5" s="34" t="s">
        <v>123</v>
      </c>
      <c r="AJ5" s="25"/>
      <c r="AK5" s="25"/>
      <c r="AL5" s="25"/>
      <c r="AM5" s="25"/>
      <c r="AN5" s="25"/>
      <c r="AO5" s="26"/>
      <c r="AP5" s="27">
        <f t="shared" ref="AP5:AP30" si="10">H5*B$49</f>
        <v>93.5</v>
      </c>
    </row>
    <row r="6" spans="1:16384" ht="15" customHeight="1" x14ac:dyDescent="0.2">
      <c r="A6" s="103">
        <v>2</v>
      </c>
      <c r="B6" s="103" t="str">
        <f>Listado!B5</f>
        <v>Barbacid Fernández</v>
      </c>
      <c r="C6" s="103" t="str">
        <f>Listado!C5</f>
        <v>Alberto</v>
      </c>
      <c r="D6" s="107" t="str">
        <f>Listado!D5</f>
        <v>Alberto</v>
      </c>
      <c r="E6" s="103" t="str">
        <f>Listado!E5</f>
        <v>alberto.barbacid@tajamar365.com</v>
      </c>
      <c r="F6" s="103"/>
      <c r="G6" s="103"/>
      <c r="H6" s="30">
        <f t="shared" si="0"/>
        <v>17</v>
      </c>
      <c r="I6" s="31">
        <f t="shared" si="1"/>
        <v>0</v>
      </c>
      <c r="J6" s="31">
        <f t="shared" si="2"/>
        <v>0</v>
      </c>
      <c r="K6" s="31">
        <f t="shared" si="3"/>
        <v>0</v>
      </c>
      <c r="L6" s="31">
        <f t="shared" si="4"/>
        <v>0</v>
      </c>
      <c r="M6" s="31">
        <f t="shared" si="5"/>
        <v>0</v>
      </c>
      <c r="N6" s="31">
        <f t="shared" si="6"/>
        <v>0</v>
      </c>
      <c r="O6" s="32">
        <f t="shared" si="7"/>
        <v>0</v>
      </c>
      <c r="P6" s="4">
        <f t="shared" si="8"/>
        <v>0</v>
      </c>
      <c r="Q6" s="4">
        <f t="shared" si="9"/>
        <v>0</v>
      </c>
      <c r="R6" s="25"/>
      <c r="S6" s="25"/>
      <c r="T6" s="34" t="s">
        <v>123</v>
      </c>
      <c r="U6" s="34" t="s">
        <v>123</v>
      </c>
      <c r="V6" s="132"/>
      <c r="W6" s="25"/>
      <c r="X6" s="128"/>
      <c r="Y6" s="25"/>
      <c r="Z6" s="25"/>
      <c r="AA6" s="34" t="s">
        <v>123</v>
      </c>
      <c r="AB6" s="34" t="s">
        <v>123</v>
      </c>
      <c r="AC6" s="25"/>
      <c r="AD6" s="25"/>
      <c r="AE6" s="25"/>
      <c r="AF6" s="25"/>
      <c r="AG6" s="25"/>
      <c r="AH6" s="34" t="s">
        <v>123</v>
      </c>
      <c r="AI6" s="34" t="s">
        <v>123</v>
      </c>
      <c r="AJ6" s="25"/>
      <c r="AK6" s="25"/>
      <c r="AL6" s="25"/>
      <c r="AM6" s="25"/>
      <c r="AN6" s="25"/>
      <c r="AO6" s="26"/>
      <c r="AP6" s="27">
        <f t="shared" si="10"/>
        <v>93.5</v>
      </c>
    </row>
    <row r="7" spans="1:16384" ht="15" customHeight="1" x14ac:dyDescent="0.2">
      <c r="A7" s="103">
        <v>3</v>
      </c>
      <c r="B7" s="103" t="str">
        <f>Listado!B6</f>
        <v>Bayas Sarzosa</v>
      </c>
      <c r="C7" s="103" t="str">
        <f>Listado!C6</f>
        <v>Kevin</v>
      </c>
      <c r="D7" s="107" t="str">
        <f>Listado!D6</f>
        <v>Kevin</v>
      </c>
      <c r="E7" s="103" t="str">
        <f>Listado!E6</f>
        <v>kevin.bayas@tajamar365.com</v>
      </c>
      <c r="F7" s="103"/>
      <c r="G7" s="103"/>
      <c r="H7" s="30">
        <f t="shared" si="0"/>
        <v>17</v>
      </c>
      <c r="I7" s="31">
        <f t="shared" si="1"/>
        <v>0</v>
      </c>
      <c r="J7" s="31">
        <f t="shared" si="2"/>
        <v>0</v>
      </c>
      <c r="K7" s="31">
        <f t="shared" si="3"/>
        <v>0</v>
      </c>
      <c r="L7" s="31">
        <f t="shared" si="4"/>
        <v>0</v>
      </c>
      <c r="M7" s="31">
        <f t="shared" si="5"/>
        <v>0</v>
      </c>
      <c r="N7" s="31">
        <f t="shared" si="6"/>
        <v>0</v>
      </c>
      <c r="O7" s="32">
        <f t="shared" si="7"/>
        <v>0</v>
      </c>
      <c r="P7" s="4">
        <f t="shared" si="8"/>
        <v>0</v>
      </c>
      <c r="Q7" s="4">
        <f t="shared" si="9"/>
        <v>0</v>
      </c>
      <c r="R7" s="25"/>
      <c r="S7" s="25"/>
      <c r="T7" s="34" t="s">
        <v>123</v>
      </c>
      <c r="U7" s="34" t="s">
        <v>123</v>
      </c>
      <c r="V7" s="132"/>
      <c r="W7" s="25"/>
      <c r="X7" s="128"/>
      <c r="Y7" s="25"/>
      <c r="Z7" s="25"/>
      <c r="AA7" s="34" t="s">
        <v>123</v>
      </c>
      <c r="AB7" s="34" t="s">
        <v>123</v>
      </c>
      <c r="AC7" s="25"/>
      <c r="AD7" s="25"/>
      <c r="AE7" s="25"/>
      <c r="AF7" s="25"/>
      <c r="AG7" s="25"/>
      <c r="AH7" s="34" t="s">
        <v>123</v>
      </c>
      <c r="AI7" s="34" t="s">
        <v>123</v>
      </c>
      <c r="AJ7" s="25"/>
      <c r="AK7" s="25"/>
      <c r="AL7" s="25"/>
      <c r="AM7" s="25"/>
      <c r="AN7" s="25"/>
      <c r="AO7" s="26"/>
      <c r="AP7" s="27">
        <f t="shared" si="10"/>
        <v>93.5</v>
      </c>
    </row>
    <row r="8" spans="1:16384" ht="15" customHeight="1" x14ac:dyDescent="0.2">
      <c r="A8" s="103">
        <v>4</v>
      </c>
      <c r="B8" s="103" t="str">
        <f>Listado!B7</f>
        <v>Cánovas López</v>
      </c>
      <c r="C8" s="103" t="str">
        <f>Listado!C7</f>
        <v>Alejandro</v>
      </c>
      <c r="D8" s="107" t="str">
        <f>Listado!D7</f>
        <v>Alex</v>
      </c>
      <c r="E8" s="103" t="str">
        <f>Listado!E7</f>
        <v>alejandro.canovas@tajamar365.com</v>
      </c>
      <c r="F8" s="103"/>
      <c r="G8" s="103"/>
      <c r="H8" s="30">
        <f t="shared" si="0"/>
        <v>17</v>
      </c>
      <c r="I8" s="31">
        <f t="shared" si="1"/>
        <v>0</v>
      </c>
      <c r="J8" s="31">
        <f t="shared" si="2"/>
        <v>0</v>
      </c>
      <c r="K8" s="31">
        <f t="shared" si="3"/>
        <v>0</v>
      </c>
      <c r="L8" s="31">
        <f t="shared" si="4"/>
        <v>0</v>
      </c>
      <c r="M8" s="31">
        <f t="shared" si="5"/>
        <v>0</v>
      </c>
      <c r="N8" s="31">
        <f t="shared" si="6"/>
        <v>0</v>
      </c>
      <c r="O8" s="32">
        <f t="shared" si="7"/>
        <v>0</v>
      </c>
      <c r="P8" s="4">
        <f t="shared" si="8"/>
        <v>0</v>
      </c>
      <c r="Q8" s="4">
        <f t="shared" si="9"/>
        <v>0</v>
      </c>
      <c r="R8" s="25"/>
      <c r="S8" s="25"/>
      <c r="T8" s="34" t="s">
        <v>123</v>
      </c>
      <c r="U8" s="34" t="s">
        <v>123</v>
      </c>
      <c r="V8" s="132"/>
      <c r="W8" s="25"/>
      <c r="X8" s="128"/>
      <c r="Y8" s="25"/>
      <c r="Z8" s="25"/>
      <c r="AA8" s="34" t="s">
        <v>123</v>
      </c>
      <c r="AB8" s="34" t="s">
        <v>123</v>
      </c>
      <c r="AC8" s="25"/>
      <c r="AD8" s="25"/>
      <c r="AE8" s="25"/>
      <c r="AF8" s="25"/>
      <c r="AG8" s="25"/>
      <c r="AH8" s="34" t="s">
        <v>123</v>
      </c>
      <c r="AI8" s="34" t="s">
        <v>123</v>
      </c>
      <c r="AJ8" s="25"/>
      <c r="AK8" s="25"/>
      <c r="AL8" s="25"/>
      <c r="AM8" s="25"/>
      <c r="AN8" s="25"/>
      <c r="AO8" s="26"/>
      <c r="AP8" s="27">
        <f t="shared" si="10"/>
        <v>93.5</v>
      </c>
    </row>
    <row r="9" spans="1:16384" ht="15" customHeight="1" x14ac:dyDescent="0.2">
      <c r="A9" s="103">
        <v>5</v>
      </c>
      <c r="B9" s="103" t="str">
        <f>Listado!B8</f>
        <v>Cardona Hernández</v>
      </c>
      <c r="C9" s="103" t="str">
        <f>Listado!C8</f>
        <v>Diego</v>
      </c>
      <c r="D9" s="107" t="str">
        <f>Listado!D8</f>
        <v>Diego</v>
      </c>
      <c r="E9" s="103" t="str">
        <f>Listado!E8</f>
        <v>diego.cardona@tajamar365.com</v>
      </c>
      <c r="F9" s="103"/>
      <c r="G9" s="103"/>
      <c r="H9" s="30">
        <f t="shared" si="0"/>
        <v>17</v>
      </c>
      <c r="I9" s="31">
        <f t="shared" si="1"/>
        <v>0</v>
      </c>
      <c r="J9" s="31">
        <f t="shared" si="2"/>
        <v>0</v>
      </c>
      <c r="K9" s="31">
        <f t="shared" si="3"/>
        <v>0</v>
      </c>
      <c r="L9" s="31">
        <f t="shared" si="4"/>
        <v>0</v>
      </c>
      <c r="M9" s="31">
        <f t="shared" si="5"/>
        <v>0</v>
      </c>
      <c r="N9" s="31">
        <f t="shared" si="6"/>
        <v>0</v>
      </c>
      <c r="O9" s="32">
        <f t="shared" si="7"/>
        <v>0</v>
      </c>
      <c r="P9" s="4">
        <f t="shared" si="8"/>
        <v>0</v>
      </c>
      <c r="Q9" s="4">
        <f t="shared" si="9"/>
        <v>0</v>
      </c>
      <c r="R9" s="25"/>
      <c r="S9" s="25"/>
      <c r="T9" s="34" t="s">
        <v>123</v>
      </c>
      <c r="U9" s="34" t="s">
        <v>123</v>
      </c>
      <c r="V9" s="132"/>
      <c r="W9" s="3"/>
      <c r="X9" s="128"/>
      <c r="Y9" s="25"/>
      <c r="Z9" s="25"/>
      <c r="AA9" s="34" t="s">
        <v>123</v>
      </c>
      <c r="AB9" s="34" t="s">
        <v>123</v>
      </c>
      <c r="AC9" s="25"/>
      <c r="AD9" s="25"/>
      <c r="AE9" s="25"/>
      <c r="AF9" s="25"/>
      <c r="AG9" s="25"/>
      <c r="AH9" s="34" t="s">
        <v>123</v>
      </c>
      <c r="AI9" s="34" t="s">
        <v>123</v>
      </c>
      <c r="AJ9" s="25"/>
      <c r="AK9" s="25"/>
      <c r="AL9" s="25"/>
      <c r="AM9" s="25"/>
      <c r="AN9" s="25"/>
      <c r="AO9" s="26"/>
      <c r="AP9" s="27">
        <f t="shared" si="10"/>
        <v>93.5</v>
      </c>
    </row>
    <row r="10" spans="1:16384" ht="15" customHeight="1" x14ac:dyDescent="0.2">
      <c r="A10" s="103">
        <v>6</v>
      </c>
      <c r="B10" s="103" t="str">
        <f>Listado!B9</f>
        <v>Casco Valero</v>
      </c>
      <c r="C10" s="103" t="str">
        <f>Listado!C9</f>
        <v>Álvaro</v>
      </c>
      <c r="D10" s="107" t="str">
        <f>Listado!D9</f>
        <v>Álvaro</v>
      </c>
      <c r="E10" s="103" t="str">
        <f>Listado!E9</f>
        <v>alvaro.casco@tajamar365.com</v>
      </c>
      <c r="F10" s="103"/>
      <c r="G10" s="103"/>
      <c r="H10" s="30">
        <f t="shared" si="0"/>
        <v>17</v>
      </c>
      <c r="I10" s="31">
        <f t="shared" si="1"/>
        <v>0</v>
      </c>
      <c r="J10" s="31">
        <f t="shared" si="2"/>
        <v>0</v>
      </c>
      <c r="K10" s="31">
        <f t="shared" si="3"/>
        <v>0</v>
      </c>
      <c r="L10" s="31">
        <f t="shared" si="4"/>
        <v>0</v>
      </c>
      <c r="M10" s="31">
        <f t="shared" si="5"/>
        <v>0</v>
      </c>
      <c r="N10" s="31">
        <f t="shared" si="6"/>
        <v>0</v>
      </c>
      <c r="O10" s="32">
        <f t="shared" si="7"/>
        <v>0</v>
      </c>
      <c r="P10" s="4">
        <f t="shared" si="8"/>
        <v>0</v>
      </c>
      <c r="Q10" s="4">
        <f t="shared" si="9"/>
        <v>0</v>
      </c>
      <c r="R10" s="25"/>
      <c r="S10" s="25"/>
      <c r="T10" s="34" t="s">
        <v>123</v>
      </c>
      <c r="U10" s="34" t="s">
        <v>123</v>
      </c>
      <c r="V10" s="132"/>
      <c r="W10" s="3"/>
      <c r="X10" s="128"/>
      <c r="Y10" s="25"/>
      <c r="Z10" s="25"/>
      <c r="AA10" s="34" t="s">
        <v>123</v>
      </c>
      <c r="AB10" s="34" t="s">
        <v>123</v>
      </c>
      <c r="AC10" s="25"/>
      <c r="AD10" s="25"/>
      <c r="AE10" s="25"/>
      <c r="AF10" s="25"/>
      <c r="AG10" s="25"/>
      <c r="AH10" s="34" t="s">
        <v>123</v>
      </c>
      <c r="AI10" s="34" t="s">
        <v>123</v>
      </c>
      <c r="AJ10" s="25"/>
      <c r="AK10" s="25"/>
      <c r="AL10" s="25"/>
      <c r="AM10" s="25"/>
      <c r="AN10" s="25"/>
      <c r="AO10" s="26"/>
      <c r="AP10" s="27">
        <f t="shared" si="10"/>
        <v>93.5</v>
      </c>
    </row>
    <row r="11" spans="1:16384" ht="15" customHeight="1" x14ac:dyDescent="0.2">
      <c r="A11" s="103">
        <v>7</v>
      </c>
      <c r="B11" s="103" t="str">
        <f>Listado!B10</f>
        <v>Cobo Marcos</v>
      </c>
      <c r="C11" s="103" t="str">
        <f>Listado!C10</f>
        <v>Alejandro</v>
      </c>
      <c r="D11" s="107" t="str">
        <f>Listado!D10</f>
        <v>Alex</v>
      </c>
      <c r="E11" s="103" t="str">
        <f>Listado!E10</f>
        <v>alejandro.cobo@tajamar365.com</v>
      </c>
      <c r="F11" s="103"/>
      <c r="G11" s="103"/>
      <c r="H11" s="30">
        <f t="shared" si="0"/>
        <v>17</v>
      </c>
      <c r="I11" s="31">
        <f t="shared" si="1"/>
        <v>0</v>
      </c>
      <c r="J11" s="31">
        <f t="shared" si="2"/>
        <v>0</v>
      </c>
      <c r="K11" s="31">
        <f t="shared" si="3"/>
        <v>0</v>
      </c>
      <c r="L11" s="31">
        <f t="shared" si="4"/>
        <v>0</v>
      </c>
      <c r="M11" s="31">
        <f t="shared" si="5"/>
        <v>0</v>
      </c>
      <c r="N11" s="31">
        <f t="shared" si="6"/>
        <v>0</v>
      </c>
      <c r="O11" s="32">
        <f t="shared" si="7"/>
        <v>0</v>
      </c>
      <c r="P11" s="4">
        <f t="shared" si="8"/>
        <v>0</v>
      </c>
      <c r="Q11" s="4">
        <f t="shared" si="9"/>
        <v>0</v>
      </c>
      <c r="R11" s="25"/>
      <c r="S11" s="25"/>
      <c r="T11" s="34" t="s">
        <v>123</v>
      </c>
      <c r="U11" s="34" t="s">
        <v>123</v>
      </c>
      <c r="V11" s="132"/>
      <c r="W11" s="3"/>
      <c r="X11" s="128"/>
      <c r="Y11" s="25"/>
      <c r="Z11" s="25"/>
      <c r="AA11" s="34" t="s">
        <v>123</v>
      </c>
      <c r="AB11" s="34" t="s">
        <v>123</v>
      </c>
      <c r="AC11" s="25"/>
      <c r="AD11" s="25"/>
      <c r="AE11" s="25"/>
      <c r="AF11" s="25"/>
      <c r="AG11" s="25"/>
      <c r="AH11" s="34" t="s">
        <v>123</v>
      </c>
      <c r="AI11" s="34" t="s">
        <v>123</v>
      </c>
      <c r="AJ11" s="25"/>
      <c r="AK11" s="25"/>
      <c r="AL11" s="25"/>
      <c r="AM11" s="25"/>
      <c r="AN11" s="25"/>
      <c r="AO11" s="26"/>
      <c r="AP11" s="27">
        <f t="shared" si="10"/>
        <v>93.5</v>
      </c>
    </row>
    <row r="12" spans="1:16384" ht="15" customHeight="1" x14ac:dyDescent="0.2">
      <c r="A12" s="103">
        <v>8</v>
      </c>
      <c r="B12" s="103" t="str">
        <f>Listado!B11</f>
        <v>Galán Castro</v>
      </c>
      <c r="C12" s="103" t="str">
        <f>Listado!C11</f>
        <v>Asil</v>
      </c>
      <c r="D12" s="107" t="str">
        <f>Listado!D11</f>
        <v>Asil</v>
      </c>
      <c r="E12" s="103" t="str">
        <f>Listado!E11</f>
        <v>asil.galan@tajamar365.com</v>
      </c>
      <c r="F12" s="103"/>
      <c r="G12" s="103"/>
      <c r="H12" s="30">
        <f t="shared" si="0"/>
        <v>17</v>
      </c>
      <c r="I12" s="31">
        <f t="shared" si="1"/>
        <v>0</v>
      </c>
      <c r="J12" s="31">
        <f t="shared" si="2"/>
        <v>0</v>
      </c>
      <c r="K12" s="31">
        <f t="shared" si="3"/>
        <v>0</v>
      </c>
      <c r="L12" s="31">
        <f t="shared" si="4"/>
        <v>0</v>
      </c>
      <c r="M12" s="31">
        <f t="shared" si="5"/>
        <v>0</v>
      </c>
      <c r="N12" s="31">
        <f t="shared" si="6"/>
        <v>0</v>
      </c>
      <c r="O12" s="32">
        <f t="shared" si="7"/>
        <v>0</v>
      </c>
      <c r="P12" s="4">
        <f t="shared" si="8"/>
        <v>0</v>
      </c>
      <c r="Q12" s="4">
        <f t="shared" si="9"/>
        <v>0</v>
      </c>
      <c r="R12" s="25"/>
      <c r="S12" s="25"/>
      <c r="T12" s="34" t="s">
        <v>123</v>
      </c>
      <c r="U12" s="34" t="s">
        <v>123</v>
      </c>
      <c r="V12" s="132"/>
      <c r="W12" s="3"/>
      <c r="X12" s="128"/>
      <c r="Y12" s="25"/>
      <c r="Z12" s="25"/>
      <c r="AA12" s="34" t="s">
        <v>123</v>
      </c>
      <c r="AB12" s="34" t="s">
        <v>123</v>
      </c>
      <c r="AC12" s="25"/>
      <c r="AD12" s="25"/>
      <c r="AE12" s="25"/>
      <c r="AF12" s="25"/>
      <c r="AG12" s="25"/>
      <c r="AH12" s="34" t="s">
        <v>123</v>
      </c>
      <c r="AI12" s="34" t="s">
        <v>123</v>
      </c>
      <c r="AJ12" s="25"/>
      <c r="AK12" s="25"/>
      <c r="AL12" s="25"/>
      <c r="AM12" s="25"/>
      <c r="AN12" s="25"/>
      <c r="AO12" s="26"/>
      <c r="AP12" s="27">
        <f t="shared" si="10"/>
        <v>93.5</v>
      </c>
    </row>
    <row r="13" spans="1:16384" ht="15" customHeight="1" x14ac:dyDescent="0.2">
      <c r="A13" s="103">
        <v>9</v>
      </c>
      <c r="B13" s="103" t="str">
        <f>Listado!B12</f>
        <v>García Martín</v>
      </c>
      <c r="C13" s="103" t="str">
        <f>Listado!C12</f>
        <v>Alonso</v>
      </c>
      <c r="D13" s="107" t="str">
        <f>Listado!D12</f>
        <v>Alonso</v>
      </c>
      <c r="E13" s="103" t="str">
        <f>Listado!E12</f>
        <v>alonso.garcia@tajamar365.com</v>
      </c>
      <c r="F13" s="103"/>
      <c r="G13" s="103"/>
      <c r="H13" s="30">
        <f t="shared" si="0"/>
        <v>17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31">
        <f t="shared" si="4"/>
        <v>0</v>
      </c>
      <c r="M13" s="31">
        <f t="shared" si="5"/>
        <v>0</v>
      </c>
      <c r="N13" s="31">
        <f t="shared" si="6"/>
        <v>0</v>
      </c>
      <c r="O13" s="32">
        <f t="shared" si="7"/>
        <v>0</v>
      </c>
      <c r="P13" s="4">
        <f t="shared" si="8"/>
        <v>0</v>
      </c>
      <c r="Q13" s="4">
        <f t="shared" si="9"/>
        <v>0</v>
      </c>
      <c r="R13" s="25"/>
      <c r="S13" s="25"/>
      <c r="T13" s="34" t="s">
        <v>123</v>
      </c>
      <c r="U13" s="34" t="s">
        <v>123</v>
      </c>
      <c r="V13" s="132"/>
      <c r="W13" s="3"/>
      <c r="X13" s="128"/>
      <c r="Y13" s="25"/>
      <c r="Z13" s="25"/>
      <c r="AA13" s="34" t="s">
        <v>123</v>
      </c>
      <c r="AB13" s="34" t="s">
        <v>123</v>
      </c>
      <c r="AC13" s="25"/>
      <c r="AD13" s="25"/>
      <c r="AE13" s="25"/>
      <c r="AF13" s="25"/>
      <c r="AG13" s="25"/>
      <c r="AH13" s="34" t="s">
        <v>123</v>
      </c>
      <c r="AI13" s="34" t="s">
        <v>123</v>
      </c>
      <c r="AJ13" s="25"/>
      <c r="AK13" s="25"/>
      <c r="AL13" s="25"/>
      <c r="AM13" s="25"/>
      <c r="AN13" s="25"/>
      <c r="AO13" s="26"/>
      <c r="AP13" s="27">
        <f t="shared" si="10"/>
        <v>93.5</v>
      </c>
    </row>
    <row r="14" spans="1:16384" ht="15" customHeight="1" x14ac:dyDescent="0.2">
      <c r="A14" s="103">
        <v>10</v>
      </c>
      <c r="B14" s="103" t="str">
        <f>Listado!B13</f>
        <v>García Muñoz</v>
      </c>
      <c r="C14" s="103" t="str">
        <f>Listado!C13</f>
        <v>Raúl</v>
      </c>
      <c r="D14" s="107" t="str">
        <f>Listado!D13</f>
        <v>Raúl</v>
      </c>
      <c r="E14" s="103" t="str">
        <f>Listado!E13</f>
        <v>raul.garciamunoz@tajamar365.com</v>
      </c>
      <c r="F14" s="103"/>
      <c r="G14" s="103"/>
      <c r="H14" s="30">
        <f t="shared" si="0"/>
        <v>17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31">
        <f t="shared" si="4"/>
        <v>0</v>
      </c>
      <c r="M14" s="31">
        <f t="shared" si="5"/>
        <v>0</v>
      </c>
      <c r="N14" s="31">
        <f t="shared" si="6"/>
        <v>0</v>
      </c>
      <c r="O14" s="32">
        <f t="shared" si="7"/>
        <v>0</v>
      </c>
      <c r="P14" s="4">
        <f t="shared" si="8"/>
        <v>0</v>
      </c>
      <c r="Q14" s="4">
        <f t="shared" si="9"/>
        <v>0</v>
      </c>
      <c r="R14" s="25"/>
      <c r="S14" s="25"/>
      <c r="T14" s="34" t="s">
        <v>123</v>
      </c>
      <c r="U14" s="34" t="s">
        <v>123</v>
      </c>
      <c r="V14" s="132"/>
      <c r="W14" s="3"/>
      <c r="X14" s="128"/>
      <c r="Y14" s="25"/>
      <c r="Z14" s="25"/>
      <c r="AA14" s="34" t="s">
        <v>123</v>
      </c>
      <c r="AB14" s="34" t="s">
        <v>123</v>
      </c>
      <c r="AC14" s="25"/>
      <c r="AD14" s="25"/>
      <c r="AE14" s="25"/>
      <c r="AF14" s="25"/>
      <c r="AG14" s="25"/>
      <c r="AH14" s="34" t="s">
        <v>123</v>
      </c>
      <c r="AI14" s="34" t="s">
        <v>123</v>
      </c>
      <c r="AJ14" s="25"/>
      <c r="AK14" s="25"/>
      <c r="AL14" s="25"/>
      <c r="AM14" s="25"/>
      <c r="AN14" s="25"/>
      <c r="AO14" s="26"/>
      <c r="AP14" s="27">
        <f t="shared" si="10"/>
        <v>93.5</v>
      </c>
    </row>
    <row r="15" spans="1:16384" ht="15" customHeight="1" x14ac:dyDescent="0.2">
      <c r="A15" s="103">
        <v>11</v>
      </c>
      <c r="B15" s="103" t="str">
        <f>Listado!B14</f>
        <v>Gil Fuertes</v>
      </c>
      <c r="C15" s="103" t="str">
        <f>Listado!C14</f>
        <v>Héctor</v>
      </c>
      <c r="D15" s="107" t="str">
        <f>Listado!D14</f>
        <v>Héctor</v>
      </c>
      <c r="E15" s="103" t="str">
        <f>Listado!E14</f>
        <v>hector.gil@tajamar365.com</v>
      </c>
      <c r="F15" s="103"/>
      <c r="G15" s="103"/>
      <c r="H15" s="30">
        <f t="shared" si="0"/>
        <v>17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31">
        <f t="shared" si="4"/>
        <v>0</v>
      </c>
      <c r="M15" s="31">
        <f t="shared" si="5"/>
        <v>0</v>
      </c>
      <c r="N15" s="31">
        <f t="shared" si="6"/>
        <v>0</v>
      </c>
      <c r="O15" s="32">
        <f t="shared" si="7"/>
        <v>0</v>
      </c>
      <c r="P15" s="4">
        <f t="shared" si="8"/>
        <v>0</v>
      </c>
      <c r="Q15" s="4">
        <f t="shared" si="9"/>
        <v>0</v>
      </c>
      <c r="R15" s="25"/>
      <c r="S15" s="25"/>
      <c r="T15" s="34" t="s">
        <v>123</v>
      </c>
      <c r="U15" s="34" t="s">
        <v>123</v>
      </c>
      <c r="V15" s="132"/>
      <c r="W15" s="3"/>
      <c r="X15" s="128"/>
      <c r="Y15" s="25"/>
      <c r="Z15" s="25"/>
      <c r="AA15" s="34" t="s">
        <v>123</v>
      </c>
      <c r="AB15" s="34" t="s">
        <v>123</v>
      </c>
      <c r="AC15" s="25"/>
      <c r="AD15" s="25"/>
      <c r="AE15" s="25"/>
      <c r="AF15" s="25"/>
      <c r="AG15" s="25"/>
      <c r="AH15" s="34" t="s">
        <v>123</v>
      </c>
      <c r="AI15" s="34" t="s">
        <v>123</v>
      </c>
      <c r="AJ15" s="25"/>
      <c r="AK15" s="25"/>
      <c r="AL15" s="25"/>
      <c r="AM15" s="25"/>
      <c r="AN15" s="25"/>
      <c r="AO15" s="26"/>
      <c r="AP15" s="27">
        <f t="shared" si="10"/>
        <v>93.5</v>
      </c>
    </row>
    <row r="16" spans="1:16384" ht="15" customHeight="1" x14ac:dyDescent="0.2">
      <c r="A16" s="103">
        <v>12</v>
      </c>
      <c r="B16" s="103" t="str">
        <f>Listado!B15</f>
        <v>Gonzalo Lucas</v>
      </c>
      <c r="C16" s="103" t="str">
        <f>Listado!C15</f>
        <v>Pablo</v>
      </c>
      <c r="D16" s="107" t="str">
        <f>Listado!D15</f>
        <v>Pablo</v>
      </c>
      <c r="E16" s="103" t="str">
        <f>Listado!E15</f>
        <v>pablo.gonzalo@tajamar365.com</v>
      </c>
      <c r="F16" s="103"/>
      <c r="G16" s="103"/>
      <c r="H16" s="30">
        <f t="shared" si="0"/>
        <v>17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31">
        <f t="shared" si="4"/>
        <v>0</v>
      </c>
      <c r="M16" s="31">
        <f t="shared" si="5"/>
        <v>0</v>
      </c>
      <c r="N16" s="31">
        <f t="shared" si="6"/>
        <v>0</v>
      </c>
      <c r="O16" s="32">
        <f t="shared" si="7"/>
        <v>0</v>
      </c>
      <c r="P16" s="4">
        <f t="shared" si="8"/>
        <v>0</v>
      </c>
      <c r="Q16" s="4">
        <f t="shared" si="9"/>
        <v>0</v>
      </c>
      <c r="R16" s="25"/>
      <c r="S16" s="25"/>
      <c r="T16" s="34" t="s">
        <v>123</v>
      </c>
      <c r="U16" s="34" t="s">
        <v>123</v>
      </c>
      <c r="V16" s="132"/>
      <c r="W16" s="3"/>
      <c r="X16" s="128"/>
      <c r="Y16" s="25"/>
      <c r="Z16" s="25"/>
      <c r="AA16" s="34" t="s">
        <v>123</v>
      </c>
      <c r="AB16" s="34" t="s">
        <v>123</v>
      </c>
      <c r="AC16" s="25"/>
      <c r="AD16" s="25"/>
      <c r="AE16" s="25"/>
      <c r="AF16" s="25"/>
      <c r="AG16" s="25"/>
      <c r="AH16" s="34" t="s">
        <v>123</v>
      </c>
      <c r="AI16" s="34" t="s">
        <v>123</v>
      </c>
      <c r="AJ16" s="25"/>
      <c r="AK16" s="25"/>
      <c r="AL16" s="25"/>
      <c r="AM16" s="25"/>
      <c r="AN16" s="25"/>
      <c r="AO16" s="26"/>
      <c r="AP16" s="27">
        <f t="shared" si="10"/>
        <v>93.5</v>
      </c>
    </row>
    <row r="17" spans="1:42" ht="15" customHeight="1" x14ac:dyDescent="0.2">
      <c r="A17" s="103">
        <v>13</v>
      </c>
      <c r="B17" s="103" t="str">
        <f>Listado!B16</f>
        <v xml:space="preserve">Jacek </v>
      </c>
      <c r="C17" s="103" t="str">
        <f>Listado!C16</f>
        <v>Adrian</v>
      </c>
      <c r="D17" s="107" t="str">
        <f>Listado!D16</f>
        <v>Adrian</v>
      </c>
      <c r="E17" s="103" t="str">
        <f>Listado!E16</f>
        <v>adrian.jacek@tajamar365.com</v>
      </c>
      <c r="F17" s="103"/>
      <c r="G17" s="103"/>
      <c r="H17" s="30">
        <f t="shared" si="0"/>
        <v>17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31">
        <f t="shared" si="4"/>
        <v>0</v>
      </c>
      <c r="M17" s="31">
        <f t="shared" si="5"/>
        <v>0</v>
      </c>
      <c r="N17" s="31">
        <f t="shared" si="6"/>
        <v>0</v>
      </c>
      <c r="O17" s="32">
        <f t="shared" si="7"/>
        <v>0</v>
      </c>
      <c r="P17" s="4">
        <f t="shared" si="8"/>
        <v>0</v>
      </c>
      <c r="Q17" s="4">
        <f t="shared" si="9"/>
        <v>0</v>
      </c>
      <c r="R17" s="25"/>
      <c r="S17" s="25"/>
      <c r="T17" s="34" t="s">
        <v>123</v>
      </c>
      <c r="U17" s="34" t="s">
        <v>123</v>
      </c>
      <c r="V17" s="132"/>
      <c r="W17" s="3"/>
      <c r="X17" s="128"/>
      <c r="Y17" s="25"/>
      <c r="Z17" s="25"/>
      <c r="AA17" s="34" t="s">
        <v>123</v>
      </c>
      <c r="AB17" s="34" t="s">
        <v>123</v>
      </c>
      <c r="AC17" s="25"/>
      <c r="AD17" s="25"/>
      <c r="AE17" s="25"/>
      <c r="AF17" s="25"/>
      <c r="AG17" s="25"/>
      <c r="AH17" s="34" t="s">
        <v>123</v>
      </c>
      <c r="AI17" s="34" t="s">
        <v>123</v>
      </c>
      <c r="AJ17" s="25"/>
      <c r="AK17" s="25"/>
      <c r="AL17" s="25"/>
      <c r="AM17" s="25"/>
      <c r="AN17" s="25"/>
      <c r="AO17" s="26"/>
      <c r="AP17" s="27">
        <f t="shared" si="10"/>
        <v>93.5</v>
      </c>
    </row>
    <row r="18" spans="1:42" ht="15" customHeight="1" x14ac:dyDescent="0.2">
      <c r="A18" s="103">
        <v>14</v>
      </c>
      <c r="B18" s="103" t="str">
        <f>Listado!B17</f>
        <v>López Pachón</v>
      </c>
      <c r="C18" s="103" t="str">
        <f>Listado!C17</f>
        <v xml:space="preserve">José Antonio </v>
      </c>
      <c r="D18" s="107" t="str">
        <f>Listado!D17</f>
        <v>Jose</v>
      </c>
      <c r="E18" s="103" t="str">
        <f>Listado!E17</f>
        <v>joseantonio.lopez@tajamar365.com</v>
      </c>
      <c r="F18" s="103"/>
      <c r="G18" s="103"/>
      <c r="H18" s="30">
        <f t="shared" si="0"/>
        <v>17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31">
        <f t="shared" si="4"/>
        <v>0</v>
      </c>
      <c r="M18" s="31">
        <f t="shared" si="5"/>
        <v>0</v>
      </c>
      <c r="N18" s="31">
        <f t="shared" si="6"/>
        <v>0</v>
      </c>
      <c r="O18" s="32">
        <f t="shared" si="7"/>
        <v>0</v>
      </c>
      <c r="P18" s="4">
        <f t="shared" si="8"/>
        <v>0</v>
      </c>
      <c r="Q18" s="4">
        <f t="shared" si="9"/>
        <v>0</v>
      </c>
      <c r="R18" s="25"/>
      <c r="S18" s="25"/>
      <c r="T18" s="34" t="s">
        <v>123</v>
      </c>
      <c r="U18" s="34" t="s">
        <v>123</v>
      </c>
      <c r="V18" s="132"/>
      <c r="W18" s="3"/>
      <c r="X18" s="128"/>
      <c r="Y18" s="25"/>
      <c r="Z18" s="25"/>
      <c r="AA18" s="34" t="s">
        <v>123</v>
      </c>
      <c r="AB18" s="34" t="s">
        <v>123</v>
      </c>
      <c r="AC18" s="25"/>
      <c r="AD18" s="25"/>
      <c r="AE18" s="25"/>
      <c r="AF18" s="25"/>
      <c r="AG18" s="25"/>
      <c r="AH18" s="34" t="s">
        <v>123</v>
      </c>
      <c r="AI18" s="34" t="s">
        <v>123</v>
      </c>
      <c r="AJ18" s="25"/>
      <c r="AK18" s="25"/>
      <c r="AL18" s="25"/>
      <c r="AM18" s="25"/>
      <c r="AN18" s="25"/>
      <c r="AO18" s="26"/>
      <c r="AP18" s="27">
        <f t="shared" si="10"/>
        <v>93.5</v>
      </c>
    </row>
    <row r="19" spans="1:42" ht="15" customHeight="1" x14ac:dyDescent="0.2">
      <c r="A19" s="103">
        <v>15</v>
      </c>
      <c r="B19" s="103" t="str">
        <f>Listado!B18</f>
        <v>Miguel Tolosana</v>
      </c>
      <c r="C19" s="103" t="str">
        <f>Listado!C18</f>
        <v>María</v>
      </c>
      <c r="D19" s="107" t="str">
        <f>Listado!D18</f>
        <v>María</v>
      </c>
      <c r="E19" s="103" t="str">
        <f>Listado!E18</f>
        <v>maria.miguel@tajamar365.com</v>
      </c>
      <c r="F19" s="103"/>
      <c r="G19" s="103"/>
      <c r="H19" s="30">
        <f t="shared" si="0"/>
        <v>17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31">
        <f t="shared" si="4"/>
        <v>0</v>
      </c>
      <c r="M19" s="31">
        <f t="shared" si="5"/>
        <v>0</v>
      </c>
      <c r="N19" s="31">
        <f t="shared" si="6"/>
        <v>0</v>
      </c>
      <c r="O19" s="32">
        <f t="shared" si="7"/>
        <v>0</v>
      </c>
      <c r="P19" s="4">
        <f t="shared" si="8"/>
        <v>0</v>
      </c>
      <c r="Q19" s="4">
        <f t="shared" si="9"/>
        <v>0</v>
      </c>
      <c r="R19" s="25"/>
      <c r="S19" s="25"/>
      <c r="T19" s="34" t="s">
        <v>123</v>
      </c>
      <c r="U19" s="34" t="s">
        <v>123</v>
      </c>
      <c r="V19" s="132"/>
      <c r="W19" s="3"/>
      <c r="X19" s="128"/>
      <c r="Y19" s="25"/>
      <c r="Z19" s="25"/>
      <c r="AA19" s="34" t="s">
        <v>123</v>
      </c>
      <c r="AB19" s="34" t="s">
        <v>123</v>
      </c>
      <c r="AC19" s="25"/>
      <c r="AD19" s="25"/>
      <c r="AE19" s="25"/>
      <c r="AF19" s="25"/>
      <c r="AG19" s="25"/>
      <c r="AH19" s="34" t="s">
        <v>123</v>
      </c>
      <c r="AI19" s="34" t="s">
        <v>123</v>
      </c>
      <c r="AJ19" s="25"/>
      <c r="AK19" s="25"/>
      <c r="AL19" s="25"/>
      <c r="AM19" s="25"/>
      <c r="AN19" s="25"/>
      <c r="AO19" s="26"/>
      <c r="AP19" s="27">
        <f t="shared" si="10"/>
        <v>93.5</v>
      </c>
    </row>
    <row r="20" spans="1:42" ht="15" customHeight="1" x14ac:dyDescent="0.2">
      <c r="A20" s="103">
        <v>16</v>
      </c>
      <c r="B20" s="103" t="str">
        <f>Listado!B19</f>
        <v>Navarro Fernández</v>
      </c>
      <c r="C20" s="103" t="str">
        <f>Listado!C19</f>
        <v>Alejandro</v>
      </c>
      <c r="D20" s="107" t="str">
        <f>Listado!D19</f>
        <v>Ale</v>
      </c>
      <c r="E20" s="103" t="str">
        <f>Listado!E19</f>
        <v>alejandro.navarro@tajamar365.com</v>
      </c>
      <c r="F20" s="103"/>
      <c r="G20" s="103"/>
      <c r="H20" s="30">
        <f t="shared" si="0"/>
        <v>17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31">
        <f t="shared" si="4"/>
        <v>0</v>
      </c>
      <c r="M20" s="31">
        <f t="shared" si="5"/>
        <v>0</v>
      </c>
      <c r="N20" s="31">
        <f t="shared" si="6"/>
        <v>0</v>
      </c>
      <c r="O20" s="32">
        <f t="shared" si="7"/>
        <v>0</v>
      </c>
      <c r="P20" s="4">
        <f t="shared" si="8"/>
        <v>0</v>
      </c>
      <c r="Q20" s="4">
        <f t="shared" si="9"/>
        <v>0</v>
      </c>
      <c r="R20" s="25"/>
      <c r="S20" s="25"/>
      <c r="T20" s="34" t="s">
        <v>123</v>
      </c>
      <c r="U20" s="34" t="s">
        <v>123</v>
      </c>
      <c r="V20" s="132"/>
      <c r="W20" s="3"/>
      <c r="X20" s="128"/>
      <c r="Y20" s="25"/>
      <c r="Z20" s="25"/>
      <c r="AA20" s="34" t="s">
        <v>123</v>
      </c>
      <c r="AB20" s="34" t="s">
        <v>123</v>
      </c>
      <c r="AC20" s="25"/>
      <c r="AD20" s="25"/>
      <c r="AE20" s="25"/>
      <c r="AF20" s="25"/>
      <c r="AG20" s="25"/>
      <c r="AH20" s="34" t="s">
        <v>123</v>
      </c>
      <c r="AI20" s="34" t="s">
        <v>123</v>
      </c>
      <c r="AJ20" s="25"/>
      <c r="AK20" s="25"/>
      <c r="AL20" s="25"/>
      <c r="AM20" s="25"/>
      <c r="AN20" s="25"/>
      <c r="AO20" s="26"/>
      <c r="AP20" s="27">
        <f t="shared" si="10"/>
        <v>93.5</v>
      </c>
    </row>
    <row r="21" spans="1:42" ht="15" customHeight="1" x14ac:dyDescent="0.2">
      <c r="A21" s="103">
        <v>17</v>
      </c>
      <c r="B21" s="103" t="str">
        <f>Listado!B20</f>
        <v>Ordóñez Rimacuna</v>
      </c>
      <c r="C21" s="103" t="str">
        <f>Listado!C20</f>
        <v>Julio Alejandro</v>
      </c>
      <c r="D21" s="107" t="str">
        <f>Listado!D20</f>
        <v>Julio</v>
      </c>
      <c r="E21" s="103" t="str">
        <f>Listado!E20</f>
        <v>julioalejandro.ordonez@tajamar365.com</v>
      </c>
      <c r="F21" s="103"/>
      <c r="G21" s="103"/>
      <c r="H21" s="30">
        <f t="shared" si="0"/>
        <v>17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31">
        <f t="shared" si="4"/>
        <v>0</v>
      </c>
      <c r="M21" s="31">
        <f t="shared" si="5"/>
        <v>0</v>
      </c>
      <c r="N21" s="31">
        <f t="shared" si="6"/>
        <v>0</v>
      </c>
      <c r="O21" s="32">
        <f t="shared" si="7"/>
        <v>0</v>
      </c>
      <c r="P21" s="4">
        <f t="shared" si="8"/>
        <v>0</v>
      </c>
      <c r="Q21" s="4">
        <f t="shared" si="9"/>
        <v>0</v>
      </c>
      <c r="R21" s="25"/>
      <c r="S21" s="25"/>
      <c r="T21" s="34" t="s">
        <v>123</v>
      </c>
      <c r="U21" s="34" t="s">
        <v>123</v>
      </c>
      <c r="V21" s="132"/>
      <c r="W21" s="3"/>
      <c r="X21" s="128"/>
      <c r="Y21" s="25"/>
      <c r="Z21" s="25"/>
      <c r="AA21" s="34" t="s">
        <v>123</v>
      </c>
      <c r="AB21" s="34" t="s">
        <v>123</v>
      </c>
      <c r="AC21" s="25"/>
      <c r="AD21" s="25"/>
      <c r="AE21" s="25"/>
      <c r="AF21" s="25"/>
      <c r="AG21" s="25"/>
      <c r="AH21" s="34" t="s">
        <v>123</v>
      </c>
      <c r="AI21" s="34" t="s">
        <v>123</v>
      </c>
      <c r="AJ21" s="25"/>
      <c r="AK21" s="25"/>
      <c r="AL21" s="25"/>
      <c r="AM21" s="25"/>
      <c r="AN21" s="25"/>
      <c r="AO21" s="26"/>
      <c r="AP21" s="27">
        <f t="shared" si="10"/>
        <v>93.5</v>
      </c>
    </row>
    <row r="22" spans="1:42" ht="15" customHeight="1" x14ac:dyDescent="0.2">
      <c r="A22" s="103">
        <v>18</v>
      </c>
      <c r="B22" s="103" t="str">
        <f>Listado!B21</f>
        <v>Pedroche Pérez</v>
      </c>
      <c r="C22" s="103" t="str">
        <f>Listado!C21</f>
        <v>Marcos</v>
      </c>
      <c r="D22" s="107" t="str">
        <f>Listado!D21</f>
        <v>Marcos</v>
      </c>
      <c r="E22" s="103" t="str">
        <f>Listado!E21</f>
        <v>marcos.pedroche@tajamar365.com</v>
      </c>
      <c r="F22" s="103"/>
      <c r="G22" s="103"/>
      <c r="H22" s="30">
        <f t="shared" si="0"/>
        <v>17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31">
        <f t="shared" si="4"/>
        <v>0</v>
      </c>
      <c r="M22" s="31">
        <f t="shared" si="5"/>
        <v>0</v>
      </c>
      <c r="N22" s="31">
        <f t="shared" si="6"/>
        <v>0</v>
      </c>
      <c r="O22" s="32">
        <f t="shared" si="7"/>
        <v>0</v>
      </c>
      <c r="P22" s="4">
        <f t="shared" si="8"/>
        <v>0</v>
      </c>
      <c r="Q22" s="4">
        <f t="shared" si="9"/>
        <v>0</v>
      </c>
      <c r="R22" s="25"/>
      <c r="S22" s="25"/>
      <c r="T22" s="34" t="s">
        <v>123</v>
      </c>
      <c r="U22" s="34" t="s">
        <v>123</v>
      </c>
      <c r="V22" s="132"/>
      <c r="W22" s="3"/>
      <c r="X22" s="128"/>
      <c r="Y22" s="25"/>
      <c r="Z22" s="25"/>
      <c r="AA22" s="34" t="s">
        <v>123</v>
      </c>
      <c r="AB22" s="34" t="s">
        <v>123</v>
      </c>
      <c r="AC22" s="25"/>
      <c r="AD22" s="25"/>
      <c r="AE22" s="25"/>
      <c r="AF22" s="25"/>
      <c r="AG22" s="25"/>
      <c r="AH22" s="34" t="s">
        <v>123</v>
      </c>
      <c r="AI22" s="34" t="s">
        <v>123</v>
      </c>
      <c r="AJ22" s="25"/>
      <c r="AK22" s="25"/>
      <c r="AL22" s="25"/>
      <c r="AM22" s="25"/>
      <c r="AN22" s="25"/>
      <c r="AO22" s="26"/>
      <c r="AP22" s="27">
        <f t="shared" si="10"/>
        <v>93.5</v>
      </c>
    </row>
    <row r="23" spans="1:42" ht="15" customHeight="1" x14ac:dyDescent="0.2">
      <c r="A23" s="103">
        <v>19</v>
      </c>
      <c r="B23" s="103" t="str">
        <f>Listado!B22</f>
        <v xml:space="preserve">Pérez Gregorio </v>
      </c>
      <c r="C23" s="103" t="str">
        <f>Listado!C22</f>
        <v xml:space="preserve">Diego </v>
      </c>
      <c r="D23" s="107" t="str">
        <f>Listado!D22</f>
        <v xml:space="preserve">Diego </v>
      </c>
      <c r="E23" s="103" t="str">
        <f>Listado!E22</f>
        <v>diego.perez@tajamar365.com</v>
      </c>
      <c r="F23" s="103"/>
      <c r="G23" s="103"/>
      <c r="H23" s="30">
        <f t="shared" si="0"/>
        <v>17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31">
        <f t="shared" si="4"/>
        <v>0</v>
      </c>
      <c r="M23" s="31">
        <f t="shared" si="5"/>
        <v>0</v>
      </c>
      <c r="N23" s="31">
        <f t="shared" si="6"/>
        <v>0</v>
      </c>
      <c r="O23" s="32">
        <f t="shared" si="7"/>
        <v>0</v>
      </c>
      <c r="P23" s="4">
        <f t="shared" si="8"/>
        <v>0</v>
      </c>
      <c r="Q23" s="4">
        <f t="shared" si="9"/>
        <v>0</v>
      </c>
      <c r="R23" s="25"/>
      <c r="S23" s="25"/>
      <c r="T23" s="34" t="s">
        <v>123</v>
      </c>
      <c r="U23" s="34" t="s">
        <v>123</v>
      </c>
      <c r="V23" s="132"/>
      <c r="W23" s="3"/>
      <c r="X23" s="128"/>
      <c r="Y23" s="25"/>
      <c r="Z23" s="25"/>
      <c r="AA23" s="34" t="s">
        <v>123</v>
      </c>
      <c r="AB23" s="34" t="s">
        <v>123</v>
      </c>
      <c r="AC23" s="25"/>
      <c r="AD23" s="25"/>
      <c r="AE23" s="25"/>
      <c r="AF23" s="25"/>
      <c r="AG23" s="25"/>
      <c r="AH23" s="34" t="s">
        <v>123</v>
      </c>
      <c r="AI23" s="34" t="s">
        <v>123</v>
      </c>
      <c r="AJ23" s="25"/>
      <c r="AK23" s="25"/>
      <c r="AL23" s="25"/>
      <c r="AM23" s="25"/>
      <c r="AN23" s="25"/>
      <c r="AO23" s="26"/>
      <c r="AP23" s="27">
        <f t="shared" si="10"/>
        <v>93.5</v>
      </c>
    </row>
    <row r="24" spans="1:42" ht="15" customHeight="1" x14ac:dyDescent="0.2">
      <c r="A24" s="103">
        <v>20</v>
      </c>
      <c r="B24" s="103" t="str">
        <f>Listado!B23</f>
        <v>Pinto Díaz</v>
      </c>
      <c r="C24" s="103" t="str">
        <f>Listado!C23</f>
        <v>Ángel</v>
      </c>
      <c r="D24" s="107" t="str">
        <f>Listado!D23</f>
        <v>Ángel</v>
      </c>
      <c r="E24" s="103" t="str">
        <f>Listado!E23</f>
        <v>angel.pinto@tajamar365.com</v>
      </c>
      <c r="F24" s="103"/>
      <c r="G24" s="103"/>
      <c r="H24" s="30">
        <f t="shared" si="0"/>
        <v>17</v>
      </c>
      <c r="I24" s="31">
        <f t="shared" si="1"/>
        <v>0</v>
      </c>
      <c r="J24" s="31">
        <f t="shared" si="2"/>
        <v>0</v>
      </c>
      <c r="K24" s="31">
        <f t="shared" si="3"/>
        <v>0</v>
      </c>
      <c r="L24" s="31">
        <f t="shared" si="4"/>
        <v>0</v>
      </c>
      <c r="M24" s="31">
        <f t="shared" si="5"/>
        <v>0</v>
      </c>
      <c r="N24" s="31">
        <f t="shared" si="6"/>
        <v>0</v>
      </c>
      <c r="O24" s="32">
        <f t="shared" si="7"/>
        <v>0</v>
      </c>
      <c r="P24" s="4">
        <f t="shared" si="8"/>
        <v>0</v>
      </c>
      <c r="Q24" s="4">
        <f t="shared" si="9"/>
        <v>0</v>
      </c>
      <c r="R24" s="25"/>
      <c r="S24" s="25"/>
      <c r="T24" s="34" t="s">
        <v>123</v>
      </c>
      <c r="U24" s="34" t="s">
        <v>123</v>
      </c>
      <c r="V24" s="132"/>
      <c r="W24" s="3"/>
      <c r="X24" s="128"/>
      <c r="Y24" s="25"/>
      <c r="Z24" s="25"/>
      <c r="AA24" s="34" t="s">
        <v>123</v>
      </c>
      <c r="AB24" s="34" t="s">
        <v>123</v>
      </c>
      <c r="AC24" s="25"/>
      <c r="AD24" s="25"/>
      <c r="AE24" s="25"/>
      <c r="AF24" s="25"/>
      <c r="AG24" s="25"/>
      <c r="AH24" s="34" t="s">
        <v>123</v>
      </c>
      <c r="AI24" s="34" t="s">
        <v>123</v>
      </c>
      <c r="AJ24" s="25"/>
      <c r="AK24" s="25"/>
      <c r="AL24" s="25"/>
      <c r="AM24" s="25"/>
      <c r="AN24" s="25"/>
      <c r="AO24" s="26"/>
      <c r="AP24" s="27">
        <f t="shared" si="10"/>
        <v>93.5</v>
      </c>
    </row>
    <row r="25" spans="1:42" ht="15" customHeight="1" x14ac:dyDescent="0.2">
      <c r="A25" s="103">
        <v>21</v>
      </c>
      <c r="B25" s="103" t="str">
        <f>Listado!B24</f>
        <v>Quirós Martín-Portugués</v>
      </c>
      <c r="C25" s="103" t="str">
        <f>Listado!C24</f>
        <v>Marta</v>
      </c>
      <c r="D25" s="107" t="str">
        <f>Listado!D24</f>
        <v>Marta</v>
      </c>
      <c r="E25" s="103" t="str">
        <f>Listado!E24</f>
        <v>marta.quiros@tajamar365.com</v>
      </c>
      <c r="F25" s="103"/>
      <c r="G25" s="103"/>
      <c r="H25" s="30">
        <f t="shared" si="0"/>
        <v>17</v>
      </c>
      <c r="I25" s="31">
        <f t="shared" si="1"/>
        <v>0</v>
      </c>
      <c r="J25" s="31">
        <f t="shared" si="2"/>
        <v>0</v>
      </c>
      <c r="K25" s="31">
        <f t="shared" si="3"/>
        <v>0</v>
      </c>
      <c r="L25" s="31">
        <f t="shared" si="4"/>
        <v>0</v>
      </c>
      <c r="M25" s="31">
        <f t="shared" si="5"/>
        <v>0</v>
      </c>
      <c r="N25" s="31">
        <f t="shared" si="6"/>
        <v>0</v>
      </c>
      <c r="O25" s="32">
        <f t="shared" si="7"/>
        <v>0</v>
      </c>
      <c r="P25" s="4">
        <f t="shared" si="8"/>
        <v>0</v>
      </c>
      <c r="Q25" s="4">
        <f t="shared" si="9"/>
        <v>0</v>
      </c>
      <c r="R25" s="25"/>
      <c r="S25" s="25"/>
      <c r="T25" s="34" t="s">
        <v>123</v>
      </c>
      <c r="U25" s="34" t="s">
        <v>123</v>
      </c>
      <c r="V25" s="132"/>
      <c r="W25" s="3"/>
      <c r="X25" s="128"/>
      <c r="Y25" s="25"/>
      <c r="Z25" s="25"/>
      <c r="AA25" s="34" t="s">
        <v>123</v>
      </c>
      <c r="AB25" s="34" t="s">
        <v>123</v>
      </c>
      <c r="AC25" s="25"/>
      <c r="AD25" s="25"/>
      <c r="AE25" s="25"/>
      <c r="AF25" s="25"/>
      <c r="AG25" s="25"/>
      <c r="AH25" s="34" t="s">
        <v>123</v>
      </c>
      <c r="AI25" s="34" t="s">
        <v>123</v>
      </c>
      <c r="AJ25" s="25"/>
      <c r="AK25" s="25"/>
      <c r="AL25" s="25"/>
      <c r="AM25" s="25"/>
      <c r="AN25" s="25"/>
      <c r="AO25" s="26"/>
      <c r="AP25" s="27">
        <f t="shared" si="10"/>
        <v>93.5</v>
      </c>
    </row>
    <row r="26" spans="1:42" ht="15" customHeight="1" x14ac:dyDescent="0.2">
      <c r="A26" s="103">
        <v>22</v>
      </c>
      <c r="B26" s="103" t="str">
        <f>Listado!B25</f>
        <v>Rodríguez Alonso</v>
      </c>
      <c r="C26" s="103" t="str">
        <f>Listado!C25</f>
        <v>Jorge</v>
      </c>
      <c r="D26" s="107" t="str">
        <f>Listado!D25</f>
        <v>Jorge</v>
      </c>
      <c r="E26" s="103" t="str">
        <f>Listado!E25</f>
        <v>jorge.rodriguezalonso@tajamar365.com</v>
      </c>
      <c r="F26" s="103"/>
      <c r="G26" s="103"/>
      <c r="H26" s="30">
        <f t="shared" si="0"/>
        <v>17</v>
      </c>
      <c r="I26" s="31">
        <f t="shared" si="1"/>
        <v>0</v>
      </c>
      <c r="J26" s="31">
        <f t="shared" si="2"/>
        <v>0</v>
      </c>
      <c r="K26" s="31">
        <f t="shared" si="3"/>
        <v>0</v>
      </c>
      <c r="L26" s="31">
        <f t="shared" si="4"/>
        <v>0</v>
      </c>
      <c r="M26" s="31">
        <f t="shared" si="5"/>
        <v>0</v>
      </c>
      <c r="N26" s="31">
        <f t="shared" si="6"/>
        <v>0</v>
      </c>
      <c r="O26" s="32">
        <f t="shared" si="7"/>
        <v>0</v>
      </c>
      <c r="P26" s="4">
        <f t="shared" si="8"/>
        <v>0</v>
      </c>
      <c r="Q26" s="4">
        <f t="shared" si="9"/>
        <v>0</v>
      </c>
      <c r="R26" s="25"/>
      <c r="S26" s="25"/>
      <c r="T26" s="34" t="s">
        <v>123</v>
      </c>
      <c r="U26" s="34" t="s">
        <v>123</v>
      </c>
      <c r="V26" s="132"/>
      <c r="W26" s="3"/>
      <c r="X26" s="128"/>
      <c r="Y26" s="25"/>
      <c r="Z26" s="25"/>
      <c r="AA26" s="34" t="s">
        <v>123</v>
      </c>
      <c r="AB26" s="34" t="s">
        <v>123</v>
      </c>
      <c r="AC26" s="25"/>
      <c r="AD26" s="25"/>
      <c r="AE26" s="25"/>
      <c r="AF26" s="25"/>
      <c r="AG26" s="25"/>
      <c r="AH26" s="34" t="s">
        <v>123</v>
      </c>
      <c r="AI26" s="34" t="s">
        <v>123</v>
      </c>
      <c r="AJ26" s="25"/>
      <c r="AK26" s="25"/>
      <c r="AL26" s="25"/>
      <c r="AM26" s="25"/>
      <c r="AN26" s="25"/>
      <c r="AO26" s="26"/>
      <c r="AP26" s="27">
        <f t="shared" si="10"/>
        <v>93.5</v>
      </c>
    </row>
    <row r="27" spans="1:42" ht="15" customHeight="1" x14ac:dyDescent="0.2">
      <c r="A27" s="103">
        <v>23</v>
      </c>
      <c r="B27" s="103" t="str">
        <f>Listado!B26</f>
        <v>Rodríguez-Rey Prieto</v>
      </c>
      <c r="C27" s="103" t="str">
        <f>Listado!C26</f>
        <v>Alberto</v>
      </c>
      <c r="D27" s="107" t="str">
        <f>Listado!D26</f>
        <v>Alber</v>
      </c>
      <c r="E27" s="103" t="str">
        <f>Listado!E26</f>
        <v>alberto.rodriguez-rey@tajamar365.com</v>
      </c>
      <c r="F27" s="103"/>
      <c r="G27" s="103"/>
      <c r="H27" s="30">
        <f t="shared" si="0"/>
        <v>17</v>
      </c>
      <c r="I27" s="31">
        <f t="shared" si="1"/>
        <v>0</v>
      </c>
      <c r="J27" s="31">
        <f t="shared" si="2"/>
        <v>0</v>
      </c>
      <c r="K27" s="31">
        <f t="shared" si="3"/>
        <v>0</v>
      </c>
      <c r="L27" s="31">
        <f t="shared" si="4"/>
        <v>0</v>
      </c>
      <c r="M27" s="31">
        <f t="shared" si="5"/>
        <v>0</v>
      </c>
      <c r="N27" s="31">
        <f t="shared" si="6"/>
        <v>0</v>
      </c>
      <c r="O27" s="32">
        <f t="shared" si="7"/>
        <v>0</v>
      </c>
      <c r="P27" s="4">
        <f t="shared" si="8"/>
        <v>0</v>
      </c>
      <c r="Q27" s="4">
        <f t="shared" si="9"/>
        <v>0</v>
      </c>
      <c r="R27" s="25"/>
      <c r="S27" s="25"/>
      <c r="T27" s="34" t="s">
        <v>123</v>
      </c>
      <c r="U27" s="34" t="s">
        <v>123</v>
      </c>
      <c r="V27" s="25"/>
      <c r="W27" s="3"/>
      <c r="X27" s="128"/>
      <c r="Y27" s="25"/>
      <c r="Z27" s="25"/>
      <c r="AA27" s="34" t="s">
        <v>123</v>
      </c>
      <c r="AB27" s="34" t="s">
        <v>123</v>
      </c>
      <c r="AC27" s="25"/>
      <c r="AD27" s="25"/>
      <c r="AE27" s="25"/>
      <c r="AF27" s="25"/>
      <c r="AG27" s="25"/>
      <c r="AH27" s="34" t="s">
        <v>123</v>
      </c>
      <c r="AI27" s="34" t="s">
        <v>123</v>
      </c>
      <c r="AJ27" s="25"/>
      <c r="AK27" s="25"/>
      <c r="AL27" s="25"/>
      <c r="AM27" s="25"/>
      <c r="AN27" s="25"/>
      <c r="AO27" s="26"/>
      <c r="AP27" s="27">
        <f t="shared" si="10"/>
        <v>93.5</v>
      </c>
    </row>
    <row r="28" spans="1:42" ht="15" customHeight="1" x14ac:dyDescent="0.2">
      <c r="A28" s="103">
        <v>24</v>
      </c>
      <c r="B28" s="103" t="str">
        <f>Listado!B27</f>
        <v>Ruiz García</v>
      </c>
      <c r="C28" s="103" t="str">
        <f>Listado!C27</f>
        <v>Alejandro</v>
      </c>
      <c r="D28" s="107" t="str">
        <f>Listado!D27</f>
        <v>Alex</v>
      </c>
      <c r="E28" s="103" t="str">
        <f>Listado!E27</f>
        <v>alejandro.ruizgarcia@tajamar365.com</v>
      </c>
      <c r="F28" s="103"/>
      <c r="G28" s="103"/>
      <c r="H28" s="30">
        <f t="shared" si="0"/>
        <v>17</v>
      </c>
      <c r="I28" s="31">
        <f t="shared" si="1"/>
        <v>0</v>
      </c>
      <c r="J28" s="31">
        <f t="shared" si="2"/>
        <v>0</v>
      </c>
      <c r="K28" s="31">
        <f t="shared" si="3"/>
        <v>0</v>
      </c>
      <c r="L28" s="31">
        <f t="shared" si="4"/>
        <v>0</v>
      </c>
      <c r="M28" s="31">
        <f t="shared" si="5"/>
        <v>0</v>
      </c>
      <c r="N28" s="31">
        <f t="shared" si="6"/>
        <v>0</v>
      </c>
      <c r="O28" s="32">
        <f t="shared" si="7"/>
        <v>0</v>
      </c>
      <c r="P28" s="4">
        <f t="shared" si="8"/>
        <v>0</v>
      </c>
      <c r="Q28" s="4">
        <f t="shared" si="9"/>
        <v>0</v>
      </c>
      <c r="R28" s="25"/>
      <c r="S28" s="25"/>
      <c r="T28" s="34" t="s">
        <v>123</v>
      </c>
      <c r="U28" s="34" t="s">
        <v>123</v>
      </c>
      <c r="V28" s="132"/>
      <c r="W28" s="25"/>
      <c r="X28" s="132"/>
      <c r="Y28" s="25"/>
      <c r="Z28" s="25"/>
      <c r="AA28" s="34" t="s">
        <v>123</v>
      </c>
      <c r="AB28" s="34" t="s">
        <v>123</v>
      </c>
      <c r="AC28" s="25"/>
      <c r="AD28" s="25"/>
      <c r="AE28" s="25"/>
      <c r="AF28" s="25"/>
      <c r="AG28" s="25"/>
      <c r="AH28" s="34" t="s">
        <v>123</v>
      </c>
      <c r="AI28" s="34" t="s">
        <v>123</v>
      </c>
      <c r="AJ28" s="25"/>
      <c r="AK28" s="25"/>
      <c r="AL28" s="25"/>
      <c r="AM28" s="25"/>
      <c r="AN28" s="25"/>
      <c r="AO28" s="26"/>
      <c r="AP28" s="27">
        <f t="shared" si="10"/>
        <v>93.5</v>
      </c>
    </row>
    <row r="29" spans="1:42" ht="15" customHeight="1" x14ac:dyDescent="0.2">
      <c r="A29" s="103">
        <v>25</v>
      </c>
      <c r="B29" s="103" t="str">
        <f>Listado!B28</f>
        <v>Solís Torrijos</v>
      </c>
      <c r="C29" s="103" t="str">
        <f>Listado!C28</f>
        <v>Juan</v>
      </c>
      <c r="D29" s="107" t="str">
        <f>Listado!D28</f>
        <v>Juan</v>
      </c>
      <c r="E29" s="103" t="str">
        <f>Listado!E28</f>
        <v>juan.solis@tajamar365.com</v>
      </c>
      <c r="F29" s="103"/>
      <c r="G29" s="103"/>
      <c r="H29" s="30">
        <f t="shared" si="0"/>
        <v>17</v>
      </c>
      <c r="I29" s="31">
        <f t="shared" si="1"/>
        <v>0</v>
      </c>
      <c r="J29" s="31">
        <f t="shared" si="2"/>
        <v>0</v>
      </c>
      <c r="K29" s="31">
        <f t="shared" si="3"/>
        <v>0</v>
      </c>
      <c r="L29" s="31">
        <f t="shared" si="4"/>
        <v>0</v>
      </c>
      <c r="M29" s="31">
        <f t="shared" si="5"/>
        <v>0</v>
      </c>
      <c r="N29" s="31">
        <f t="shared" si="6"/>
        <v>0</v>
      </c>
      <c r="O29" s="32">
        <f t="shared" si="7"/>
        <v>0</v>
      </c>
      <c r="P29" s="4">
        <f t="shared" si="8"/>
        <v>0</v>
      </c>
      <c r="Q29" s="4">
        <f t="shared" si="9"/>
        <v>0</v>
      </c>
      <c r="R29" s="25"/>
      <c r="S29" s="25"/>
      <c r="T29" s="34" t="s">
        <v>123</v>
      </c>
      <c r="U29" s="34" t="s">
        <v>123</v>
      </c>
      <c r="V29" s="132"/>
      <c r="W29" s="3"/>
      <c r="X29" s="128"/>
      <c r="Y29" s="25"/>
      <c r="Z29" s="25"/>
      <c r="AA29" s="34" t="s">
        <v>123</v>
      </c>
      <c r="AB29" s="34" t="s">
        <v>123</v>
      </c>
      <c r="AC29" s="25"/>
      <c r="AD29" s="25"/>
      <c r="AE29" s="25"/>
      <c r="AF29" s="25"/>
      <c r="AG29" s="25"/>
      <c r="AH29" s="34" t="s">
        <v>123</v>
      </c>
      <c r="AI29" s="34" t="s">
        <v>123</v>
      </c>
      <c r="AJ29" s="25"/>
      <c r="AK29" s="25"/>
      <c r="AL29" s="25"/>
      <c r="AM29" s="25"/>
      <c r="AN29" s="25"/>
      <c r="AO29" s="26"/>
      <c r="AP29" s="27">
        <f t="shared" si="10"/>
        <v>93.5</v>
      </c>
    </row>
    <row r="30" spans="1:42" ht="15" customHeight="1" x14ac:dyDescent="0.2">
      <c r="A30" s="103">
        <v>26</v>
      </c>
      <c r="B30" s="103" t="str">
        <f>Listado!B29</f>
        <v>Vázquez Martínez</v>
      </c>
      <c r="C30" s="103" t="str">
        <f>Listado!C29</f>
        <v>Iván</v>
      </c>
      <c r="D30" s="107" t="str">
        <f>Listado!D29</f>
        <v>Iván</v>
      </c>
      <c r="E30" s="103" t="str">
        <f>Listado!E29</f>
        <v>ivan.vazquez@tajamar365.com</v>
      </c>
      <c r="F30" s="103"/>
      <c r="G30" s="103"/>
      <c r="H30" s="30">
        <f t="shared" si="0"/>
        <v>17</v>
      </c>
      <c r="I30" s="31">
        <f t="shared" si="1"/>
        <v>0</v>
      </c>
      <c r="J30" s="31">
        <f t="shared" si="2"/>
        <v>0</v>
      </c>
      <c r="K30" s="31">
        <f t="shared" si="3"/>
        <v>0</v>
      </c>
      <c r="L30" s="31">
        <f t="shared" si="4"/>
        <v>0</v>
      </c>
      <c r="M30" s="31">
        <f t="shared" si="5"/>
        <v>0</v>
      </c>
      <c r="N30" s="31">
        <f t="shared" si="6"/>
        <v>0</v>
      </c>
      <c r="O30" s="32">
        <f t="shared" si="7"/>
        <v>0</v>
      </c>
      <c r="P30" s="4">
        <f t="shared" si="8"/>
        <v>0</v>
      </c>
      <c r="Q30" s="4">
        <f t="shared" si="9"/>
        <v>0</v>
      </c>
      <c r="R30" s="25"/>
      <c r="S30" s="25"/>
      <c r="T30" s="34" t="s">
        <v>123</v>
      </c>
      <c r="U30" s="34" t="s">
        <v>123</v>
      </c>
      <c r="V30" s="132"/>
      <c r="W30" s="25"/>
      <c r="X30" s="128"/>
      <c r="Y30" s="25"/>
      <c r="Z30" s="25"/>
      <c r="AA30" s="34" t="s">
        <v>123</v>
      </c>
      <c r="AB30" s="34" t="s">
        <v>123</v>
      </c>
      <c r="AC30" s="25"/>
      <c r="AD30" s="25"/>
      <c r="AE30" s="25"/>
      <c r="AF30" s="25"/>
      <c r="AG30" s="25"/>
      <c r="AH30" s="34" t="s">
        <v>123</v>
      </c>
      <c r="AI30" s="34" t="s">
        <v>123</v>
      </c>
      <c r="AJ30" s="25"/>
      <c r="AK30" s="25"/>
      <c r="AL30" s="25"/>
      <c r="AM30" s="25"/>
      <c r="AN30" s="25"/>
      <c r="AO30" s="26"/>
      <c r="AP30" s="27">
        <f t="shared" si="10"/>
        <v>93.5</v>
      </c>
    </row>
    <row r="31" spans="1:42" ht="12.75" customHeight="1" x14ac:dyDescent="0.2">
      <c r="A31" s="1"/>
      <c r="B31" s="2"/>
      <c r="C31" s="2"/>
      <c r="D31" s="2"/>
      <c r="E31" s="2"/>
      <c r="F31" s="2"/>
      <c r="G31" s="2"/>
      <c r="H31" s="151" t="s">
        <v>178</v>
      </c>
      <c r="I31" s="151"/>
      <c r="J31" s="151"/>
      <c r="K31" s="151"/>
      <c r="L31" s="151"/>
      <c r="M31" s="151"/>
      <c r="N31" s="151"/>
      <c r="O31" s="152"/>
      <c r="P31" s="36"/>
      <c r="Q31" s="36"/>
      <c r="R31" s="124"/>
      <c r="S31" s="124"/>
      <c r="T31" s="14"/>
      <c r="U31" s="14"/>
      <c r="V31" s="124"/>
      <c r="W31" s="124"/>
      <c r="X31" s="124"/>
      <c r="Y31" s="124"/>
      <c r="Z31" s="124"/>
      <c r="AA31" s="14"/>
      <c r="AB31" s="14"/>
      <c r="AC31" s="124"/>
      <c r="AD31" s="124"/>
      <c r="AE31" s="124"/>
      <c r="AF31" s="124"/>
      <c r="AG31" s="124"/>
      <c r="AH31" s="14"/>
      <c r="AI31" s="14"/>
      <c r="AJ31" s="124"/>
      <c r="AK31" s="124"/>
      <c r="AL31" s="124"/>
      <c r="AM31" s="124"/>
      <c r="AN31" s="124"/>
      <c r="AO31" s="37"/>
    </row>
    <row r="32" spans="1:42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52"/>
      <c r="S32" s="52"/>
      <c r="T32" s="14"/>
      <c r="U32" s="14"/>
      <c r="V32" s="52"/>
      <c r="W32" s="52"/>
      <c r="X32" s="52"/>
      <c r="Y32" s="52"/>
      <c r="Z32" s="52"/>
      <c r="AA32" s="14"/>
      <c r="AB32" s="14"/>
      <c r="AC32" s="52"/>
      <c r="AD32" s="52"/>
      <c r="AE32" s="52"/>
      <c r="AF32" s="52"/>
      <c r="AG32" s="52"/>
      <c r="AH32" s="14"/>
      <c r="AI32" s="14"/>
      <c r="AJ32" s="52"/>
      <c r="AK32" s="52"/>
      <c r="AL32" s="52"/>
      <c r="AM32" s="52"/>
      <c r="AN32" s="52"/>
      <c r="AO32" s="39"/>
    </row>
    <row r="33" spans="1:40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2">
      <c r="A34" s="3" t="s">
        <v>148</v>
      </c>
      <c r="B34" s="3"/>
      <c r="C34" s="3" t="s">
        <v>153</v>
      </c>
      <c r="H34" t="s">
        <v>152</v>
      </c>
    </row>
    <row r="35" spans="1:40" ht="38.25" x14ac:dyDescent="0.2">
      <c r="A35" s="1" t="s">
        <v>154</v>
      </c>
      <c r="B35" s="1" t="s">
        <v>155</v>
      </c>
      <c r="C35" s="3"/>
    </row>
    <row r="36" spans="1:40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40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40" ht="38.25" x14ac:dyDescent="0.2">
      <c r="A38" s="3" t="s">
        <v>160</v>
      </c>
      <c r="B38" s="3" t="s">
        <v>141</v>
      </c>
      <c r="C38" s="3" t="s">
        <v>157</v>
      </c>
    </row>
    <row r="39" spans="1:40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40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40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40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40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40" x14ac:dyDescent="0.2">
      <c r="C44" s="1"/>
    </row>
    <row r="45" spans="1:40" x14ac:dyDescent="0.2">
      <c r="F45" s="54"/>
      <c r="G45" s="54"/>
      <c r="H45" s="54"/>
      <c r="I45" s="54"/>
      <c r="J45" s="54"/>
      <c r="K45" s="54"/>
      <c r="L45" s="54"/>
    </row>
    <row r="46" spans="1:40" x14ac:dyDescent="0.2"/>
    <row r="47" spans="1:40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40" ht="25.5" x14ac:dyDescent="0.2">
      <c r="A48" s="42" t="s">
        <v>172</v>
      </c>
      <c r="B48" s="42">
        <f>COUNTBLANK(R1:AN1)</f>
        <v>17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93.5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v>814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phoneticPr fontId="12" type="noConversion"/>
  <conditionalFormatting sqref="O5:O30">
    <cfRule type="cellIs" dxfId="33" priority="1" operator="greaterThan">
      <formula>3.9</formula>
    </cfRule>
    <cfRule type="cellIs" dxfId="32" priority="2" operator="between">
      <formula>2</formula>
      <formula>3.9</formula>
    </cfRule>
    <cfRule type="cellIs" dxfId="31" priority="6" stopIfTrue="1" operator="between">
      <formula>1</formula>
      <formula>1.9</formula>
    </cfRule>
  </conditionalFormatting>
  <conditionalFormatting sqref="P5:Q30">
    <cfRule type="cellIs" dxfId="30" priority="3" stopIfTrue="1" operator="between">
      <formula>0</formula>
      <formula>2.9</formula>
    </cfRule>
    <cfRule type="cellIs" dxfId="29" priority="4" stopIfTrue="1" operator="between">
      <formula>3</formula>
      <formula>3.9</formula>
    </cfRule>
    <cfRule type="cellIs" dxfId="28" priority="5" stopIfTrue="1" operator="greaterThan">
      <formula>3.9</formula>
    </cfRule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F88B-CA39-47DA-858B-3A0925B6F03B}">
  <dimension ref="A1:AL114"/>
  <sheetViews>
    <sheetView workbookViewId="0">
      <pane xSplit="4" ySplit="3" topLeftCell="E4" activePane="bottomRight" state="frozen"/>
      <selection pane="topRight"/>
      <selection pane="bottomLeft" activeCell="AP25" sqref="AP25:AQ26"/>
      <selection pane="bottomRight" activeCell="F4" sqref="F4:G29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24" width="11.5703125" customWidth="1"/>
    <col min="25" max="25" width="10.28515625" bestFit="1" customWidth="1"/>
    <col min="26" max="36" width="10.28515625" customWidth="1"/>
    <col min="37" max="37" width="9.140625"/>
    <col min="38" max="38" width="14.42578125" bestFit="1" customWidth="1"/>
  </cols>
  <sheetData>
    <row r="1" spans="1:38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/>
      <c r="U1" s="20"/>
      <c r="V1" s="20"/>
      <c r="W1" s="20" t="s">
        <v>123</v>
      </c>
      <c r="X1" s="20" t="s">
        <v>123</v>
      </c>
      <c r="Y1" s="20" t="s">
        <v>123</v>
      </c>
      <c r="Z1" s="20"/>
      <c r="AA1" s="20"/>
      <c r="AB1" s="20"/>
      <c r="AC1" s="20"/>
      <c r="AD1" s="20" t="s">
        <v>123</v>
      </c>
      <c r="AE1" s="20" t="s">
        <v>123</v>
      </c>
      <c r="AF1" s="20"/>
      <c r="AG1" s="20"/>
      <c r="AH1" s="20"/>
      <c r="AI1" s="20"/>
      <c r="AJ1" s="20"/>
      <c r="AK1" s="23"/>
      <c r="AL1" s="24" t="s">
        <v>124</v>
      </c>
    </row>
    <row r="2" spans="1:38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126</v>
      </c>
      <c r="S2" s="3" t="s">
        <v>127</v>
      </c>
      <c r="T2" s="3" t="s">
        <v>128</v>
      </c>
      <c r="U2" s="3" t="s">
        <v>129</v>
      </c>
      <c r="V2" s="25" t="s">
        <v>130</v>
      </c>
      <c r="W2" s="3" t="s">
        <v>131</v>
      </c>
      <c r="X2" s="3" t="s">
        <v>132</v>
      </c>
      <c r="Y2" s="3" t="s">
        <v>126</v>
      </c>
      <c r="Z2" s="3" t="s">
        <v>127</v>
      </c>
      <c r="AA2" s="3" t="s">
        <v>128</v>
      </c>
      <c r="AB2" s="3" t="s">
        <v>129</v>
      </c>
      <c r="AC2" s="25" t="s">
        <v>130</v>
      </c>
      <c r="AD2" s="3" t="s">
        <v>131</v>
      </c>
      <c r="AE2" s="3" t="s">
        <v>132</v>
      </c>
      <c r="AF2" s="3" t="s">
        <v>126</v>
      </c>
      <c r="AG2" s="3" t="s">
        <v>127</v>
      </c>
      <c r="AH2" s="3" t="s">
        <v>128</v>
      </c>
      <c r="AI2" s="3" t="s">
        <v>129</v>
      </c>
      <c r="AJ2" s="25" t="s">
        <v>130</v>
      </c>
      <c r="AK2" s="26"/>
      <c r="AL2" s="27" t="s">
        <v>133</v>
      </c>
    </row>
    <row r="3" spans="1:38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45992</v>
      </c>
      <c r="S3" s="29">
        <v>45993</v>
      </c>
      <c r="T3" s="29">
        <v>45994</v>
      </c>
      <c r="U3" s="29">
        <v>45995</v>
      </c>
      <c r="V3" s="29">
        <v>45996</v>
      </c>
      <c r="W3" s="29">
        <v>45997</v>
      </c>
      <c r="X3" s="29">
        <v>45998</v>
      </c>
      <c r="Y3" s="29">
        <v>45999</v>
      </c>
      <c r="Z3" s="129">
        <v>46000</v>
      </c>
      <c r="AA3" s="29">
        <v>46001</v>
      </c>
      <c r="AB3" s="29">
        <v>46002</v>
      </c>
      <c r="AC3" s="29">
        <v>46003</v>
      </c>
      <c r="AD3" s="29">
        <v>46004</v>
      </c>
      <c r="AE3" s="29">
        <v>46005</v>
      </c>
      <c r="AF3" s="29">
        <v>46006</v>
      </c>
      <c r="AG3" s="29">
        <v>46007</v>
      </c>
      <c r="AH3" s="29">
        <v>46008</v>
      </c>
      <c r="AI3" s="29">
        <v>46009</v>
      </c>
      <c r="AJ3" s="29">
        <v>46010</v>
      </c>
      <c r="AK3" s="26"/>
      <c r="AL3" s="27" t="s">
        <v>148</v>
      </c>
    </row>
    <row r="4" spans="1:38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 t="shared" ref="H4:H29" si="0">COUNTBLANK(R4:AJ4)</f>
        <v>14</v>
      </c>
      <c r="I4" s="31">
        <f t="shared" ref="I4:I29" si="1">COUNTIF(R4:AJ4,"FJ")</f>
        <v>0</v>
      </c>
      <c r="J4" s="31">
        <f t="shared" ref="J4:J29" si="2">COUNTIF(R4:AJ4,"RJ")</f>
        <v>0</v>
      </c>
      <c r="K4" s="31">
        <f t="shared" ref="K4:K29" si="3">COUNTIF(R4:AJ4,"SAFJ")</f>
        <v>0</v>
      </c>
      <c r="L4" s="31">
        <f t="shared" ref="L4:L29" si="4">COUNTIF(R4:AJ4,"F")</f>
        <v>0</v>
      </c>
      <c r="M4" s="31">
        <f t="shared" ref="M4:M29" si="5">COUNTIF(R4:AJ4,"R")</f>
        <v>0</v>
      </c>
      <c r="N4" s="31">
        <f t="shared" ref="N4:N29" si="6">COUNTIF(R4:AJ4,"SAF")</f>
        <v>0</v>
      </c>
      <c r="O4" s="32">
        <f t="shared" ref="O4:O29" si="7">(L4+(M4/2))+(N4/2)</f>
        <v>0</v>
      </c>
      <c r="P4" s="4">
        <f t="shared" ref="P4:P29" si="8">I4+L4</f>
        <v>0</v>
      </c>
      <c r="Q4" s="4">
        <f t="shared" ref="Q4:Q29" si="9">SUM(I4:N4)</f>
        <v>0</v>
      </c>
      <c r="R4" s="25"/>
      <c r="S4" s="25"/>
      <c r="T4" s="25"/>
      <c r="U4" s="25"/>
      <c r="V4" s="25"/>
      <c r="W4" s="34" t="s">
        <v>123</v>
      </c>
      <c r="X4" s="34" t="s">
        <v>123</v>
      </c>
      <c r="Y4" s="127" t="s">
        <v>123</v>
      </c>
      <c r="Z4" s="25"/>
      <c r="AA4" s="128"/>
      <c r="AB4" s="25"/>
      <c r="AC4" s="25"/>
      <c r="AD4" s="34" t="s">
        <v>123</v>
      </c>
      <c r="AE4" s="34" t="s">
        <v>123</v>
      </c>
      <c r="AF4" s="25"/>
      <c r="AG4" s="25"/>
      <c r="AH4" s="25"/>
      <c r="AI4" s="25"/>
      <c r="AJ4" s="25"/>
      <c r="AK4" s="26"/>
      <c r="AL4" s="27">
        <f t="shared" ref="AL4:AL29" si="10">H4*B$49</f>
        <v>77</v>
      </c>
    </row>
    <row r="5" spans="1:38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si="0"/>
        <v>14</v>
      </c>
      <c r="I5" s="31">
        <f t="shared" si="1"/>
        <v>0</v>
      </c>
      <c r="J5" s="31">
        <f t="shared" si="2"/>
        <v>0</v>
      </c>
      <c r="K5" s="31">
        <f t="shared" si="3"/>
        <v>0</v>
      </c>
      <c r="L5" s="31">
        <f t="shared" si="4"/>
        <v>0</v>
      </c>
      <c r="M5" s="31">
        <f t="shared" si="5"/>
        <v>0</v>
      </c>
      <c r="N5" s="31">
        <f t="shared" si="6"/>
        <v>0</v>
      </c>
      <c r="O5" s="32">
        <f t="shared" si="7"/>
        <v>0</v>
      </c>
      <c r="P5" s="4">
        <f t="shared" si="8"/>
        <v>0</v>
      </c>
      <c r="Q5" s="4">
        <f t="shared" si="9"/>
        <v>0</v>
      </c>
      <c r="R5" s="25"/>
      <c r="S5" s="25"/>
      <c r="T5" s="25"/>
      <c r="U5" s="25"/>
      <c r="V5" s="25"/>
      <c r="W5" s="34" t="s">
        <v>123</v>
      </c>
      <c r="X5" s="34" t="s">
        <v>123</v>
      </c>
      <c r="Y5" s="127" t="s">
        <v>123</v>
      </c>
      <c r="Z5" s="25"/>
      <c r="AA5" s="128"/>
      <c r="AB5" s="25"/>
      <c r="AC5" s="25"/>
      <c r="AD5" s="34" t="s">
        <v>123</v>
      </c>
      <c r="AE5" s="34" t="s">
        <v>123</v>
      </c>
      <c r="AF5" s="25"/>
      <c r="AG5" s="25"/>
      <c r="AH5" s="25"/>
      <c r="AI5" s="25"/>
      <c r="AJ5" s="25"/>
      <c r="AK5" s="26"/>
      <c r="AL5" s="27">
        <f t="shared" si="10"/>
        <v>77</v>
      </c>
    </row>
    <row r="6" spans="1:38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0"/>
        <v>14</v>
      </c>
      <c r="I6" s="31">
        <f t="shared" si="1"/>
        <v>0</v>
      </c>
      <c r="J6" s="31">
        <f t="shared" si="2"/>
        <v>0</v>
      </c>
      <c r="K6" s="31">
        <f t="shared" si="3"/>
        <v>0</v>
      </c>
      <c r="L6" s="31">
        <f t="shared" si="4"/>
        <v>0</v>
      </c>
      <c r="M6" s="31">
        <f t="shared" si="5"/>
        <v>0</v>
      </c>
      <c r="N6" s="31">
        <f t="shared" si="6"/>
        <v>0</v>
      </c>
      <c r="O6" s="32">
        <f t="shared" si="7"/>
        <v>0</v>
      </c>
      <c r="P6" s="4">
        <f t="shared" si="8"/>
        <v>0</v>
      </c>
      <c r="Q6" s="4">
        <f t="shared" si="9"/>
        <v>0</v>
      </c>
      <c r="R6" s="25"/>
      <c r="S6" s="25"/>
      <c r="T6" s="25"/>
      <c r="U6" s="25"/>
      <c r="V6" s="25"/>
      <c r="W6" s="34" t="s">
        <v>123</v>
      </c>
      <c r="X6" s="34" t="s">
        <v>123</v>
      </c>
      <c r="Y6" s="127" t="s">
        <v>123</v>
      </c>
      <c r="Z6" s="25"/>
      <c r="AA6" s="128"/>
      <c r="AB6" s="25"/>
      <c r="AC6" s="25"/>
      <c r="AD6" s="34" t="s">
        <v>123</v>
      </c>
      <c r="AE6" s="34" t="s">
        <v>123</v>
      </c>
      <c r="AF6" s="25"/>
      <c r="AG6" s="25"/>
      <c r="AH6" s="25"/>
      <c r="AI6" s="25"/>
      <c r="AJ6" s="25"/>
      <c r="AK6" s="26"/>
      <c r="AL6" s="27">
        <f t="shared" si="10"/>
        <v>77</v>
      </c>
    </row>
    <row r="7" spans="1:38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0"/>
        <v>14</v>
      </c>
      <c r="I7" s="31">
        <f t="shared" si="1"/>
        <v>0</v>
      </c>
      <c r="J7" s="31">
        <f t="shared" si="2"/>
        <v>0</v>
      </c>
      <c r="K7" s="31">
        <f t="shared" si="3"/>
        <v>0</v>
      </c>
      <c r="L7" s="31">
        <f t="shared" si="4"/>
        <v>0</v>
      </c>
      <c r="M7" s="31">
        <f t="shared" si="5"/>
        <v>0</v>
      </c>
      <c r="N7" s="31">
        <f t="shared" si="6"/>
        <v>0</v>
      </c>
      <c r="O7" s="32">
        <f t="shared" si="7"/>
        <v>0</v>
      </c>
      <c r="P7" s="4">
        <f t="shared" si="8"/>
        <v>0</v>
      </c>
      <c r="Q7" s="4">
        <f t="shared" si="9"/>
        <v>0</v>
      </c>
      <c r="R7" s="25"/>
      <c r="S7" s="25"/>
      <c r="T7" s="25"/>
      <c r="U7" s="25"/>
      <c r="V7" s="25"/>
      <c r="W7" s="34" t="s">
        <v>123</v>
      </c>
      <c r="X7" s="34" t="s">
        <v>123</v>
      </c>
      <c r="Y7" s="127" t="s">
        <v>123</v>
      </c>
      <c r="Z7" s="25"/>
      <c r="AA7" s="128"/>
      <c r="AB7" s="25"/>
      <c r="AC7" s="25"/>
      <c r="AD7" s="34" t="s">
        <v>123</v>
      </c>
      <c r="AE7" s="34" t="s">
        <v>123</v>
      </c>
      <c r="AF7" s="25"/>
      <c r="AG7" s="25"/>
      <c r="AH7" s="25"/>
      <c r="AI7" s="25"/>
      <c r="AJ7" s="25"/>
      <c r="AK7" s="26"/>
      <c r="AL7" s="27">
        <f t="shared" si="10"/>
        <v>77</v>
      </c>
    </row>
    <row r="8" spans="1:38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0"/>
        <v>14</v>
      </c>
      <c r="I8" s="31">
        <f t="shared" si="1"/>
        <v>0</v>
      </c>
      <c r="J8" s="31">
        <f t="shared" si="2"/>
        <v>0</v>
      </c>
      <c r="K8" s="31">
        <f t="shared" si="3"/>
        <v>0</v>
      </c>
      <c r="L8" s="31">
        <f t="shared" si="4"/>
        <v>0</v>
      </c>
      <c r="M8" s="31">
        <f t="shared" si="5"/>
        <v>0</v>
      </c>
      <c r="N8" s="31">
        <f t="shared" si="6"/>
        <v>0</v>
      </c>
      <c r="O8" s="32">
        <f t="shared" si="7"/>
        <v>0</v>
      </c>
      <c r="P8" s="4">
        <f t="shared" si="8"/>
        <v>0</v>
      </c>
      <c r="Q8" s="4">
        <f t="shared" si="9"/>
        <v>0</v>
      </c>
      <c r="R8" s="25"/>
      <c r="S8" s="25"/>
      <c r="T8" s="25"/>
      <c r="U8" s="25"/>
      <c r="V8" s="25"/>
      <c r="W8" s="34" t="s">
        <v>123</v>
      </c>
      <c r="X8" s="34" t="s">
        <v>123</v>
      </c>
      <c r="Y8" s="127" t="s">
        <v>123</v>
      </c>
      <c r="Z8" s="3"/>
      <c r="AA8" s="128"/>
      <c r="AB8" s="25"/>
      <c r="AC8" s="25"/>
      <c r="AD8" s="34" t="s">
        <v>123</v>
      </c>
      <c r="AE8" s="34" t="s">
        <v>123</v>
      </c>
      <c r="AF8" s="25"/>
      <c r="AG8" s="25"/>
      <c r="AH8" s="25"/>
      <c r="AI8" s="25"/>
      <c r="AJ8" s="25"/>
      <c r="AK8" s="26"/>
      <c r="AL8" s="27">
        <f t="shared" si="10"/>
        <v>77</v>
      </c>
    </row>
    <row r="9" spans="1:38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0"/>
        <v>14</v>
      </c>
      <c r="I9" s="31">
        <f t="shared" si="1"/>
        <v>0</v>
      </c>
      <c r="J9" s="31">
        <f t="shared" si="2"/>
        <v>0</v>
      </c>
      <c r="K9" s="31">
        <f t="shared" si="3"/>
        <v>0</v>
      </c>
      <c r="L9" s="31">
        <f t="shared" si="4"/>
        <v>0</v>
      </c>
      <c r="M9" s="31">
        <f t="shared" si="5"/>
        <v>0</v>
      </c>
      <c r="N9" s="31">
        <f t="shared" si="6"/>
        <v>0</v>
      </c>
      <c r="O9" s="32">
        <f t="shared" si="7"/>
        <v>0</v>
      </c>
      <c r="P9" s="4">
        <f t="shared" si="8"/>
        <v>0</v>
      </c>
      <c r="Q9" s="4">
        <f t="shared" si="9"/>
        <v>0</v>
      </c>
      <c r="R9" s="25"/>
      <c r="S9" s="25"/>
      <c r="T9" s="25"/>
      <c r="U9" s="25"/>
      <c r="V9" s="25"/>
      <c r="W9" s="34" t="s">
        <v>123</v>
      </c>
      <c r="X9" s="34" t="s">
        <v>123</v>
      </c>
      <c r="Y9" s="127" t="s">
        <v>123</v>
      </c>
      <c r="Z9" s="3"/>
      <c r="AA9" s="25"/>
      <c r="AB9" s="25"/>
      <c r="AC9" s="25"/>
      <c r="AD9" s="34" t="s">
        <v>123</v>
      </c>
      <c r="AE9" s="34" t="s">
        <v>123</v>
      </c>
      <c r="AF9" s="25"/>
      <c r="AG9" s="25"/>
      <c r="AH9" s="25"/>
      <c r="AI9" s="25"/>
      <c r="AJ9" s="25"/>
      <c r="AK9" s="26"/>
      <c r="AL9" s="27">
        <f t="shared" si="10"/>
        <v>77</v>
      </c>
    </row>
    <row r="10" spans="1:38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0"/>
        <v>14</v>
      </c>
      <c r="I10" s="31">
        <f t="shared" si="1"/>
        <v>0</v>
      </c>
      <c r="J10" s="31">
        <f t="shared" si="2"/>
        <v>0</v>
      </c>
      <c r="K10" s="31">
        <f t="shared" si="3"/>
        <v>0</v>
      </c>
      <c r="L10" s="31">
        <f t="shared" si="4"/>
        <v>0</v>
      </c>
      <c r="M10" s="31">
        <f t="shared" si="5"/>
        <v>0</v>
      </c>
      <c r="N10" s="31">
        <f t="shared" si="6"/>
        <v>0</v>
      </c>
      <c r="O10" s="32">
        <f t="shared" si="7"/>
        <v>0</v>
      </c>
      <c r="P10" s="4">
        <f t="shared" si="8"/>
        <v>0</v>
      </c>
      <c r="Q10" s="4">
        <f t="shared" si="9"/>
        <v>0</v>
      </c>
      <c r="R10" s="25"/>
      <c r="S10" s="25"/>
      <c r="T10" s="25"/>
      <c r="U10" s="25"/>
      <c r="V10" s="25"/>
      <c r="W10" s="34" t="s">
        <v>123</v>
      </c>
      <c r="X10" s="34" t="s">
        <v>123</v>
      </c>
      <c r="Y10" s="127" t="s">
        <v>123</v>
      </c>
      <c r="Z10" s="3"/>
      <c r="AA10" s="128"/>
      <c r="AB10" s="25"/>
      <c r="AC10" s="25"/>
      <c r="AD10" s="34" t="s">
        <v>123</v>
      </c>
      <c r="AE10" s="34" t="s">
        <v>123</v>
      </c>
      <c r="AF10" s="25"/>
      <c r="AG10" s="25"/>
      <c r="AH10" s="25"/>
      <c r="AI10" s="25"/>
      <c r="AJ10" s="25"/>
      <c r="AK10" s="26"/>
      <c r="AL10" s="27">
        <f t="shared" si="10"/>
        <v>77</v>
      </c>
    </row>
    <row r="11" spans="1:38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03"/>
      <c r="H11" s="30">
        <f t="shared" si="0"/>
        <v>14</v>
      </c>
      <c r="I11" s="31">
        <f t="shared" si="1"/>
        <v>0</v>
      </c>
      <c r="J11" s="31">
        <f t="shared" si="2"/>
        <v>0</v>
      </c>
      <c r="K11" s="31">
        <f t="shared" si="3"/>
        <v>0</v>
      </c>
      <c r="L11" s="31">
        <f t="shared" si="4"/>
        <v>0</v>
      </c>
      <c r="M11" s="31">
        <f t="shared" si="5"/>
        <v>0</v>
      </c>
      <c r="N11" s="31">
        <f t="shared" si="6"/>
        <v>0</v>
      </c>
      <c r="O11" s="32">
        <f t="shared" si="7"/>
        <v>0</v>
      </c>
      <c r="P11" s="4">
        <f t="shared" si="8"/>
        <v>0</v>
      </c>
      <c r="Q11" s="4">
        <f t="shared" si="9"/>
        <v>0</v>
      </c>
      <c r="R11" s="25"/>
      <c r="S11" s="25"/>
      <c r="T11" s="25"/>
      <c r="U11" s="25"/>
      <c r="V11" s="25"/>
      <c r="W11" s="34" t="s">
        <v>123</v>
      </c>
      <c r="X11" s="34" t="s">
        <v>123</v>
      </c>
      <c r="Y11" s="127" t="s">
        <v>123</v>
      </c>
      <c r="Z11" s="3"/>
      <c r="AA11" s="128"/>
      <c r="AB11" s="25"/>
      <c r="AC11" s="25"/>
      <c r="AD11" s="34" t="s">
        <v>123</v>
      </c>
      <c r="AE11" s="34" t="s">
        <v>123</v>
      </c>
      <c r="AF11" s="25"/>
      <c r="AG11" s="25"/>
      <c r="AH11" s="25"/>
      <c r="AI11" s="25"/>
      <c r="AJ11" s="25"/>
      <c r="AK11" s="26"/>
      <c r="AL11" s="27">
        <f t="shared" si="10"/>
        <v>77</v>
      </c>
    </row>
    <row r="12" spans="1:38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0"/>
        <v>14</v>
      </c>
      <c r="I12" s="31">
        <f t="shared" si="1"/>
        <v>0</v>
      </c>
      <c r="J12" s="31">
        <f t="shared" si="2"/>
        <v>0</v>
      </c>
      <c r="K12" s="31">
        <f t="shared" si="3"/>
        <v>0</v>
      </c>
      <c r="L12" s="31">
        <f t="shared" si="4"/>
        <v>0</v>
      </c>
      <c r="M12" s="31">
        <f t="shared" si="5"/>
        <v>0</v>
      </c>
      <c r="N12" s="31">
        <f t="shared" si="6"/>
        <v>0</v>
      </c>
      <c r="O12" s="32">
        <f t="shared" si="7"/>
        <v>0</v>
      </c>
      <c r="P12" s="4">
        <f t="shared" si="8"/>
        <v>0</v>
      </c>
      <c r="Q12" s="4">
        <f t="shared" si="9"/>
        <v>0</v>
      </c>
      <c r="R12" s="25"/>
      <c r="S12" s="25"/>
      <c r="T12" s="25"/>
      <c r="U12" s="25"/>
      <c r="V12" s="25"/>
      <c r="W12" s="34" t="s">
        <v>123</v>
      </c>
      <c r="X12" s="34" t="s">
        <v>123</v>
      </c>
      <c r="Y12" s="127" t="s">
        <v>123</v>
      </c>
      <c r="Z12" s="3"/>
      <c r="AA12" s="25"/>
      <c r="AB12" s="25"/>
      <c r="AC12" s="25"/>
      <c r="AD12" s="34" t="s">
        <v>123</v>
      </c>
      <c r="AE12" s="34" t="s">
        <v>123</v>
      </c>
      <c r="AF12" s="25"/>
      <c r="AG12" s="25"/>
      <c r="AH12" s="25"/>
      <c r="AI12" s="25"/>
      <c r="AJ12" s="25"/>
      <c r="AK12" s="26"/>
      <c r="AL12" s="27">
        <f t="shared" si="10"/>
        <v>77</v>
      </c>
    </row>
    <row r="13" spans="1:38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0"/>
        <v>14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31">
        <f t="shared" si="4"/>
        <v>0</v>
      </c>
      <c r="M13" s="31">
        <f t="shared" si="5"/>
        <v>0</v>
      </c>
      <c r="N13" s="31">
        <f t="shared" si="6"/>
        <v>0</v>
      </c>
      <c r="O13" s="32">
        <f t="shared" si="7"/>
        <v>0</v>
      </c>
      <c r="P13" s="4">
        <f t="shared" si="8"/>
        <v>0</v>
      </c>
      <c r="Q13" s="4">
        <f t="shared" si="9"/>
        <v>0</v>
      </c>
      <c r="R13" s="25"/>
      <c r="S13" s="25"/>
      <c r="T13" s="25"/>
      <c r="U13" s="25"/>
      <c r="V13" s="25"/>
      <c r="W13" s="34" t="s">
        <v>123</v>
      </c>
      <c r="X13" s="34" t="s">
        <v>123</v>
      </c>
      <c r="Y13" s="127" t="s">
        <v>123</v>
      </c>
      <c r="Z13" s="3"/>
      <c r="AA13" s="128"/>
      <c r="AB13" s="25"/>
      <c r="AC13" s="25"/>
      <c r="AD13" s="34" t="s">
        <v>123</v>
      </c>
      <c r="AE13" s="34" t="s">
        <v>123</v>
      </c>
      <c r="AF13" s="25"/>
      <c r="AG13" s="25"/>
      <c r="AH13" s="25"/>
      <c r="AI13" s="25"/>
      <c r="AJ13" s="25"/>
      <c r="AK13" s="26"/>
      <c r="AL13" s="27">
        <f t="shared" si="10"/>
        <v>77</v>
      </c>
    </row>
    <row r="14" spans="1:38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0"/>
        <v>14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31">
        <f t="shared" si="4"/>
        <v>0</v>
      </c>
      <c r="M14" s="31">
        <f t="shared" si="5"/>
        <v>0</v>
      </c>
      <c r="N14" s="31">
        <f t="shared" si="6"/>
        <v>0</v>
      </c>
      <c r="O14" s="32">
        <f t="shared" si="7"/>
        <v>0</v>
      </c>
      <c r="P14" s="4">
        <f t="shared" si="8"/>
        <v>0</v>
      </c>
      <c r="Q14" s="4">
        <f t="shared" si="9"/>
        <v>0</v>
      </c>
      <c r="R14" s="25"/>
      <c r="S14" s="25"/>
      <c r="T14" s="25"/>
      <c r="U14" s="25"/>
      <c r="V14" s="25"/>
      <c r="W14" s="34" t="s">
        <v>123</v>
      </c>
      <c r="X14" s="34" t="s">
        <v>123</v>
      </c>
      <c r="Y14" s="127" t="s">
        <v>123</v>
      </c>
      <c r="Z14" s="3"/>
      <c r="AA14" s="128"/>
      <c r="AB14" s="25"/>
      <c r="AC14" s="25"/>
      <c r="AD14" s="34" t="s">
        <v>123</v>
      </c>
      <c r="AE14" s="34" t="s">
        <v>123</v>
      </c>
      <c r="AF14" s="25"/>
      <c r="AG14" s="25"/>
      <c r="AH14" s="25"/>
      <c r="AI14" s="25"/>
      <c r="AJ14" s="25"/>
      <c r="AK14" s="26"/>
      <c r="AL14" s="27">
        <f t="shared" si="10"/>
        <v>77</v>
      </c>
    </row>
    <row r="15" spans="1:38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0"/>
        <v>14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31">
        <f t="shared" si="4"/>
        <v>0</v>
      </c>
      <c r="M15" s="31">
        <f t="shared" si="5"/>
        <v>0</v>
      </c>
      <c r="N15" s="31">
        <f t="shared" si="6"/>
        <v>0</v>
      </c>
      <c r="O15" s="32">
        <f t="shared" si="7"/>
        <v>0</v>
      </c>
      <c r="P15" s="4">
        <f t="shared" si="8"/>
        <v>0</v>
      </c>
      <c r="Q15" s="4">
        <f t="shared" si="9"/>
        <v>0</v>
      </c>
      <c r="R15" s="25"/>
      <c r="S15" s="25"/>
      <c r="T15" s="25"/>
      <c r="U15" s="25"/>
      <c r="V15" s="25"/>
      <c r="W15" s="34" t="s">
        <v>123</v>
      </c>
      <c r="X15" s="34" t="s">
        <v>123</v>
      </c>
      <c r="Y15" s="127" t="s">
        <v>123</v>
      </c>
      <c r="Z15" s="3"/>
      <c r="AA15" s="128"/>
      <c r="AB15" s="25"/>
      <c r="AC15" s="25"/>
      <c r="AD15" s="34" t="s">
        <v>123</v>
      </c>
      <c r="AE15" s="34" t="s">
        <v>123</v>
      </c>
      <c r="AF15" s="25"/>
      <c r="AG15" s="25"/>
      <c r="AH15" s="25"/>
      <c r="AI15" s="25"/>
      <c r="AJ15" s="25"/>
      <c r="AK15" s="26"/>
      <c r="AL15" s="27">
        <f t="shared" si="10"/>
        <v>77</v>
      </c>
    </row>
    <row r="16" spans="1:38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0"/>
        <v>14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31">
        <f t="shared" si="4"/>
        <v>0</v>
      </c>
      <c r="M16" s="31">
        <f t="shared" si="5"/>
        <v>0</v>
      </c>
      <c r="N16" s="31">
        <f t="shared" si="6"/>
        <v>0</v>
      </c>
      <c r="O16" s="32">
        <f t="shared" si="7"/>
        <v>0</v>
      </c>
      <c r="P16" s="4">
        <f t="shared" si="8"/>
        <v>0</v>
      </c>
      <c r="Q16" s="4">
        <f t="shared" si="9"/>
        <v>0</v>
      </c>
      <c r="R16" s="25"/>
      <c r="S16" s="25"/>
      <c r="T16" s="25"/>
      <c r="U16" s="25"/>
      <c r="V16" s="25"/>
      <c r="W16" s="34" t="s">
        <v>123</v>
      </c>
      <c r="X16" s="34" t="s">
        <v>123</v>
      </c>
      <c r="Y16" s="127" t="s">
        <v>123</v>
      </c>
      <c r="Z16" s="3"/>
      <c r="AA16" s="128"/>
      <c r="AB16" s="25"/>
      <c r="AC16" s="25"/>
      <c r="AD16" s="34" t="s">
        <v>123</v>
      </c>
      <c r="AE16" s="34" t="s">
        <v>123</v>
      </c>
      <c r="AF16" s="25"/>
      <c r="AG16" s="25"/>
      <c r="AH16" s="25"/>
      <c r="AI16" s="25"/>
      <c r="AJ16" s="25"/>
      <c r="AK16" s="26"/>
      <c r="AL16" s="27">
        <f t="shared" si="10"/>
        <v>77</v>
      </c>
    </row>
    <row r="17" spans="1:38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0"/>
        <v>14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31">
        <f t="shared" si="4"/>
        <v>0</v>
      </c>
      <c r="M17" s="31">
        <f t="shared" si="5"/>
        <v>0</v>
      </c>
      <c r="N17" s="31">
        <f t="shared" si="6"/>
        <v>0</v>
      </c>
      <c r="O17" s="32">
        <f t="shared" si="7"/>
        <v>0</v>
      </c>
      <c r="P17" s="4">
        <f t="shared" si="8"/>
        <v>0</v>
      </c>
      <c r="Q17" s="4">
        <f t="shared" si="9"/>
        <v>0</v>
      </c>
      <c r="R17" s="25"/>
      <c r="S17" s="25"/>
      <c r="T17" s="25"/>
      <c r="U17" s="25"/>
      <c r="V17" s="25"/>
      <c r="W17" s="34" t="s">
        <v>123</v>
      </c>
      <c r="X17" s="34" t="s">
        <v>123</v>
      </c>
      <c r="Y17" s="127" t="s">
        <v>123</v>
      </c>
      <c r="Z17" s="3"/>
      <c r="AA17" s="128"/>
      <c r="AB17" s="25"/>
      <c r="AC17" s="25"/>
      <c r="AD17" s="34" t="s">
        <v>123</v>
      </c>
      <c r="AE17" s="34" t="s">
        <v>123</v>
      </c>
      <c r="AF17" s="25"/>
      <c r="AG17" s="25"/>
      <c r="AH17" s="25"/>
      <c r="AI17" s="25"/>
      <c r="AJ17" s="25"/>
      <c r="AK17" s="26"/>
      <c r="AL17" s="27">
        <f t="shared" si="10"/>
        <v>77</v>
      </c>
    </row>
    <row r="18" spans="1:38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0"/>
        <v>14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31">
        <f t="shared" si="4"/>
        <v>0</v>
      </c>
      <c r="M18" s="31">
        <f t="shared" si="5"/>
        <v>0</v>
      </c>
      <c r="N18" s="31">
        <f t="shared" si="6"/>
        <v>0</v>
      </c>
      <c r="O18" s="32">
        <f t="shared" si="7"/>
        <v>0</v>
      </c>
      <c r="P18" s="4">
        <f t="shared" si="8"/>
        <v>0</v>
      </c>
      <c r="Q18" s="4">
        <f t="shared" si="9"/>
        <v>0</v>
      </c>
      <c r="R18" s="25"/>
      <c r="S18" s="25"/>
      <c r="T18" s="25"/>
      <c r="U18" s="25"/>
      <c r="V18" s="25"/>
      <c r="W18" s="34" t="s">
        <v>123</v>
      </c>
      <c r="X18" s="34" t="s">
        <v>123</v>
      </c>
      <c r="Y18" s="127" t="s">
        <v>123</v>
      </c>
      <c r="Z18" s="3"/>
      <c r="AA18" s="128"/>
      <c r="AB18" s="25"/>
      <c r="AC18" s="25"/>
      <c r="AD18" s="34" t="s">
        <v>123</v>
      </c>
      <c r="AE18" s="34" t="s">
        <v>123</v>
      </c>
      <c r="AF18" s="25"/>
      <c r="AG18" s="25"/>
      <c r="AH18" s="25"/>
      <c r="AI18" s="25"/>
      <c r="AJ18" s="25"/>
      <c r="AK18" s="26"/>
      <c r="AL18" s="27">
        <f t="shared" si="10"/>
        <v>77</v>
      </c>
    </row>
    <row r="19" spans="1:38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0"/>
        <v>14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31">
        <f t="shared" si="4"/>
        <v>0</v>
      </c>
      <c r="M19" s="31">
        <f t="shared" si="5"/>
        <v>0</v>
      </c>
      <c r="N19" s="31">
        <f t="shared" si="6"/>
        <v>0</v>
      </c>
      <c r="O19" s="32">
        <f t="shared" si="7"/>
        <v>0</v>
      </c>
      <c r="P19" s="4">
        <f t="shared" si="8"/>
        <v>0</v>
      </c>
      <c r="Q19" s="4">
        <f t="shared" si="9"/>
        <v>0</v>
      </c>
      <c r="R19" s="25"/>
      <c r="S19" s="25"/>
      <c r="T19" s="25"/>
      <c r="U19" s="25"/>
      <c r="V19" s="25"/>
      <c r="W19" s="34" t="s">
        <v>123</v>
      </c>
      <c r="X19" s="34" t="s">
        <v>123</v>
      </c>
      <c r="Y19" s="127" t="s">
        <v>123</v>
      </c>
      <c r="Z19" s="3"/>
      <c r="AA19" s="128"/>
      <c r="AB19" s="25"/>
      <c r="AC19" s="25"/>
      <c r="AD19" s="34" t="s">
        <v>123</v>
      </c>
      <c r="AE19" s="34" t="s">
        <v>123</v>
      </c>
      <c r="AF19" s="25"/>
      <c r="AG19" s="25"/>
      <c r="AH19" s="25"/>
      <c r="AI19" s="25"/>
      <c r="AJ19" s="25"/>
      <c r="AK19" s="26"/>
      <c r="AL19" s="27">
        <f t="shared" si="10"/>
        <v>77</v>
      </c>
    </row>
    <row r="20" spans="1:38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0"/>
        <v>14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31">
        <f t="shared" si="4"/>
        <v>0</v>
      </c>
      <c r="M20" s="31">
        <f t="shared" si="5"/>
        <v>0</v>
      </c>
      <c r="N20" s="31">
        <f t="shared" si="6"/>
        <v>0</v>
      </c>
      <c r="O20" s="32">
        <f t="shared" si="7"/>
        <v>0</v>
      </c>
      <c r="P20" s="4">
        <f t="shared" si="8"/>
        <v>0</v>
      </c>
      <c r="Q20" s="4">
        <f t="shared" si="9"/>
        <v>0</v>
      </c>
      <c r="R20" s="25"/>
      <c r="S20" s="25"/>
      <c r="T20" s="25"/>
      <c r="U20" s="25"/>
      <c r="V20" s="25"/>
      <c r="W20" s="34" t="s">
        <v>123</v>
      </c>
      <c r="X20" s="34" t="s">
        <v>123</v>
      </c>
      <c r="Y20" s="127" t="s">
        <v>123</v>
      </c>
      <c r="Z20" s="3"/>
      <c r="AA20" s="128"/>
      <c r="AB20" s="25"/>
      <c r="AC20" s="25"/>
      <c r="AD20" s="34" t="s">
        <v>123</v>
      </c>
      <c r="AE20" s="34" t="s">
        <v>123</v>
      </c>
      <c r="AF20" s="25"/>
      <c r="AG20" s="25"/>
      <c r="AH20" s="25"/>
      <c r="AI20" s="25"/>
      <c r="AJ20" s="25"/>
      <c r="AK20" s="26"/>
      <c r="AL20" s="27">
        <f t="shared" si="10"/>
        <v>77</v>
      </c>
    </row>
    <row r="21" spans="1:38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0"/>
        <v>14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31">
        <f t="shared" si="4"/>
        <v>0</v>
      </c>
      <c r="M21" s="31">
        <f t="shared" si="5"/>
        <v>0</v>
      </c>
      <c r="N21" s="31">
        <f t="shared" si="6"/>
        <v>0</v>
      </c>
      <c r="O21" s="32">
        <f t="shared" si="7"/>
        <v>0</v>
      </c>
      <c r="P21" s="4">
        <f t="shared" si="8"/>
        <v>0</v>
      </c>
      <c r="Q21" s="4">
        <f t="shared" si="9"/>
        <v>0</v>
      </c>
      <c r="R21" s="25"/>
      <c r="S21" s="25"/>
      <c r="T21" s="25"/>
      <c r="U21" s="25"/>
      <c r="V21" s="25"/>
      <c r="W21" s="34" t="s">
        <v>123</v>
      </c>
      <c r="X21" s="34" t="s">
        <v>123</v>
      </c>
      <c r="Y21" s="127" t="s">
        <v>123</v>
      </c>
      <c r="Z21" s="3"/>
      <c r="AA21" s="128"/>
      <c r="AB21" s="25"/>
      <c r="AC21" s="25"/>
      <c r="AD21" s="34" t="s">
        <v>123</v>
      </c>
      <c r="AE21" s="34" t="s">
        <v>123</v>
      </c>
      <c r="AF21" s="25"/>
      <c r="AG21" s="25"/>
      <c r="AH21" s="25"/>
      <c r="AI21" s="25"/>
      <c r="AJ21" s="25"/>
      <c r="AK21" s="26"/>
      <c r="AL21" s="27">
        <f t="shared" si="10"/>
        <v>77</v>
      </c>
    </row>
    <row r="22" spans="1:38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0"/>
        <v>14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31">
        <f t="shared" si="4"/>
        <v>0</v>
      </c>
      <c r="M22" s="31">
        <f t="shared" si="5"/>
        <v>0</v>
      </c>
      <c r="N22" s="31">
        <f t="shared" si="6"/>
        <v>0</v>
      </c>
      <c r="O22" s="32">
        <f t="shared" si="7"/>
        <v>0</v>
      </c>
      <c r="P22" s="4">
        <f t="shared" si="8"/>
        <v>0</v>
      </c>
      <c r="Q22" s="4">
        <f t="shared" si="9"/>
        <v>0</v>
      </c>
      <c r="R22" s="25"/>
      <c r="S22" s="25"/>
      <c r="T22" s="25"/>
      <c r="U22" s="25"/>
      <c r="V22" s="25"/>
      <c r="W22" s="34" t="s">
        <v>123</v>
      </c>
      <c r="X22" s="34" t="s">
        <v>123</v>
      </c>
      <c r="Y22" s="127" t="s">
        <v>123</v>
      </c>
      <c r="Z22" s="3"/>
      <c r="AA22" s="25"/>
      <c r="AB22" s="25"/>
      <c r="AC22" s="25"/>
      <c r="AD22" s="34" t="s">
        <v>123</v>
      </c>
      <c r="AE22" s="34" t="s">
        <v>123</v>
      </c>
      <c r="AF22" s="25"/>
      <c r="AG22" s="25"/>
      <c r="AH22" s="25"/>
      <c r="AI22" s="25"/>
      <c r="AJ22" s="25"/>
      <c r="AK22" s="26"/>
      <c r="AL22" s="27">
        <f t="shared" si="10"/>
        <v>77</v>
      </c>
    </row>
    <row r="23" spans="1:38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0"/>
        <v>14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31">
        <f t="shared" si="4"/>
        <v>0</v>
      </c>
      <c r="M23" s="31">
        <f t="shared" si="5"/>
        <v>0</v>
      </c>
      <c r="N23" s="31">
        <f t="shared" si="6"/>
        <v>0</v>
      </c>
      <c r="O23" s="32">
        <f t="shared" si="7"/>
        <v>0</v>
      </c>
      <c r="P23" s="4">
        <f t="shared" si="8"/>
        <v>0</v>
      </c>
      <c r="Q23" s="4">
        <f t="shared" si="9"/>
        <v>0</v>
      </c>
      <c r="R23" s="25"/>
      <c r="S23" s="25"/>
      <c r="T23" s="25"/>
      <c r="U23" s="25"/>
      <c r="V23" s="25"/>
      <c r="W23" s="34" t="s">
        <v>123</v>
      </c>
      <c r="X23" s="34" t="s">
        <v>123</v>
      </c>
      <c r="Y23" s="127" t="s">
        <v>123</v>
      </c>
      <c r="Z23" s="3"/>
      <c r="AA23" s="25"/>
      <c r="AB23" s="25"/>
      <c r="AC23" s="25"/>
      <c r="AD23" s="34" t="s">
        <v>123</v>
      </c>
      <c r="AE23" s="34" t="s">
        <v>123</v>
      </c>
      <c r="AF23" s="25"/>
      <c r="AG23" s="25"/>
      <c r="AH23" s="25"/>
      <c r="AI23" s="25"/>
      <c r="AJ23" s="25"/>
      <c r="AK23" s="26"/>
      <c r="AL23" s="27">
        <f t="shared" si="10"/>
        <v>77</v>
      </c>
    </row>
    <row r="24" spans="1:38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0"/>
        <v>14</v>
      </c>
      <c r="I24" s="31">
        <f t="shared" si="1"/>
        <v>0</v>
      </c>
      <c r="J24" s="31">
        <f t="shared" si="2"/>
        <v>0</v>
      </c>
      <c r="K24" s="31">
        <f t="shared" si="3"/>
        <v>0</v>
      </c>
      <c r="L24" s="31">
        <f t="shared" si="4"/>
        <v>0</v>
      </c>
      <c r="M24" s="31">
        <f t="shared" si="5"/>
        <v>0</v>
      </c>
      <c r="N24" s="31">
        <f t="shared" si="6"/>
        <v>0</v>
      </c>
      <c r="O24" s="32">
        <f t="shared" si="7"/>
        <v>0</v>
      </c>
      <c r="P24" s="4">
        <f t="shared" si="8"/>
        <v>0</v>
      </c>
      <c r="Q24" s="4">
        <f t="shared" si="9"/>
        <v>0</v>
      </c>
      <c r="R24" s="25"/>
      <c r="S24" s="25"/>
      <c r="T24" s="25"/>
      <c r="U24" s="25"/>
      <c r="V24" s="25"/>
      <c r="W24" s="34" t="s">
        <v>123</v>
      </c>
      <c r="X24" s="34" t="s">
        <v>123</v>
      </c>
      <c r="Y24" s="127" t="s">
        <v>123</v>
      </c>
      <c r="Z24" s="3"/>
      <c r="AA24" s="128"/>
      <c r="AB24" s="25"/>
      <c r="AC24" s="25"/>
      <c r="AD24" s="34" t="s">
        <v>123</v>
      </c>
      <c r="AE24" s="34" t="s">
        <v>123</v>
      </c>
      <c r="AF24" s="25"/>
      <c r="AG24" s="25"/>
      <c r="AH24" s="25"/>
      <c r="AI24" s="25"/>
      <c r="AJ24" s="25"/>
      <c r="AK24" s="26"/>
      <c r="AL24" s="27">
        <f t="shared" si="10"/>
        <v>77</v>
      </c>
    </row>
    <row r="25" spans="1:38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0"/>
        <v>14</v>
      </c>
      <c r="I25" s="31">
        <f t="shared" si="1"/>
        <v>0</v>
      </c>
      <c r="J25" s="31">
        <f t="shared" si="2"/>
        <v>0</v>
      </c>
      <c r="K25" s="31">
        <f t="shared" si="3"/>
        <v>0</v>
      </c>
      <c r="L25" s="31">
        <f t="shared" si="4"/>
        <v>0</v>
      </c>
      <c r="M25" s="31">
        <f t="shared" si="5"/>
        <v>0</v>
      </c>
      <c r="N25" s="31">
        <f t="shared" si="6"/>
        <v>0</v>
      </c>
      <c r="O25" s="32">
        <f t="shared" si="7"/>
        <v>0</v>
      </c>
      <c r="P25" s="4">
        <f t="shared" si="8"/>
        <v>0</v>
      </c>
      <c r="Q25" s="4">
        <f t="shared" si="9"/>
        <v>0</v>
      </c>
      <c r="R25" s="25"/>
      <c r="S25" s="25"/>
      <c r="T25" s="25"/>
      <c r="U25" s="25"/>
      <c r="V25" s="25"/>
      <c r="W25" s="34" t="s">
        <v>123</v>
      </c>
      <c r="X25" s="34" t="s">
        <v>123</v>
      </c>
      <c r="Y25" s="127" t="s">
        <v>123</v>
      </c>
      <c r="Z25" s="3"/>
      <c r="AA25" s="128"/>
      <c r="AB25" s="25"/>
      <c r="AC25" s="25"/>
      <c r="AD25" s="34" t="s">
        <v>123</v>
      </c>
      <c r="AE25" s="34" t="s">
        <v>123</v>
      </c>
      <c r="AF25" s="25"/>
      <c r="AG25" s="25"/>
      <c r="AH25" s="25"/>
      <c r="AI25" s="25"/>
      <c r="AJ25" s="25"/>
      <c r="AK25" s="26"/>
      <c r="AL25" s="27">
        <f t="shared" si="10"/>
        <v>77</v>
      </c>
    </row>
    <row r="26" spans="1:38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0"/>
        <v>14</v>
      </c>
      <c r="I26" s="31">
        <f t="shared" si="1"/>
        <v>0</v>
      </c>
      <c r="J26" s="31">
        <f t="shared" si="2"/>
        <v>0</v>
      </c>
      <c r="K26" s="31">
        <f t="shared" si="3"/>
        <v>0</v>
      </c>
      <c r="L26" s="31">
        <f t="shared" si="4"/>
        <v>0</v>
      </c>
      <c r="M26" s="31">
        <f t="shared" si="5"/>
        <v>0</v>
      </c>
      <c r="N26" s="31">
        <f t="shared" si="6"/>
        <v>0</v>
      </c>
      <c r="O26" s="32">
        <f t="shared" si="7"/>
        <v>0</v>
      </c>
      <c r="P26" s="4">
        <f t="shared" si="8"/>
        <v>0</v>
      </c>
      <c r="Q26" s="4">
        <f t="shared" si="9"/>
        <v>0</v>
      </c>
      <c r="R26" s="25"/>
      <c r="S26" s="25"/>
      <c r="T26" s="25"/>
      <c r="U26" s="25"/>
      <c r="V26" s="25"/>
      <c r="W26" s="34" t="s">
        <v>123</v>
      </c>
      <c r="X26" s="34" t="s">
        <v>123</v>
      </c>
      <c r="Y26" s="127" t="s">
        <v>123</v>
      </c>
      <c r="Z26" s="3"/>
      <c r="AA26" s="128"/>
      <c r="AB26" s="25"/>
      <c r="AC26" s="25"/>
      <c r="AD26" s="34" t="s">
        <v>123</v>
      </c>
      <c r="AE26" s="34" t="s">
        <v>123</v>
      </c>
      <c r="AF26" s="25"/>
      <c r="AG26" s="25"/>
      <c r="AH26" s="25"/>
      <c r="AI26" s="25"/>
      <c r="AJ26" s="25"/>
      <c r="AK26" s="26"/>
      <c r="AL26" s="27">
        <f t="shared" si="10"/>
        <v>77</v>
      </c>
    </row>
    <row r="27" spans="1:38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0"/>
        <v>14</v>
      </c>
      <c r="I27" s="31">
        <f t="shared" si="1"/>
        <v>0</v>
      </c>
      <c r="J27" s="31">
        <f t="shared" si="2"/>
        <v>0</v>
      </c>
      <c r="K27" s="31">
        <f t="shared" si="3"/>
        <v>0</v>
      </c>
      <c r="L27" s="31">
        <f t="shared" si="4"/>
        <v>0</v>
      </c>
      <c r="M27" s="31">
        <f t="shared" si="5"/>
        <v>0</v>
      </c>
      <c r="N27" s="31">
        <f t="shared" si="6"/>
        <v>0</v>
      </c>
      <c r="O27" s="32">
        <f t="shared" si="7"/>
        <v>0</v>
      </c>
      <c r="P27" s="4">
        <f t="shared" si="8"/>
        <v>0</v>
      </c>
      <c r="Q27" s="4">
        <f t="shared" si="9"/>
        <v>0</v>
      </c>
      <c r="R27" s="25"/>
      <c r="S27" s="25"/>
      <c r="T27" s="25"/>
      <c r="U27" s="25"/>
      <c r="V27" s="25"/>
      <c r="W27" s="34" t="s">
        <v>123</v>
      </c>
      <c r="X27" s="34" t="s">
        <v>123</v>
      </c>
      <c r="Y27" s="127" t="s">
        <v>123</v>
      </c>
      <c r="Z27" s="3"/>
      <c r="AA27" s="128"/>
      <c r="AB27" s="25"/>
      <c r="AC27" s="25"/>
      <c r="AD27" s="34" t="s">
        <v>123</v>
      </c>
      <c r="AE27" s="34" t="s">
        <v>123</v>
      </c>
      <c r="AF27" s="25"/>
      <c r="AG27" s="25"/>
      <c r="AH27" s="25"/>
      <c r="AI27" s="25"/>
      <c r="AJ27" s="25"/>
      <c r="AK27" s="26"/>
      <c r="AL27" s="27">
        <f t="shared" si="10"/>
        <v>77</v>
      </c>
    </row>
    <row r="28" spans="1:38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0"/>
        <v>14</v>
      </c>
      <c r="I28" s="31">
        <f t="shared" si="1"/>
        <v>0</v>
      </c>
      <c r="J28" s="31">
        <f t="shared" si="2"/>
        <v>0</v>
      </c>
      <c r="K28" s="31">
        <f t="shared" si="3"/>
        <v>0</v>
      </c>
      <c r="L28" s="31">
        <f t="shared" si="4"/>
        <v>0</v>
      </c>
      <c r="M28" s="31">
        <f t="shared" si="5"/>
        <v>0</v>
      </c>
      <c r="N28" s="31">
        <f t="shared" si="6"/>
        <v>0</v>
      </c>
      <c r="O28" s="32">
        <f t="shared" si="7"/>
        <v>0</v>
      </c>
      <c r="P28" s="4">
        <f t="shared" si="8"/>
        <v>0</v>
      </c>
      <c r="Q28" s="4">
        <f t="shared" si="9"/>
        <v>0</v>
      </c>
      <c r="R28" s="25"/>
      <c r="S28" s="25"/>
      <c r="T28" s="25"/>
      <c r="U28" s="25"/>
      <c r="V28" s="25"/>
      <c r="W28" s="34" t="s">
        <v>123</v>
      </c>
      <c r="X28" s="34" t="s">
        <v>123</v>
      </c>
      <c r="Y28" s="127" t="s">
        <v>123</v>
      </c>
      <c r="Z28" s="3"/>
      <c r="AA28" s="25"/>
      <c r="AB28" s="25"/>
      <c r="AC28" s="25"/>
      <c r="AD28" s="34" t="s">
        <v>123</v>
      </c>
      <c r="AE28" s="34" t="s">
        <v>123</v>
      </c>
      <c r="AF28" s="25"/>
      <c r="AG28" s="25"/>
      <c r="AH28" s="25"/>
      <c r="AI28" s="25"/>
      <c r="AJ28" s="25"/>
      <c r="AK28" s="26"/>
      <c r="AL28" s="27">
        <f t="shared" si="10"/>
        <v>77</v>
      </c>
    </row>
    <row r="29" spans="1:38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0"/>
        <v>14</v>
      </c>
      <c r="I29" s="31">
        <f t="shared" si="1"/>
        <v>0</v>
      </c>
      <c r="J29" s="31">
        <f t="shared" si="2"/>
        <v>0</v>
      </c>
      <c r="K29" s="31">
        <f t="shared" si="3"/>
        <v>0</v>
      </c>
      <c r="L29" s="31">
        <f t="shared" si="4"/>
        <v>0</v>
      </c>
      <c r="M29" s="31">
        <f t="shared" si="5"/>
        <v>0</v>
      </c>
      <c r="N29" s="31">
        <f t="shared" si="6"/>
        <v>0</v>
      </c>
      <c r="O29" s="32">
        <f t="shared" si="7"/>
        <v>0</v>
      </c>
      <c r="P29" s="4">
        <f t="shared" si="8"/>
        <v>0</v>
      </c>
      <c r="Q29" s="4">
        <f t="shared" si="9"/>
        <v>0</v>
      </c>
      <c r="R29" s="25"/>
      <c r="S29" s="25"/>
      <c r="T29" s="25"/>
      <c r="U29" s="25"/>
      <c r="V29" s="25"/>
      <c r="W29" s="34" t="s">
        <v>123</v>
      </c>
      <c r="X29" s="34" t="s">
        <v>123</v>
      </c>
      <c r="Y29" s="127" t="s">
        <v>123</v>
      </c>
      <c r="Z29" s="25"/>
      <c r="AA29" s="128"/>
      <c r="AB29" s="25"/>
      <c r="AC29" s="25"/>
      <c r="AD29" s="34" t="s">
        <v>123</v>
      </c>
      <c r="AE29" s="34" t="s">
        <v>123</v>
      </c>
      <c r="AF29" s="25"/>
      <c r="AG29" s="25"/>
      <c r="AH29" s="25"/>
      <c r="AI29" s="25"/>
      <c r="AJ29" s="25"/>
      <c r="AK29" s="26"/>
      <c r="AL29" s="27">
        <f t="shared" si="10"/>
        <v>77</v>
      </c>
    </row>
    <row r="30" spans="1:38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1"/>
      <c r="S30" s="90"/>
      <c r="T30" s="90"/>
      <c r="U30" s="90"/>
      <c r="V30" s="90"/>
      <c r="W30" s="21"/>
      <c r="X30" s="21"/>
      <c r="Y30" s="21"/>
      <c r="Z30" s="130"/>
      <c r="AA30" s="90"/>
      <c r="AB30" s="90"/>
      <c r="AC30" s="90"/>
      <c r="AD30" s="21"/>
      <c r="AE30" s="21"/>
      <c r="AF30" s="21"/>
      <c r="AG30" s="21"/>
      <c r="AH30" s="21"/>
      <c r="AI30" s="21"/>
      <c r="AJ30" s="21"/>
      <c r="AK30" s="35"/>
      <c r="AL30" s="1"/>
    </row>
    <row r="31" spans="1:38" ht="12.75" customHeight="1" x14ac:dyDescent="0.2">
      <c r="A31" s="1"/>
      <c r="B31" s="2"/>
      <c r="C31" s="2"/>
      <c r="D31" s="2"/>
      <c r="E31" s="2"/>
      <c r="F31" s="2"/>
      <c r="G31" s="2"/>
      <c r="H31" s="151" t="s">
        <v>178</v>
      </c>
      <c r="I31" s="151"/>
      <c r="J31" s="151"/>
      <c r="K31" s="151"/>
      <c r="L31" s="151"/>
      <c r="M31" s="151"/>
      <c r="N31" s="151"/>
      <c r="O31" s="152"/>
      <c r="P31" s="36"/>
      <c r="Q31" s="36"/>
      <c r="R31" s="124"/>
      <c r="S31" s="124"/>
      <c r="T31" s="124"/>
      <c r="U31" s="124"/>
      <c r="V31" s="124"/>
      <c r="W31" s="14"/>
      <c r="X31" s="14"/>
      <c r="Y31" s="14"/>
      <c r="Z31" s="52"/>
      <c r="AA31" s="124"/>
      <c r="AB31" s="124"/>
      <c r="AC31" s="124"/>
      <c r="AD31" s="14"/>
      <c r="AE31" s="14"/>
      <c r="AF31" s="124"/>
      <c r="AG31" s="124"/>
      <c r="AH31" s="124"/>
      <c r="AI31" s="124"/>
      <c r="AJ31" s="52"/>
      <c r="AK31" s="37"/>
    </row>
    <row r="32" spans="1:38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52"/>
      <c r="S32" s="52"/>
      <c r="T32" s="52"/>
      <c r="U32" s="52"/>
      <c r="V32" s="52"/>
      <c r="W32" s="14"/>
      <c r="X32" s="14"/>
      <c r="Y32" s="14"/>
      <c r="Z32" s="52"/>
      <c r="AA32" s="52"/>
      <c r="AB32" s="52"/>
      <c r="AC32" s="52"/>
      <c r="AD32" s="14"/>
      <c r="AE32" s="14"/>
      <c r="AF32" s="52"/>
      <c r="AG32" s="52"/>
      <c r="AH32" s="52"/>
      <c r="AI32" s="52"/>
      <c r="AJ32" s="52"/>
      <c r="AK32" s="39"/>
    </row>
    <row r="33" spans="1:36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3" t="s">
        <v>148</v>
      </c>
      <c r="B34" s="3"/>
      <c r="C34" s="3" t="s">
        <v>153</v>
      </c>
      <c r="H34" t="s">
        <v>152</v>
      </c>
    </row>
    <row r="35" spans="1:36" ht="38.25" x14ac:dyDescent="0.2">
      <c r="A35" s="1" t="s">
        <v>154</v>
      </c>
      <c r="B35" s="1" t="s">
        <v>155</v>
      </c>
      <c r="C35" s="3"/>
    </row>
    <row r="36" spans="1:36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36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36" ht="38.25" x14ac:dyDescent="0.2">
      <c r="A38" s="3" t="s">
        <v>160</v>
      </c>
      <c r="B38" s="3" t="s">
        <v>141</v>
      </c>
      <c r="C38" s="3" t="s">
        <v>157</v>
      </c>
    </row>
    <row r="39" spans="1:36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36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36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36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36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36" x14ac:dyDescent="0.2">
      <c r="C44" s="1"/>
    </row>
    <row r="45" spans="1:36" x14ac:dyDescent="0.2">
      <c r="F45" s="54"/>
      <c r="G45" s="54"/>
      <c r="H45" s="54"/>
      <c r="I45" s="54"/>
      <c r="J45" s="54"/>
      <c r="K45" s="54"/>
      <c r="L45" s="54"/>
    </row>
    <row r="46" spans="1:36" x14ac:dyDescent="0.2"/>
    <row r="47" spans="1:36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36" ht="25.5" x14ac:dyDescent="0.2">
      <c r="A48" s="42" t="s">
        <v>172</v>
      </c>
      <c r="B48" s="42">
        <f>COUNTBLANK(R1:AJ1)</f>
        <v>14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77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v>814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phoneticPr fontId="12" type="noConversion"/>
  <conditionalFormatting sqref="O4:O29">
    <cfRule type="cellIs" dxfId="27" priority="1" operator="greaterThan">
      <formula>3.9</formula>
    </cfRule>
    <cfRule type="cellIs" dxfId="26" priority="2" operator="between">
      <formula>2</formula>
      <formula>3.9</formula>
    </cfRule>
    <cfRule type="cellIs" dxfId="25" priority="6" stopIfTrue="1" operator="between">
      <formula>1</formula>
      <formula>1.9</formula>
    </cfRule>
  </conditionalFormatting>
  <conditionalFormatting sqref="P4:Q29">
    <cfRule type="cellIs" dxfId="24" priority="3" stopIfTrue="1" operator="between">
      <formula>0</formula>
      <formula>2.9</formula>
    </cfRule>
    <cfRule type="cellIs" dxfId="23" priority="4" stopIfTrue="1" operator="between">
      <formula>3</formula>
      <formula>3.9</formula>
    </cfRule>
    <cfRule type="cellIs" dxfId="22" priority="5" stopIfTrue="1" operator="greaterThan">
      <formula>3.9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428A-AD7B-43A8-85DB-B1E3C06CC588}">
  <dimension ref="A1:AR114"/>
  <sheetViews>
    <sheetView workbookViewId="0">
      <pane xSplit="4" ySplit="3" topLeftCell="AA4" activePane="bottomRight" state="frozen"/>
      <selection pane="topRight"/>
      <selection pane="bottomLeft" activeCell="AP25" sqref="AP25:AQ26"/>
      <selection pane="bottomRight" activeCell="AP32" sqref="AL10:AP32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30" width="11.5703125" customWidth="1"/>
    <col min="31" max="31" width="10.28515625" bestFit="1" customWidth="1"/>
    <col min="32" max="42" width="10.28515625" customWidth="1"/>
    <col min="43" max="43" width="9.140625"/>
    <col min="44" max="44" width="14.42578125" bestFit="1" customWidth="1"/>
  </cols>
  <sheetData>
    <row r="1" spans="1:44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/>
      <c r="U1" s="20"/>
      <c r="V1" s="22" t="s">
        <v>168</v>
      </c>
      <c r="W1" s="22" t="s">
        <v>168</v>
      </c>
      <c r="X1" s="20" t="s">
        <v>123</v>
      </c>
      <c r="Y1" s="20"/>
      <c r="Z1" s="20"/>
      <c r="AA1" s="20"/>
      <c r="AB1" s="20"/>
      <c r="AC1" s="20" t="s">
        <v>123</v>
      </c>
      <c r="AD1" s="20" t="s">
        <v>123</v>
      </c>
      <c r="AE1" s="20"/>
      <c r="AF1" s="20"/>
      <c r="AG1" s="20"/>
      <c r="AH1" s="20"/>
      <c r="AI1" s="20"/>
      <c r="AJ1" s="20" t="s">
        <v>123</v>
      </c>
      <c r="AK1" s="20" t="s">
        <v>123</v>
      </c>
      <c r="AL1" s="20"/>
      <c r="AM1" s="20"/>
      <c r="AN1" s="20"/>
      <c r="AO1" s="20"/>
      <c r="AP1" s="20"/>
      <c r="AQ1" s="23"/>
      <c r="AR1" s="24" t="s">
        <v>124</v>
      </c>
    </row>
    <row r="2" spans="1:44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127</v>
      </c>
      <c r="S2" s="3" t="s">
        <v>128</v>
      </c>
      <c r="T2" s="3" t="s">
        <v>129</v>
      </c>
      <c r="U2" s="25" t="s">
        <v>130</v>
      </c>
      <c r="V2" s="3" t="s">
        <v>131</v>
      </c>
      <c r="W2" s="3" t="s">
        <v>132</v>
      </c>
      <c r="X2" s="3" t="s">
        <v>126</v>
      </c>
      <c r="Y2" s="3" t="s">
        <v>127</v>
      </c>
      <c r="Z2" s="3" t="s">
        <v>128</v>
      </c>
      <c r="AA2" s="3" t="s">
        <v>129</v>
      </c>
      <c r="AB2" s="25" t="s">
        <v>130</v>
      </c>
      <c r="AC2" s="3" t="s">
        <v>131</v>
      </c>
      <c r="AD2" s="3" t="s">
        <v>132</v>
      </c>
      <c r="AE2" s="3" t="s">
        <v>126</v>
      </c>
      <c r="AF2" s="3" t="s">
        <v>127</v>
      </c>
      <c r="AG2" s="3" t="s">
        <v>128</v>
      </c>
      <c r="AH2" s="3" t="s">
        <v>129</v>
      </c>
      <c r="AI2" s="25" t="s">
        <v>130</v>
      </c>
      <c r="AJ2" s="3" t="s">
        <v>131</v>
      </c>
      <c r="AK2" s="3" t="s">
        <v>132</v>
      </c>
      <c r="AL2" s="3" t="s">
        <v>126</v>
      </c>
      <c r="AM2" s="3" t="s">
        <v>127</v>
      </c>
      <c r="AN2" s="3" t="s">
        <v>128</v>
      </c>
      <c r="AO2" s="3" t="s">
        <v>129</v>
      </c>
      <c r="AP2" s="25" t="s">
        <v>130</v>
      </c>
      <c r="AQ2" s="26"/>
      <c r="AR2" s="27" t="s">
        <v>133</v>
      </c>
    </row>
    <row r="3" spans="1:44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46330</v>
      </c>
      <c r="S3" s="29">
        <v>46331</v>
      </c>
      <c r="T3" s="29">
        <v>46332</v>
      </c>
      <c r="U3" s="29">
        <v>46333</v>
      </c>
      <c r="V3" s="29">
        <v>46334</v>
      </c>
      <c r="W3" s="29">
        <v>46335</v>
      </c>
      <c r="X3" s="29">
        <v>46336</v>
      </c>
      <c r="Y3" s="29">
        <v>46337</v>
      </c>
      <c r="Z3" s="29">
        <v>46338</v>
      </c>
      <c r="AA3" s="29">
        <v>46339</v>
      </c>
      <c r="AB3" s="29">
        <v>46340</v>
      </c>
      <c r="AC3" s="29">
        <v>46341</v>
      </c>
      <c r="AD3" s="29">
        <v>46342</v>
      </c>
      <c r="AE3" s="29">
        <v>46343</v>
      </c>
      <c r="AF3" s="29">
        <v>46344</v>
      </c>
      <c r="AG3" s="29">
        <v>46345</v>
      </c>
      <c r="AH3" s="29">
        <v>46346</v>
      </c>
      <c r="AI3" s="29">
        <v>46347</v>
      </c>
      <c r="AJ3" s="29">
        <v>46348</v>
      </c>
      <c r="AK3" s="29">
        <v>46349</v>
      </c>
      <c r="AL3" s="29">
        <v>46350</v>
      </c>
      <c r="AM3" s="29">
        <v>46351</v>
      </c>
      <c r="AN3" s="29">
        <v>46352</v>
      </c>
      <c r="AO3" s="29">
        <v>46353</v>
      </c>
      <c r="AP3" s="29">
        <v>46354</v>
      </c>
      <c r="AQ3" s="26"/>
      <c r="AR3" s="27" t="s">
        <v>148</v>
      </c>
    </row>
    <row r="4" spans="1:44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 t="shared" ref="H4:H29" si="0">COUNTBLANK(R4:AP4)</f>
        <v>18</v>
      </c>
      <c r="I4" s="31">
        <f t="shared" ref="I4:I29" si="1">COUNTIF(R4:AP4,"FJ")</f>
        <v>0</v>
      </c>
      <c r="J4" s="31">
        <f t="shared" ref="J4:J29" si="2">COUNTIF(R4:AP4,"RJ")</f>
        <v>0</v>
      </c>
      <c r="K4" s="31">
        <f t="shared" ref="K4:K29" si="3">COUNTIF(R4:AP4,"SAFJ")</f>
        <v>0</v>
      </c>
      <c r="L4" s="31">
        <f t="shared" ref="L4:L29" si="4">COUNTIF(R4:AP4,"F")</f>
        <v>0</v>
      </c>
      <c r="M4" s="31">
        <f t="shared" ref="M4:M29" si="5">COUNTIF(R4:AP4,"R")</f>
        <v>0</v>
      </c>
      <c r="N4" s="31">
        <f t="shared" ref="N4:N29" si="6">COUNTIF(R4:AP4,"SAF")</f>
        <v>0</v>
      </c>
      <c r="O4" s="32">
        <f t="shared" ref="O4:O29" si="7">(L4+(M4/2))+(N4/2)</f>
        <v>0</v>
      </c>
      <c r="P4" s="4">
        <f t="shared" ref="P4:P29" si="8">I4+L4</f>
        <v>0</v>
      </c>
      <c r="Q4" s="4">
        <f t="shared" ref="Q4:Q29" si="9">SUM(I4:N4)</f>
        <v>0</v>
      </c>
      <c r="R4" s="25"/>
      <c r="S4" s="25"/>
      <c r="T4" s="25"/>
      <c r="U4" s="25"/>
      <c r="V4" s="34" t="s">
        <v>123</v>
      </c>
      <c r="W4" s="34" t="s">
        <v>123</v>
      </c>
      <c r="X4" s="34" t="s">
        <v>123</v>
      </c>
      <c r="Y4" s="25"/>
      <c r="Z4" s="25"/>
      <c r="AA4" s="25"/>
      <c r="AB4" s="25"/>
      <c r="AC4" s="34" t="s">
        <v>123</v>
      </c>
      <c r="AD4" s="34" t="s">
        <v>123</v>
      </c>
      <c r="AE4" s="25"/>
      <c r="AF4" s="25"/>
      <c r="AG4" s="25"/>
      <c r="AH4" s="25"/>
      <c r="AI4" s="25"/>
      <c r="AJ4" s="34" t="s">
        <v>123</v>
      </c>
      <c r="AK4" s="34" t="s">
        <v>123</v>
      </c>
      <c r="AL4" s="25"/>
      <c r="AM4" s="25"/>
      <c r="AN4" s="25"/>
      <c r="AO4" s="25"/>
      <c r="AP4" s="25"/>
      <c r="AQ4" s="26"/>
      <c r="AR4" s="27">
        <f t="shared" ref="AR4:AR29" si="10">H4*B$49</f>
        <v>99</v>
      </c>
    </row>
    <row r="5" spans="1:44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si="0"/>
        <v>18</v>
      </c>
      <c r="I5" s="31">
        <f t="shared" si="1"/>
        <v>0</v>
      </c>
      <c r="J5" s="31">
        <f t="shared" si="2"/>
        <v>0</v>
      </c>
      <c r="K5" s="31">
        <f t="shared" si="3"/>
        <v>0</v>
      </c>
      <c r="L5" s="31">
        <f t="shared" si="4"/>
        <v>0</v>
      </c>
      <c r="M5" s="31">
        <f t="shared" si="5"/>
        <v>0</v>
      </c>
      <c r="N5" s="31">
        <f t="shared" si="6"/>
        <v>0</v>
      </c>
      <c r="O5" s="32">
        <f t="shared" si="7"/>
        <v>0</v>
      </c>
      <c r="P5" s="4">
        <f t="shared" si="8"/>
        <v>0</v>
      </c>
      <c r="Q5" s="4">
        <f t="shared" si="9"/>
        <v>0</v>
      </c>
      <c r="R5" s="25"/>
      <c r="S5" s="25"/>
      <c r="T5" s="25"/>
      <c r="U5" s="25"/>
      <c r="V5" s="34" t="s">
        <v>123</v>
      </c>
      <c r="W5" s="34" t="s">
        <v>123</v>
      </c>
      <c r="X5" s="34" t="s">
        <v>123</v>
      </c>
      <c r="Y5" s="25"/>
      <c r="Z5" s="25"/>
      <c r="AA5" s="25"/>
      <c r="AB5" s="25"/>
      <c r="AC5" s="34" t="s">
        <v>123</v>
      </c>
      <c r="AD5" s="34" t="s">
        <v>123</v>
      </c>
      <c r="AE5" s="25"/>
      <c r="AF5" s="25"/>
      <c r="AG5" s="25"/>
      <c r="AH5" s="25"/>
      <c r="AI5" s="25"/>
      <c r="AJ5" s="34" t="s">
        <v>123</v>
      </c>
      <c r="AK5" s="34" t="s">
        <v>123</v>
      </c>
      <c r="AL5" s="25"/>
      <c r="AM5" s="25"/>
      <c r="AN5" s="25"/>
      <c r="AO5" s="25"/>
      <c r="AP5" s="25"/>
      <c r="AQ5" s="26"/>
      <c r="AR5" s="27">
        <f t="shared" si="10"/>
        <v>99</v>
      </c>
    </row>
    <row r="6" spans="1:44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0"/>
        <v>18</v>
      </c>
      <c r="I6" s="31">
        <f t="shared" si="1"/>
        <v>0</v>
      </c>
      <c r="J6" s="31">
        <f t="shared" si="2"/>
        <v>0</v>
      </c>
      <c r="K6" s="31">
        <f t="shared" si="3"/>
        <v>0</v>
      </c>
      <c r="L6" s="31">
        <f t="shared" si="4"/>
        <v>0</v>
      </c>
      <c r="M6" s="31">
        <f t="shared" si="5"/>
        <v>0</v>
      </c>
      <c r="N6" s="31">
        <f t="shared" si="6"/>
        <v>0</v>
      </c>
      <c r="O6" s="32">
        <f t="shared" si="7"/>
        <v>0</v>
      </c>
      <c r="P6" s="4">
        <f t="shared" si="8"/>
        <v>0</v>
      </c>
      <c r="Q6" s="4">
        <f t="shared" si="9"/>
        <v>0</v>
      </c>
      <c r="R6" s="25"/>
      <c r="S6" s="25"/>
      <c r="T6" s="25"/>
      <c r="U6" s="25"/>
      <c r="V6" s="34" t="s">
        <v>123</v>
      </c>
      <c r="W6" s="34" t="s">
        <v>123</v>
      </c>
      <c r="X6" s="34" t="s">
        <v>123</v>
      </c>
      <c r="Y6" s="25"/>
      <c r="Z6" s="25"/>
      <c r="AA6" s="25"/>
      <c r="AB6" s="25"/>
      <c r="AC6" s="34" t="s">
        <v>123</v>
      </c>
      <c r="AD6" s="34" t="s">
        <v>123</v>
      </c>
      <c r="AE6" s="25"/>
      <c r="AF6" s="25"/>
      <c r="AG6" s="25"/>
      <c r="AH6" s="25"/>
      <c r="AI6" s="25"/>
      <c r="AJ6" s="34" t="s">
        <v>123</v>
      </c>
      <c r="AK6" s="34" t="s">
        <v>123</v>
      </c>
      <c r="AL6" s="25"/>
      <c r="AM6" s="25"/>
      <c r="AN6" s="25"/>
      <c r="AO6" s="25"/>
      <c r="AP6" s="25"/>
      <c r="AQ6" s="26"/>
      <c r="AR6" s="27">
        <f t="shared" si="10"/>
        <v>99</v>
      </c>
    </row>
    <row r="7" spans="1:44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0"/>
        <v>18</v>
      </c>
      <c r="I7" s="31">
        <f t="shared" si="1"/>
        <v>0</v>
      </c>
      <c r="J7" s="31">
        <f t="shared" si="2"/>
        <v>0</v>
      </c>
      <c r="K7" s="31">
        <f t="shared" si="3"/>
        <v>0</v>
      </c>
      <c r="L7" s="31">
        <f t="shared" si="4"/>
        <v>0</v>
      </c>
      <c r="M7" s="31">
        <f t="shared" si="5"/>
        <v>0</v>
      </c>
      <c r="N7" s="31">
        <f t="shared" si="6"/>
        <v>0</v>
      </c>
      <c r="O7" s="32">
        <f t="shared" si="7"/>
        <v>0</v>
      </c>
      <c r="P7" s="4">
        <f t="shared" si="8"/>
        <v>0</v>
      </c>
      <c r="Q7" s="4">
        <f t="shared" si="9"/>
        <v>0</v>
      </c>
      <c r="R7" s="25"/>
      <c r="S7" s="25"/>
      <c r="T7" s="25"/>
      <c r="U7" s="25"/>
      <c r="V7" s="34" t="s">
        <v>123</v>
      </c>
      <c r="W7" s="34" t="s">
        <v>123</v>
      </c>
      <c r="X7" s="34" t="s">
        <v>123</v>
      </c>
      <c r="Y7" s="25"/>
      <c r="Z7" s="25"/>
      <c r="AA7" s="25"/>
      <c r="AB7" s="25"/>
      <c r="AC7" s="34" t="s">
        <v>123</v>
      </c>
      <c r="AD7" s="34" t="s">
        <v>123</v>
      </c>
      <c r="AE7" s="25"/>
      <c r="AF7" s="25"/>
      <c r="AG7" s="25"/>
      <c r="AH7" s="25"/>
      <c r="AI7" s="25"/>
      <c r="AJ7" s="34" t="s">
        <v>123</v>
      </c>
      <c r="AK7" s="34" t="s">
        <v>123</v>
      </c>
      <c r="AL7" s="25"/>
      <c r="AM7" s="25"/>
      <c r="AN7" s="25"/>
      <c r="AO7" s="25"/>
      <c r="AP7" s="25"/>
      <c r="AQ7" s="26"/>
      <c r="AR7" s="27">
        <f t="shared" si="10"/>
        <v>99</v>
      </c>
    </row>
    <row r="8" spans="1:44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0"/>
        <v>18</v>
      </c>
      <c r="I8" s="31">
        <f t="shared" si="1"/>
        <v>0</v>
      </c>
      <c r="J8" s="31">
        <f t="shared" si="2"/>
        <v>0</v>
      </c>
      <c r="K8" s="31">
        <f t="shared" si="3"/>
        <v>0</v>
      </c>
      <c r="L8" s="31">
        <f t="shared" si="4"/>
        <v>0</v>
      </c>
      <c r="M8" s="31">
        <f t="shared" si="5"/>
        <v>0</v>
      </c>
      <c r="N8" s="31">
        <f t="shared" si="6"/>
        <v>0</v>
      </c>
      <c r="O8" s="32">
        <f t="shared" si="7"/>
        <v>0</v>
      </c>
      <c r="P8" s="4">
        <f t="shared" si="8"/>
        <v>0</v>
      </c>
      <c r="Q8" s="4">
        <f t="shared" si="9"/>
        <v>0</v>
      </c>
      <c r="R8" s="25"/>
      <c r="S8" s="25"/>
      <c r="T8" s="25"/>
      <c r="U8" s="25"/>
      <c r="V8" s="34" t="s">
        <v>123</v>
      </c>
      <c r="W8" s="34" t="s">
        <v>123</v>
      </c>
      <c r="X8" s="34" t="s">
        <v>123</v>
      </c>
      <c r="Y8" s="25"/>
      <c r="Z8" s="25"/>
      <c r="AA8" s="25"/>
      <c r="AB8" s="25"/>
      <c r="AC8" s="34" t="s">
        <v>123</v>
      </c>
      <c r="AD8" s="34" t="s">
        <v>123</v>
      </c>
      <c r="AE8" s="25"/>
      <c r="AF8" s="25"/>
      <c r="AG8" s="25"/>
      <c r="AH8" s="25"/>
      <c r="AI8" s="25"/>
      <c r="AJ8" s="34" t="s">
        <v>123</v>
      </c>
      <c r="AK8" s="34" t="s">
        <v>123</v>
      </c>
      <c r="AL8" s="25"/>
      <c r="AM8" s="25"/>
      <c r="AN8" s="25"/>
      <c r="AO8" s="25"/>
      <c r="AP8" s="25"/>
      <c r="AQ8" s="26"/>
      <c r="AR8" s="27">
        <f t="shared" si="10"/>
        <v>99</v>
      </c>
    </row>
    <row r="9" spans="1:44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0"/>
        <v>18</v>
      </c>
      <c r="I9" s="31">
        <f t="shared" si="1"/>
        <v>0</v>
      </c>
      <c r="J9" s="31">
        <f t="shared" si="2"/>
        <v>0</v>
      </c>
      <c r="K9" s="31">
        <f t="shared" si="3"/>
        <v>0</v>
      </c>
      <c r="L9" s="31">
        <f t="shared" si="4"/>
        <v>0</v>
      </c>
      <c r="M9" s="31">
        <f t="shared" si="5"/>
        <v>0</v>
      </c>
      <c r="N9" s="31">
        <f t="shared" si="6"/>
        <v>0</v>
      </c>
      <c r="O9" s="32">
        <f t="shared" si="7"/>
        <v>0</v>
      </c>
      <c r="P9" s="4">
        <f t="shared" si="8"/>
        <v>0</v>
      </c>
      <c r="Q9" s="4">
        <f t="shared" si="9"/>
        <v>0</v>
      </c>
      <c r="R9" s="25"/>
      <c r="S9" s="25"/>
      <c r="T9" s="25"/>
      <c r="U9" s="25"/>
      <c r="V9" s="34" t="s">
        <v>123</v>
      </c>
      <c r="W9" s="34" t="s">
        <v>123</v>
      </c>
      <c r="X9" s="34" t="s">
        <v>123</v>
      </c>
      <c r="Y9" s="25"/>
      <c r="Z9" s="25"/>
      <c r="AA9" s="25"/>
      <c r="AB9" s="25"/>
      <c r="AC9" s="34" t="s">
        <v>123</v>
      </c>
      <c r="AD9" s="34" t="s">
        <v>123</v>
      </c>
      <c r="AE9" s="25"/>
      <c r="AF9" s="25"/>
      <c r="AG9" s="25"/>
      <c r="AH9" s="25"/>
      <c r="AI9" s="25"/>
      <c r="AJ9" s="34" t="s">
        <v>123</v>
      </c>
      <c r="AK9" s="34" t="s">
        <v>123</v>
      </c>
      <c r="AL9" s="25"/>
      <c r="AM9" s="25"/>
      <c r="AN9" s="25"/>
      <c r="AO9" s="25"/>
      <c r="AP9" s="25"/>
      <c r="AQ9" s="26"/>
      <c r="AR9" s="27">
        <f t="shared" si="10"/>
        <v>99</v>
      </c>
    </row>
    <row r="10" spans="1:44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0"/>
        <v>18</v>
      </c>
      <c r="I10" s="31">
        <f t="shared" si="1"/>
        <v>0</v>
      </c>
      <c r="J10" s="31">
        <f t="shared" si="2"/>
        <v>0</v>
      </c>
      <c r="K10" s="31">
        <f t="shared" si="3"/>
        <v>0</v>
      </c>
      <c r="L10" s="31">
        <f t="shared" si="4"/>
        <v>0</v>
      </c>
      <c r="M10" s="31">
        <f t="shared" si="5"/>
        <v>0</v>
      </c>
      <c r="N10" s="31">
        <f t="shared" si="6"/>
        <v>0</v>
      </c>
      <c r="O10" s="32">
        <f t="shared" si="7"/>
        <v>0</v>
      </c>
      <c r="P10" s="4">
        <f t="shared" si="8"/>
        <v>0</v>
      </c>
      <c r="Q10" s="4">
        <f t="shared" si="9"/>
        <v>0</v>
      </c>
      <c r="R10" s="25"/>
      <c r="S10" s="25"/>
      <c r="T10" s="25"/>
      <c r="U10" s="25"/>
      <c r="V10" s="34" t="s">
        <v>123</v>
      </c>
      <c r="W10" s="34" t="s">
        <v>123</v>
      </c>
      <c r="X10" s="34" t="s">
        <v>123</v>
      </c>
      <c r="Y10" s="25"/>
      <c r="Z10" s="25"/>
      <c r="AA10" s="25"/>
      <c r="AB10" s="25"/>
      <c r="AC10" s="34" t="s">
        <v>123</v>
      </c>
      <c r="AD10" s="34" t="s">
        <v>123</v>
      </c>
      <c r="AE10" s="25"/>
      <c r="AF10" s="25"/>
      <c r="AG10" s="25"/>
      <c r="AH10" s="25"/>
      <c r="AI10" s="25"/>
      <c r="AJ10" s="34" t="s">
        <v>123</v>
      </c>
      <c r="AK10" s="34" t="s">
        <v>123</v>
      </c>
      <c r="AL10" s="25"/>
      <c r="AM10" s="25"/>
      <c r="AN10" s="25"/>
      <c r="AO10" s="25"/>
      <c r="AP10" s="25"/>
      <c r="AQ10" s="26"/>
      <c r="AR10" s="27">
        <f t="shared" si="10"/>
        <v>99</v>
      </c>
    </row>
    <row r="11" spans="1:44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03"/>
      <c r="H11" s="30">
        <f t="shared" si="0"/>
        <v>18</v>
      </c>
      <c r="I11" s="31">
        <f t="shared" si="1"/>
        <v>0</v>
      </c>
      <c r="J11" s="31">
        <f t="shared" si="2"/>
        <v>0</v>
      </c>
      <c r="K11" s="31">
        <f t="shared" si="3"/>
        <v>0</v>
      </c>
      <c r="L11" s="31">
        <f t="shared" si="4"/>
        <v>0</v>
      </c>
      <c r="M11" s="31">
        <f t="shared" si="5"/>
        <v>0</v>
      </c>
      <c r="N11" s="31">
        <f t="shared" si="6"/>
        <v>0</v>
      </c>
      <c r="O11" s="32">
        <f t="shared" si="7"/>
        <v>0</v>
      </c>
      <c r="P11" s="4">
        <f t="shared" si="8"/>
        <v>0</v>
      </c>
      <c r="Q11" s="4">
        <f t="shared" si="9"/>
        <v>0</v>
      </c>
      <c r="R11" s="25"/>
      <c r="S11" s="25"/>
      <c r="T11" s="25"/>
      <c r="U11" s="25"/>
      <c r="V11" s="34" t="s">
        <v>123</v>
      </c>
      <c r="W11" s="34" t="s">
        <v>123</v>
      </c>
      <c r="X11" s="34" t="s">
        <v>123</v>
      </c>
      <c r="Y11" s="25"/>
      <c r="Z11" s="25"/>
      <c r="AA11" s="25"/>
      <c r="AB11" s="25"/>
      <c r="AC11" s="34" t="s">
        <v>123</v>
      </c>
      <c r="AD11" s="34" t="s">
        <v>123</v>
      </c>
      <c r="AE11" s="25"/>
      <c r="AF11" s="25"/>
      <c r="AG11" s="25"/>
      <c r="AH11" s="25"/>
      <c r="AI11" s="25"/>
      <c r="AJ11" s="34" t="s">
        <v>123</v>
      </c>
      <c r="AK11" s="34" t="s">
        <v>123</v>
      </c>
      <c r="AL11" s="25"/>
      <c r="AM11" s="25"/>
      <c r="AN11" s="25"/>
      <c r="AO11" s="25"/>
      <c r="AP11" s="25"/>
      <c r="AQ11" s="26"/>
      <c r="AR11" s="27">
        <f t="shared" si="10"/>
        <v>99</v>
      </c>
    </row>
    <row r="12" spans="1:44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0"/>
        <v>18</v>
      </c>
      <c r="I12" s="31">
        <f t="shared" si="1"/>
        <v>0</v>
      </c>
      <c r="J12" s="31">
        <f t="shared" si="2"/>
        <v>0</v>
      </c>
      <c r="K12" s="31">
        <f t="shared" si="3"/>
        <v>0</v>
      </c>
      <c r="L12" s="31">
        <f t="shared" si="4"/>
        <v>0</v>
      </c>
      <c r="M12" s="31">
        <f t="shared" si="5"/>
        <v>0</v>
      </c>
      <c r="N12" s="31">
        <f t="shared" si="6"/>
        <v>0</v>
      </c>
      <c r="O12" s="32">
        <f t="shared" si="7"/>
        <v>0</v>
      </c>
      <c r="P12" s="4">
        <f t="shared" si="8"/>
        <v>0</v>
      </c>
      <c r="Q12" s="4">
        <f t="shared" si="9"/>
        <v>0</v>
      </c>
      <c r="R12" s="25"/>
      <c r="S12" s="25"/>
      <c r="T12" s="25"/>
      <c r="U12" s="25"/>
      <c r="V12" s="34" t="s">
        <v>123</v>
      </c>
      <c r="W12" s="34" t="s">
        <v>123</v>
      </c>
      <c r="X12" s="34" t="s">
        <v>123</v>
      </c>
      <c r="Y12" s="25"/>
      <c r="Z12" s="25"/>
      <c r="AA12" s="25"/>
      <c r="AB12" s="25"/>
      <c r="AC12" s="34" t="s">
        <v>123</v>
      </c>
      <c r="AD12" s="34" t="s">
        <v>123</v>
      </c>
      <c r="AE12" s="25"/>
      <c r="AF12" s="25"/>
      <c r="AG12" s="25"/>
      <c r="AH12" s="25"/>
      <c r="AI12" s="25"/>
      <c r="AJ12" s="34" t="s">
        <v>123</v>
      </c>
      <c r="AK12" s="34" t="s">
        <v>123</v>
      </c>
      <c r="AL12" s="25"/>
      <c r="AM12" s="25"/>
      <c r="AN12" s="25"/>
      <c r="AO12" s="25"/>
      <c r="AP12" s="25"/>
      <c r="AQ12" s="26"/>
      <c r="AR12" s="27">
        <f t="shared" si="10"/>
        <v>99</v>
      </c>
    </row>
    <row r="13" spans="1:44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0"/>
        <v>18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31">
        <f t="shared" si="4"/>
        <v>0</v>
      </c>
      <c r="M13" s="31">
        <f t="shared" si="5"/>
        <v>0</v>
      </c>
      <c r="N13" s="31">
        <f t="shared" si="6"/>
        <v>0</v>
      </c>
      <c r="O13" s="32">
        <f t="shared" si="7"/>
        <v>0</v>
      </c>
      <c r="P13" s="4">
        <f t="shared" si="8"/>
        <v>0</v>
      </c>
      <c r="Q13" s="4">
        <f t="shared" si="9"/>
        <v>0</v>
      </c>
      <c r="R13" s="25"/>
      <c r="S13" s="25"/>
      <c r="T13" s="25"/>
      <c r="U13" s="25"/>
      <c r="V13" s="34" t="s">
        <v>123</v>
      </c>
      <c r="W13" s="34" t="s">
        <v>123</v>
      </c>
      <c r="X13" s="34" t="s">
        <v>123</v>
      </c>
      <c r="Y13" s="25"/>
      <c r="Z13" s="25"/>
      <c r="AA13" s="25"/>
      <c r="AB13" s="25"/>
      <c r="AC13" s="34" t="s">
        <v>123</v>
      </c>
      <c r="AD13" s="34" t="s">
        <v>123</v>
      </c>
      <c r="AE13" s="25"/>
      <c r="AF13" s="25"/>
      <c r="AG13" s="25"/>
      <c r="AH13" s="25"/>
      <c r="AI13" s="25"/>
      <c r="AJ13" s="34" t="s">
        <v>123</v>
      </c>
      <c r="AK13" s="34" t="s">
        <v>123</v>
      </c>
      <c r="AL13" s="25"/>
      <c r="AM13" s="25"/>
      <c r="AN13" s="25"/>
      <c r="AO13" s="25"/>
      <c r="AP13" s="25"/>
      <c r="AQ13" s="26"/>
      <c r="AR13" s="27">
        <f t="shared" si="10"/>
        <v>99</v>
      </c>
    </row>
    <row r="14" spans="1:44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0"/>
        <v>18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31">
        <f t="shared" si="4"/>
        <v>0</v>
      </c>
      <c r="M14" s="31">
        <f t="shared" si="5"/>
        <v>0</v>
      </c>
      <c r="N14" s="31">
        <f t="shared" si="6"/>
        <v>0</v>
      </c>
      <c r="O14" s="32">
        <f t="shared" si="7"/>
        <v>0</v>
      </c>
      <c r="P14" s="4">
        <f t="shared" si="8"/>
        <v>0</v>
      </c>
      <c r="Q14" s="4">
        <f t="shared" si="9"/>
        <v>0</v>
      </c>
      <c r="R14" s="25"/>
      <c r="S14" s="25"/>
      <c r="T14" s="25"/>
      <c r="U14" s="25"/>
      <c r="V14" s="34" t="s">
        <v>123</v>
      </c>
      <c r="W14" s="34" t="s">
        <v>123</v>
      </c>
      <c r="X14" s="34" t="s">
        <v>123</v>
      </c>
      <c r="Y14" s="25"/>
      <c r="Z14" s="25"/>
      <c r="AA14" s="25"/>
      <c r="AB14" s="25"/>
      <c r="AC14" s="34" t="s">
        <v>123</v>
      </c>
      <c r="AD14" s="34" t="s">
        <v>123</v>
      </c>
      <c r="AE14" s="25"/>
      <c r="AF14" s="25"/>
      <c r="AG14" s="25"/>
      <c r="AH14" s="25"/>
      <c r="AI14" s="25"/>
      <c r="AJ14" s="34" t="s">
        <v>123</v>
      </c>
      <c r="AK14" s="34" t="s">
        <v>123</v>
      </c>
      <c r="AL14" s="25"/>
      <c r="AM14" s="25"/>
      <c r="AN14" s="25"/>
      <c r="AO14" s="25"/>
      <c r="AP14" s="25"/>
      <c r="AQ14" s="26"/>
      <c r="AR14" s="27">
        <f t="shared" si="10"/>
        <v>99</v>
      </c>
    </row>
    <row r="15" spans="1:44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0"/>
        <v>18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31">
        <f t="shared" si="4"/>
        <v>0</v>
      </c>
      <c r="M15" s="31">
        <f t="shared" si="5"/>
        <v>0</v>
      </c>
      <c r="N15" s="31">
        <f t="shared" si="6"/>
        <v>0</v>
      </c>
      <c r="O15" s="32">
        <f t="shared" si="7"/>
        <v>0</v>
      </c>
      <c r="P15" s="4">
        <f t="shared" si="8"/>
        <v>0</v>
      </c>
      <c r="Q15" s="4">
        <f t="shared" si="9"/>
        <v>0</v>
      </c>
      <c r="R15" s="25"/>
      <c r="S15" s="25"/>
      <c r="T15" s="25"/>
      <c r="U15" s="25"/>
      <c r="V15" s="34" t="s">
        <v>123</v>
      </c>
      <c r="W15" s="34" t="s">
        <v>123</v>
      </c>
      <c r="X15" s="34" t="s">
        <v>123</v>
      </c>
      <c r="Y15" s="25"/>
      <c r="Z15" s="25"/>
      <c r="AA15" s="25"/>
      <c r="AB15" s="25"/>
      <c r="AC15" s="34" t="s">
        <v>123</v>
      </c>
      <c r="AD15" s="34" t="s">
        <v>123</v>
      </c>
      <c r="AE15" s="25"/>
      <c r="AF15" s="25"/>
      <c r="AG15" s="25"/>
      <c r="AH15" s="25"/>
      <c r="AI15" s="25"/>
      <c r="AJ15" s="34" t="s">
        <v>123</v>
      </c>
      <c r="AK15" s="34" t="s">
        <v>123</v>
      </c>
      <c r="AL15" s="25"/>
      <c r="AM15" s="25"/>
      <c r="AN15" s="25"/>
      <c r="AO15" s="25"/>
      <c r="AP15" s="25"/>
      <c r="AQ15" s="26"/>
      <c r="AR15" s="27">
        <f t="shared" si="10"/>
        <v>99</v>
      </c>
    </row>
    <row r="16" spans="1:44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0"/>
        <v>18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31">
        <f t="shared" si="4"/>
        <v>0</v>
      </c>
      <c r="M16" s="31">
        <f t="shared" si="5"/>
        <v>0</v>
      </c>
      <c r="N16" s="31">
        <f t="shared" si="6"/>
        <v>0</v>
      </c>
      <c r="O16" s="32">
        <f t="shared" si="7"/>
        <v>0</v>
      </c>
      <c r="P16" s="4">
        <f t="shared" si="8"/>
        <v>0</v>
      </c>
      <c r="Q16" s="4">
        <f t="shared" si="9"/>
        <v>0</v>
      </c>
      <c r="R16" s="25"/>
      <c r="S16" s="25"/>
      <c r="T16" s="25"/>
      <c r="U16" s="25"/>
      <c r="V16" s="34" t="s">
        <v>123</v>
      </c>
      <c r="W16" s="34" t="s">
        <v>123</v>
      </c>
      <c r="X16" s="34" t="s">
        <v>123</v>
      </c>
      <c r="Y16" s="25"/>
      <c r="Z16" s="25"/>
      <c r="AA16" s="25"/>
      <c r="AB16" s="25"/>
      <c r="AC16" s="34" t="s">
        <v>123</v>
      </c>
      <c r="AD16" s="34" t="s">
        <v>123</v>
      </c>
      <c r="AE16" s="25"/>
      <c r="AF16" s="25"/>
      <c r="AG16" s="25"/>
      <c r="AH16" s="25"/>
      <c r="AI16" s="25"/>
      <c r="AJ16" s="34" t="s">
        <v>123</v>
      </c>
      <c r="AK16" s="34" t="s">
        <v>123</v>
      </c>
      <c r="AL16" s="25"/>
      <c r="AM16" s="25"/>
      <c r="AN16" s="25"/>
      <c r="AO16" s="25"/>
      <c r="AP16" s="25"/>
      <c r="AQ16" s="26"/>
      <c r="AR16" s="27">
        <f t="shared" si="10"/>
        <v>99</v>
      </c>
    </row>
    <row r="17" spans="1:44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0"/>
        <v>18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31">
        <f t="shared" si="4"/>
        <v>0</v>
      </c>
      <c r="M17" s="31">
        <f t="shared" si="5"/>
        <v>0</v>
      </c>
      <c r="N17" s="31">
        <f t="shared" si="6"/>
        <v>0</v>
      </c>
      <c r="O17" s="32">
        <f t="shared" si="7"/>
        <v>0</v>
      </c>
      <c r="P17" s="4">
        <f t="shared" si="8"/>
        <v>0</v>
      </c>
      <c r="Q17" s="4">
        <f t="shared" si="9"/>
        <v>0</v>
      </c>
      <c r="R17" s="25"/>
      <c r="S17" s="25"/>
      <c r="T17" s="25"/>
      <c r="U17" s="25"/>
      <c r="V17" s="34" t="s">
        <v>123</v>
      </c>
      <c r="W17" s="34" t="s">
        <v>123</v>
      </c>
      <c r="X17" s="34" t="s">
        <v>123</v>
      </c>
      <c r="Y17" s="25"/>
      <c r="Z17" s="25"/>
      <c r="AA17" s="25"/>
      <c r="AB17" s="25"/>
      <c r="AC17" s="34" t="s">
        <v>123</v>
      </c>
      <c r="AD17" s="34" t="s">
        <v>123</v>
      </c>
      <c r="AE17" s="25"/>
      <c r="AF17" s="25"/>
      <c r="AG17" s="25"/>
      <c r="AH17" s="25"/>
      <c r="AI17" s="25"/>
      <c r="AJ17" s="34" t="s">
        <v>123</v>
      </c>
      <c r="AK17" s="34" t="s">
        <v>123</v>
      </c>
      <c r="AL17" s="25"/>
      <c r="AM17" s="25"/>
      <c r="AN17" s="25"/>
      <c r="AO17" s="25"/>
      <c r="AP17" s="25"/>
      <c r="AQ17" s="26"/>
      <c r="AR17" s="27">
        <f t="shared" si="10"/>
        <v>99</v>
      </c>
    </row>
    <row r="18" spans="1:44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0"/>
        <v>18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31">
        <f t="shared" si="4"/>
        <v>0</v>
      </c>
      <c r="M18" s="31">
        <f t="shared" si="5"/>
        <v>0</v>
      </c>
      <c r="N18" s="31">
        <f t="shared" si="6"/>
        <v>0</v>
      </c>
      <c r="O18" s="32">
        <f t="shared" si="7"/>
        <v>0</v>
      </c>
      <c r="P18" s="4">
        <f t="shared" si="8"/>
        <v>0</v>
      </c>
      <c r="Q18" s="4">
        <f t="shared" si="9"/>
        <v>0</v>
      </c>
      <c r="R18" s="25"/>
      <c r="S18" s="25"/>
      <c r="T18" s="25"/>
      <c r="U18" s="25"/>
      <c r="V18" s="34" t="s">
        <v>123</v>
      </c>
      <c r="W18" s="34" t="s">
        <v>123</v>
      </c>
      <c r="X18" s="34" t="s">
        <v>123</v>
      </c>
      <c r="Y18" s="25"/>
      <c r="Z18" s="25"/>
      <c r="AA18" s="25"/>
      <c r="AB18" s="25"/>
      <c r="AC18" s="34" t="s">
        <v>123</v>
      </c>
      <c r="AD18" s="34" t="s">
        <v>123</v>
      </c>
      <c r="AE18" s="25"/>
      <c r="AF18" s="25"/>
      <c r="AG18" s="25"/>
      <c r="AH18" s="25"/>
      <c r="AI18" s="25"/>
      <c r="AJ18" s="34" t="s">
        <v>123</v>
      </c>
      <c r="AK18" s="34" t="s">
        <v>123</v>
      </c>
      <c r="AL18" s="25"/>
      <c r="AM18" s="25"/>
      <c r="AN18" s="25"/>
      <c r="AO18" s="25"/>
      <c r="AP18" s="25"/>
      <c r="AQ18" s="26"/>
      <c r="AR18" s="27">
        <f t="shared" si="10"/>
        <v>99</v>
      </c>
    </row>
    <row r="19" spans="1:44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0"/>
        <v>18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31">
        <f t="shared" si="4"/>
        <v>0</v>
      </c>
      <c r="M19" s="31">
        <f t="shared" si="5"/>
        <v>0</v>
      </c>
      <c r="N19" s="31">
        <f t="shared" si="6"/>
        <v>0</v>
      </c>
      <c r="O19" s="32">
        <f t="shared" si="7"/>
        <v>0</v>
      </c>
      <c r="P19" s="4">
        <f t="shared" si="8"/>
        <v>0</v>
      </c>
      <c r="Q19" s="4">
        <f t="shared" si="9"/>
        <v>0</v>
      </c>
      <c r="R19" s="25"/>
      <c r="S19" s="25"/>
      <c r="T19" s="25"/>
      <c r="U19" s="25"/>
      <c r="V19" s="34" t="s">
        <v>123</v>
      </c>
      <c r="W19" s="34" t="s">
        <v>123</v>
      </c>
      <c r="X19" s="34" t="s">
        <v>123</v>
      </c>
      <c r="Y19" s="25"/>
      <c r="Z19" s="25"/>
      <c r="AA19" s="25"/>
      <c r="AB19" s="25"/>
      <c r="AC19" s="34" t="s">
        <v>123</v>
      </c>
      <c r="AD19" s="34" t="s">
        <v>123</v>
      </c>
      <c r="AE19" s="25"/>
      <c r="AF19" s="25"/>
      <c r="AG19" s="25"/>
      <c r="AH19" s="25"/>
      <c r="AI19" s="25"/>
      <c r="AJ19" s="34" t="s">
        <v>123</v>
      </c>
      <c r="AK19" s="34" t="s">
        <v>123</v>
      </c>
      <c r="AL19" s="25"/>
      <c r="AM19" s="25"/>
      <c r="AN19" s="25"/>
      <c r="AO19" s="25"/>
      <c r="AP19" s="25"/>
      <c r="AQ19" s="26"/>
      <c r="AR19" s="27">
        <f t="shared" si="10"/>
        <v>99</v>
      </c>
    </row>
    <row r="20" spans="1:44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0"/>
        <v>18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31">
        <f t="shared" si="4"/>
        <v>0</v>
      </c>
      <c r="M20" s="31">
        <f t="shared" si="5"/>
        <v>0</v>
      </c>
      <c r="N20" s="31">
        <f t="shared" si="6"/>
        <v>0</v>
      </c>
      <c r="O20" s="32">
        <f t="shared" si="7"/>
        <v>0</v>
      </c>
      <c r="P20" s="4">
        <f t="shared" si="8"/>
        <v>0</v>
      </c>
      <c r="Q20" s="4">
        <f t="shared" si="9"/>
        <v>0</v>
      </c>
      <c r="R20" s="25"/>
      <c r="S20" s="25"/>
      <c r="T20" s="25"/>
      <c r="U20" s="25"/>
      <c r="V20" s="34" t="s">
        <v>123</v>
      </c>
      <c r="W20" s="34" t="s">
        <v>123</v>
      </c>
      <c r="X20" s="34" t="s">
        <v>123</v>
      </c>
      <c r="Y20" s="25"/>
      <c r="Z20" s="25"/>
      <c r="AA20" s="25"/>
      <c r="AB20" s="25"/>
      <c r="AC20" s="34" t="s">
        <v>123</v>
      </c>
      <c r="AD20" s="34" t="s">
        <v>123</v>
      </c>
      <c r="AE20" s="25"/>
      <c r="AF20" s="25"/>
      <c r="AG20" s="25"/>
      <c r="AH20" s="25"/>
      <c r="AI20" s="25"/>
      <c r="AJ20" s="34" t="s">
        <v>123</v>
      </c>
      <c r="AK20" s="34" t="s">
        <v>123</v>
      </c>
      <c r="AL20" s="25"/>
      <c r="AM20" s="25"/>
      <c r="AN20" s="25"/>
      <c r="AO20" s="25"/>
      <c r="AP20" s="25"/>
      <c r="AQ20" s="26"/>
      <c r="AR20" s="27">
        <f t="shared" si="10"/>
        <v>99</v>
      </c>
    </row>
    <row r="21" spans="1:44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0"/>
        <v>18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31">
        <f t="shared" si="4"/>
        <v>0</v>
      </c>
      <c r="M21" s="31">
        <f t="shared" si="5"/>
        <v>0</v>
      </c>
      <c r="N21" s="31">
        <f t="shared" si="6"/>
        <v>0</v>
      </c>
      <c r="O21" s="32">
        <f t="shared" si="7"/>
        <v>0</v>
      </c>
      <c r="P21" s="4">
        <f t="shared" si="8"/>
        <v>0</v>
      </c>
      <c r="Q21" s="4">
        <f t="shared" si="9"/>
        <v>0</v>
      </c>
      <c r="R21" s="25"/>
      <c r="S21" s="25"/>
      <c r="T21" s="25"/>
      <c r="U21" s="25"/>
      <c r="V21" s="34" t="s">
        <v>123</v>
      </c>
      <c r="W21" s="34" t="s">
        <v>123</v>
      </c>
      <c r="X21" s="34" t="s">
        <v>123</v>
      </c>
      <c r="Y21" s="25"/>
      <c r="Z21" s="25"/>
      <c r="AA21" s="25"/>
      <c r="AB21" s="25"/>
      <c r="AC21" s="34" t="s">
        <v>123</v>
      </c>
      <c r="AD21" s="34" t="s">
        <v>123</v>
      </c>
      <c r="AE21" s="25"/>
      <c r="AF21" s="25"/>
      <c r="AG21" s="25"/>
      <c r="AH21" s="25"/>
      <c r="AI21" s="25"/>
      <c r="AJ21" s="34" t="s">
        <v>123</v>
      </c>
      <c r="AK21" s="34" t="s">
        <v>123</v>
      </c>
      <c r="AL21" s="25"/>
      <c r="AM21" s="25"/>
      <c r="AN21" s="25"/>
      <c r="AO21" s="25"/>
      <c r="AP21" s="25"/>
      <c r="AQ21" s="26"/>
      <c r="AR21" s="27">
        <f t="shared" si="10"/>
        <v>99</v>
      </c>
    </row>
    <row r="22" spans="1:44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0"/>
        <v>18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31">
        <f t="shared" si="4"/>
        <v>0</v>
      </c>
      <c r="M22" s="31">
        <f t="shared" si="5"/>
        <v>0</v>
      </c>
      <c r="N22" s="31">
        <f t="shared" si="6"/>
        <v>0</v>
      </c>
      <c r="O22" s="32">
        <f t="shared" si="7"/>
        <v>0</v>
      </c>
      <c r="P22" s="4">
        <f t="shared" si="8"/>
        <v>0</v>
      </c>
      <c r="Q22" s="4">
        <f t="shared" si="9"/>
        <v>0</v>
      </c>
      <c r="R22" s="25"/>
      <c r="S22" s="25"/>
      <c r="T22" s="25"/>
      <c r="U22" s="25"/>
      <c r="V22" s="34" t="s">
        <v>123</v>
      </c>
      <c r="W22" s="34" t="s">
        <v>123</v>
      </c>
      <c r="X22" s="34" t="s">
        <v>123</v>
      </c>
      <c r="Y22" s="25"/>
      <c r="Z22" s="25"/>
      <c r="AA22" s="25"/>
      <c r="AB22" s="25"/>
      <c r="AC22" s="34" t="s">
        <v>123</v>
      </c>
      <c r="AD22" s="34" t="s">
        <v>123</v>
      </c>
      <c r="AE22" s="25"/>
      <c r="AF22" s="25"/>
      <c r="AG22" s="25"/>
      <c r="AH22" s="25"/>
      <c r="AI22" s="25"/>
      <c r="AJ22" s="34" t="s">
        <v>123</v>
      </c>
      <c r="AK22" s="34" t="s">
        <v>123</v>
      </c>
      <c r="AL22" s="25"/>
      <c r="AM22" s="25"/>
      <c r="AN22" s="25"/>
      <c r="AO22" s="25"/>
      <c r="AP22" s="25"/>
      <c r="AQ22" s="26"/>
      <c r="AR22" s="27">
        <f t="shared" si="10"/>
        <v>99</v>
      </c>
    </row>
    <row r="23" spans="1:44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0"/>
        <v>18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31">
        <f t="shared" si="4"/>
        <v>0</v>
      </c>
      <c r="M23" s="31">
        <f t="shared" si="5"/>
        <v>0</v>
      </c>
      <c r="N23" s="31">
        <f t="shared" si="6"/>
        <v>0</v>
      </c>
      <c r="O23" s="32">
        <f t="shared" si="7"/>
        <v>0</v>
      </c>
      <c r="P23" s="4">
        <f t="shared" si="8"/>
        <v>0</v>
      </c>
      <c r="Q23" s="4">
        <f t="shared" si="9"/>
        <v>0</v>
      </c>
      <c r="R23" s="25"/>
      <c r="S23" s="25"/>
      <c r="T23" s="25"/>
      <c r="U23" s="25"/>
      <c r="V23" s="34" t="s">
        <v>123</v>
      </c>
      <c r="W23" s="34" t="s">
        <v>123</v>
      </c>
      <c r="X23" s="34" t="s">
        <v>123</v>
      </c>
      <c r="Y23" s="25"/>
      <c r="Z23" s="25"/>
      <c r="AA23" s="25"/>
      <c r="AB23" s="25"/>
      <c r="AC23" s="34" t="s">
        <v>123</v>
      </c>
      <c r="AD23" s="34" t="s">
        <v>123</v>
      </c>
      <c r="AE23" s="25"/>
      <c r="AF23" s="25"/>
      <c r="AG23" s="25"/>
      <c r="AH23" s="25"/>
      <c r="AI23" s="25"/>
      <c r="AJ23" s="34" t="s">
        <v>123</v>
      </c>
      <c r="AK23" s="34" t="s">
        <v>123</v>
      </c>
      <c r="AL23" s="25"/>
      <c r="AM23" s="25"/>
      <c r="AN23" s="25"/>
      <c r="AO23" s="25"/>
      <c r="AP23" s="25"/>
      <c r="AQ23" s="26"/>
      <c r="AR23" s="27">
        <f t="shared" si="10"/>
        <v>99</v>
      </c>
    </row>
    <row r="24" spans="1:44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0"/>
        <v>18</v>
      </c>
      <c r="I24" s="31">
        <f t="shared" si="1"/>
        <v>0</v>
      </c>
      <c r="J24" s="31">
        <f t="shared" si="2"/>
        <v>0</v>
      </c>
      <c r="K24" s="31">
        <f t="shared" si="3"/>
        <v>0</v>
      </c>
      <c r="L24" s="31">
        <f t="shared" si="4"/>
        <v>0</v>
      </c>
      <c r="M24" s="31">
        <f t="shared" si="5"/>
        <v>0</v>
      </c>
      <c r="N24" s="31">
        <f t="shared" si="6"/>
        <v>0</v>
      </c>
      <c r="O24" s="32">
        <f t="shared" si="7"/>
        <v>0</v>
      </c>
      <c r="P24" s="4">
        <f t="shared" si="8"/>
        <v>0</v>
      </c>
      <c r="Q24" s="4">
        <f t="shared" si="9"/>
        <v>0</v>
      </c>
      <c r="R24" s="25"/>
      <c r="S24" s="25"/>
      <c r="T24" s="25"/>
      <c r="U24" s="25"/>
      <c r="V24" s="34" t="s">
        <v>123</v>
      </c>
      <c r="W24" s="34" t="s">
        <v>123</v>
      </c>
      <c r="X24" s="34" t="s">
        <v>123</v>
      </c>
      <c r="Y24" s="25"/>
      <c r="Z24" s="25"/>
      <c r="AA24" s="25"/>
      <c r="AB24" s="25"/>
      <c r="AC24" s="34" t="s">
        <v>123</v>
      </c>
      <c r="AD24" s="34" t="s">
        <v>123</v>
      </c>
      <c r="AE24" s="25"/>
      <c r="AF24" s="25"/>
      <c r="AG24" s="25"/>
      <c r="AH24" s="25"/>
      <c r="AI24" s="25"/>
      <c r="AJ24" s="34" t="s">
        <v>123</v>
      </c>
      <c r="AK24" s="34" t="s">
        <v>123</v>
      </c>
      <c r="AL24" s="25"/>
      <c r="AM24" s="25"/>
      <c r="AN24" s="25"/>
      <c r="AO24" s="25"/>
      <c r="AP24" s="25"/>
      <c r="AQ24" s="26"/>
      <c r="AR24" s="27">
        <f t="shared" si="10"/>
        <v>99</v>
      </c>
    </row>
    <row r="25" spans="1:44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0"/>
        <v>18</v>
      </c>
      <c r="I25" s="31">
        <f t="shared" si="1"/>
        <v>0</v>
      </c>
      <c r="J25" s="31">
        <f t="shared" si="2"/>
        <v>0</v>
      </c>
      <c r="K25" s="31">
        <f t="shared" si="3"/>
        <v>0</v>
      </c>
      <c r="L25" s="31">
        <f t="shared" si="4"/>
        <v>0</v>
      </c>
      <c r="M25" s="31">
        <f t="shared" si="5"/>
        <v>0</v>
      </c>
      <c r="N25" s="31">
        <f t="shared" si="6"/>
        <v>0</v>
      </c>
      <c r="O25" s="32">
        <f t="shared" si="7"/>
        <v>0</v>
      </c>
      <c r="P25" s="4">
        <f t="shared" si="8"/>
        <v>0</v>
      </c>
      <c r="Q25" s="4">
        <f t="shared" si="9"/>
        <v>0</v>
      </c>
      <c r="R25" s="25"/>
      <c r="S25" s="25"/>
      <c r="T25" s="25"/>
      <c r="U25" s="25"/>
      <c r="V25" s="34" t="s">
        <v>123</v>
      </c>
      <c r="W25" s="34" t="s">
        <v>123</v>
      </c>
      <c r="X25" s="34" t="s">
        <v>123</v>
      </c>
      <c r="Y25" s="25"/>
      <c r="Z25" s="25"/>
      <c r="AA25" s="25"/>
      <c r="AB25" s="25"/>
      <c r="AC25" s="34" t="s">
        <v>123</v>
      </c>
      <c r="AD25" s="34" t="s">
        <v>123</v>
      </c>
      <c r="AE25" s="25"/>
      <c r="AF25" s="25"/>
      <c r="AG25" s="25"/>
      <c r="AH25" s="25"/>
      <c r="AI25" s="25"/>
      <c r="AJ25" s="34" t="s">
        <v>123</v>
      </c>
      <c r="AK25" s="34" t="s">
        <v>123</v>
      </c>
      <c r="AL25" s="25"/>
      <c r="AM25" s="25"/>
      <c r="AN25" s="25"/>
      <c r="AO25" s="25"/>
      <c r="AP25" s="25"/>
      <c r="AQ25" s="26"/>
      <c r="AR25" s="27">
        <f t="shared" si="10"/>
        <v>99</v>
      </c>
    </row>
    <row r="26" spans="1:44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0"/>
        <v>18</v>
      </c>
      <c r="I26" s="31">
        <f t="shared" si="1"/>
        <v>0</v>
      </c>
      <c r="J26" s="31">
        <f t="shared" si="2"/>
        <v>0</v>
      </c>
      <c r="K26" s="31">
        <f t="shared" si="3"/>
        <v>0</v>
      </c>
      <c r="L26" s="31">
        <f t="shared" si="4"/>
        <v>0</v>
      </c>
      <c r="M26" s="31">
        <f t="shared" si="5"/>
        <v>0</v>
      </c>
      <c r="N26" s="31">
        <f t="shared" si="6"/>
        <v>0</v>
      </c>
      <c r="O26" s="32">
        <f t="shared" si="7"/>
        <v>0</v>
      </c>
      <c r="P26" s="4">
        <f t="shared" si="8"/>
        <v>0</v>
      </c>
      <c r="Q26" s="4">
        <f t="shared" si="9"/>
        <v>0</v>
      </c>
      <c r="R26" s="25"/>
      <c r="S26" s="25"/>
      <c r="T26" s="25"/>
      <c r="U26" s="25"/>
      <c r="V26" s="34" t="s">
        <v>123</v>
      </c>
      <c r="W26" s="34" t="s">
        <v>123</v>
      </c>
      <c r="X26" s="34" t="s">
        <v>123</v>
      </c>
      <c r="Y26" s="25"/>
      <c r="Z26" s="25"/>
      <c r="AA26" s="25"/>
      <c r="AB26" s="25"/>
      <c r="AC26" s="34" t="s">
        <v>123</v>
      </c>
      <c r="AD26" s="34" t="s">
        <v>123</v>
      </c>
      <c r="AE26" s="25"/>
      <c r="AF26" s="25"/>
      <c r="AG26" s="25"/>
      <c r="AH26" s="25"/>
      <c r="AI26" s="25"/>
      <c r="AJ26" s="34" t="s">
        <v>123</v>
      </c>
      <c r="AK26" s="34" t="s">
        <v>123</v>
      </c>
      <c r="AL26" s="25"/>
      <c r="AM26" s="25"/>
      <c r="AN26" s="25"/>
      <c r="AO26" s="25"/>
      <c r="AP26" s="25"/>
      <c r="AQ26" s="26"/>
      <c r="AR26" s="27">
        <f t="shared" si="10"/>
        <v>99</v>
      </c>
    </row>
    <row r="27" spans="1:44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0"/>
        <v>18</v>
      </c>
      <c r="I27" s="31">
        <f t="shared" si="1"/>
        <v>0</v>
      </c>
      <c r="J27" s="31">
        <f t="shared" si="2"/>
        <v>0</v>
      </c>
      <c r="K27" s="31">
        <f t="shared" si="3"/>
        <v>0</v>
      </c>
      <c r="L27" s="31">
        <f t="shared" si="4"/>
        <v>0</v>
      </c>
      <c r="M27" s="31">
        <f t="shared" si="5"/>
        <v>0</v>
      </c>
      <c r="N27" s="31">
        <f t="shared" si="6"/>
        <v>0</v>
      </c>
      <c r="O27" s="32">
        <f t="shared" si="7"/>
        <v>0</v>
      </c>
      <c r="P27" s="4">
        <f t="shared" si="8"/>
        <v>0</v>
      </c>
      <c r="Q27" s="4">
        <f t="shared" si="9"/>
        <v>0</v>
      </c>
      <c r="R27" s="25"/>
      <c r="S27" s="25"/>
      <c r="T27" s="25"/>
      <c r="U27" s="25"/>
      <c r="V27" s="34" t="s">
        <v>123</v>
      </c>
      <c r="W27" s="34" t="s">
        <v>123</v>
      </c>
      <c r="X27" s="34" t="s">
        <v>123</v>
      </c>
      <c r="Y27" s="25"/>
      <c r="Z27" s="25"/>
      <c r="AA27" s="25"/>
      <c r="AB27" s="25"/>
      <c r="AC27" s="34" t="s">
        <v>123</v>
      </c>
      <c r="AD27" s="34" t="s">
        <v>123</v>
      </c>
      <c r="AE27" s="25"/>
      <c r="AF27" s="25"/>
      <c r="AG27" s="25"/>
      <c r="AH27" s="25"/>
      <c r="AI27" s="25"/>
      <c r="AJ27" s="34" t="s">
        <v>123</v>
      </c>
      <c r="AK27" s="34" t="s">
        <v>123</v>
      </c>
      <c r="AL27" s="25"/>
      <c r="AM27" s="25"/>
      <c r="AN27" s="25"/>
      <c r="AO27" s="25"/>
      <c r="AP27" s="25"/>
      <c r="AQ27" s="26"/>
      <c r="AR27" s="27">
        <f t="shared" si="10"/>
        <v>99</v>
      </c>
    </row>
    <row r="28" spans="1:44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0"/>
        <v>18</v>
      </c>
      <c r="I28" s="31">
        <f t="shared" si="1"/>
        <v>0</v>
      </c>
      <c r="J28" s="31">
        <f t="shared" si="2"/>
        <v>0</v>
      </c>
      <c r="K28" s="31">
        <f t="shared" si="3"/>
        <v>0</v>
      </c>
      <c r="L28" s="31">
        <f t="shared" si="4"/>
        <v>0</v>
      </c>
      <c r="M28" s="31">
        <f t="shared" si="5"/>
        <v>0</v>
      </c>
      <c r="N28" s="31">
        <f t="shared" si="6"/>
        <v>0</v>
      </c>
      <c r="O28" s="32">
        <f t="shared" si="7"/>
        <v>0</v>
      </c>
      <c r="P28" s="4">
        <f t="shared" si="8"/>
        <v>0</v>
      </c>
      <c r="Q28" s="4">
        <f t="shared" si="9"/>
        <v>0</v>
      </c>
      <c r="R28" s="25"/>
      <c r="S28" s="25"/>
      <c r="T28" s="25"/>
      <c r="U28" s="25"/>
      <c r="V28" s="34" t="s">
        <v>123</v>
      </c>
      <c r="W28" s="34" t="s">
        <v>123</v>
      </c>
      <c r="X28" s="34" t="s">
        <v>123</v>
      </c>
      <c r="Y28" s="25"/>
      <c r="Z28" s="25"/>
      <c r="AA28" s="25"/>
      <c r="AB28" s="25"/>
      <c r="AC28" s="34" t="s">
        <v>123</v>
      </c>
      <c r="AD28" s="34" t="s">
        <v>123</v>
      </c>
      <c r="AE28" s="25"/>
      <c r="AF28" s="25"/>
      <c r="AG28" s="25"/>
      <c r="AH28" s="25"/>
      <c r="AI28" s="25"/>
      <c r="AJ28" s="34" t="s">
        <v>123</v>
      </c>
      <c r="AK28" s="34" t="s">
        <v>123</v>
      </c>
      <c r="AL28" s="25"/>
      <c r="AM28" s="25"/>
      <c r="AN28" s="25"/>
      <c r="AO28" s="25"/>
      <c r="AP28" s="25"/>
      <c r="AQ28" s="26"/>
      <c r="AR28" s="27">
        <f t="shared" si="10"/>
        <v>99</v>
      </c>
    </row>
    <row r="29" spans="1:44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0"/>
        <v>18</v>
      </c>
      <c r="I29" s="31">
        <f t="shared" si="1"/>
        <v>0</v>
      </c>
      <c r="J29" s="31">
        <f t="shared" si="2"/>
        <v>0</v>
      </c>
      <c r="K29" s="31">
        <f t="shared" si="3"/>
        <v>0</v>
      </c>
      <c r="L29" s="31">
        <f t="shared" si="4"/>
        <v>0</v>
      </c>
      <c r="M29" s="31">
        <f t="shared" si="5"/>
        <v>0</v>
      </c>
      <c r="N29" s="31">
        <f t="shared" si="6"/>
        <v>0</v>
      </c>
      <c r="O29" s="32">
        <f t="shared" si="7"/>
        <v>0</v>
      </c>
      <c r="P29" s="4">
        <f t="shared" si="8"/>
        <v>0</v>
      </c>
      <c r="Q29" s="4">
        <f t="shared" si="9"/>
        <v>0</v>
      </c>
      <c r="R29" s="25"/>
      <c r="S29" s="25"/>
      <c r="T29" s="25"/>
      <c r="U29" s="25"/>
      <c r="V29" s="34" t="s">
        <v>123</v>
      </c>
      <c r="W29" s="34" t="s">
        <v>123</v>
      </c>
      <c r="X29" s="34" t="s">
        <v>123</v>
      </c>
      <c r="Y29" s="25"/>
      <c r="Z29" s="25"/>
      <c r="AA29" s="25"/>
      <c r="AB29" s="25"/>
      <c r="AC29" s="34" t="s">
        <v>123</v>
      </c>
      <c r="AD29" s="34" t="s">
        <v>123</v>
      </c>
      <c r="AE29" s="25"/>
      <c r="AF29" s="25"/>
      <c r="AG29" s="25"/>
      <c r="AH29" s="25"/>
      <c r="AI29" s="25"/>
      <c r="AJ29" s="34" t="s">
        <v>123</v>
      </c>
      <c r="AK29" s="34" t="s">
        <v>123</v>
      </c>
      <c r="AL29" s="25"/>
      <c r="AM29" s="25"/>
      <c r="AN29" s="25"/>
      <c r="AO29" s="25"/>
      <c r="AP29" s="25"/>
      <c r="AQ29" s="26"/>
      <c r="AR29" s="27">
        <f t="shared" si="10"/>
        <v>99</v>
      </c>
    </row>
    <row r="30" spans="1:44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1"/>
      <c r="S30" s="21"/>
      <c r="T30" s="21"/>
      <c r="U30" s="21"/>
      <c r="V30" s="21"/>
      <c r="W30" s="21"/>
      <c r="X30" s="21"/>
      <c r="Y30" s="90"/>
      <c r="Z30" s="90"/>
      <c r="AA30" s="90"/>
      <c r="AB30" s="90"/>
      <c r="AC30" s="21"/>
      <c r="AD30" s="21"/>
      <c r="AE30" s="90"/>
      <c r="AF30" s="90"/>
      <c r="AG30" s="90"/>
      <c r="AH30" s="90"/>
      <c r="AI30" s="90"/>
      <c r="AJ30" s="21"/>
      <c r="AK30" s="21"/>
      <c r="AL30" s="21"/>
      <c r="AM30" s="21"/>
      <c r="AN30" s="21"/>
      <c r="AO30" s="21"/>
      <c r="AP30" s="21"/>
      <c r="AQ30" s="35"/>
      <c r="AR30" s="1"/>
    </row>
    <row r="31" spans="1:44" ht="12.75" customHeight="1" x14ac:dyDescent="0.2">
      <c r="A31" s="1"/>
      <c r="B31" s="2"/>
      <c r="C31" s="2"/>
      <c r="D31" s="2"/>
      <c r="E31" s="2"/>
      <c r="F31" s="2"/>
      <c r="G31" s="2"/>
      <c r="H31" s="151" t="s">
        <v>178</v>
      </c>
      <c r="I31" s="151"/>
      <c r="J31" s="151"/>
      <c r="K31" s="151"/>
      <c r="L31" s="151"/>
      <c r="M31" s="151"/>
      <c r="N31" s="151"/>
      <c r="O31" s="152"/>
      <c r="P31" s="36"/>
      <c r="Q31" s="36"/>
      <c r="R31" s="124"/>
      <c r="S31" s="124"/>
      <c r="T31" s="124"/>
      <c r="U31" s="124"/>
      <c r="V31" s="14"/>
      <c r="W31" s="14"/>
      <c r="X31" s="14"/>
      <c r="Y31" s="124"/>
      <c r="Z31" s="124"/>
      <c r="AA31" s="124"/>
      <c r="AB31" s="124"/>
      <c r="AC31" s="14"/>
      <c r="AD31" s="14"/>
      <c r="AE31" s="124"/>
      <c r="AF31" s="124"/>
      <c r="AG31" s="124"/>
      <c r="AH31" s="124"/>
      <c r="AI31" s="124"/>
      <c r="AJ31" s="14"/>
      <c r="AK31" s="14"/>
      <c r="AL31" s="124"/>
      <c r="AM31" s="124"/>
      <c r="AN31" s="124"/>
      <c r="AO31" s="124"/>
      <c r="AP31" s="124"/>
      <c r="AQ31" s="37"/>
    </row>
    <row r="32" spans="1:44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52"/>
      <c r="S32" s="52"/>
      <c r="T32" s="52"/>
      <c r="U32" s="52"/>
      <c r="V32" s="14"/>
      <c r="W32" s="14"/>
      <c r="X32" s="14"/>
      <c r="Y32" s="52"/>
      <c r="Z32" s="52"/>
      <c r="AA32" s="52"/>
      <c r="AB32" s="52"/>
      <c r="AC32" s="14"/>
      <c r="AD32" s="14"/>
      <c r="AE32" s="52"/>
      <c r="AF32" s="52"/>
      <c r="AG32" s="52"/>
      <c r="AH32" s="52"/>
      <c r="AI32" s="52"/>
      <c r="AJ32" s="14"/>
      <c r="AK32" s="14"/>
      <c r="AL32" s="52"/>
      <c r="AM32" s="52"/>
      <c r="AN32" s="52"/>
      <c r="AO32" s="52"/>
      <c r="AP32" s="52"/>
      <c r="AQ32" s="39"/>
    </row>
    <row r="33" spans="1:42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3" t="s">
        <v>148</v>
      </c>
      <c r="B34" s="3"/>
      <c r="C34" s="3" t="s">
        <v>153</v>
      </c>
      <c r="H34" t="s">
        <v>152</v>
      </c>
    </row>
    <row r="35" spans="1:42" ht="38.25" x14ac:dyDescent="0.2">
      <c r="A35" s="1" t="s">
        <v>154</v>
      </c>
      <c r="B35" s="1" t="s">
        <v>155</v>
      </c>
      <c r="C35" s="3"/>
    </row>
    <row r="36" spans="1:42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42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42" ht="38.25" x14ac:dyDescent="0.2">
      <c r="A38" s="3" t="s">
        <v>160</v>
      </c>
      <c r="B38" s="3" t="s">
        <v>141</v>
      </c>
      <c r="C38" s="3" t="s">
        <v>157</v>
      </c>
    </row>
    <row r="39" spans="1:42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42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42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42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42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42" x14ac:dyDescent="0.2">
      <c r="C44" s="1"/>
    </row>
    <row r="45" spans="1:42" x14ac:dyDescent="0.2">
      <c r="F45" s="54"/>
      <c r="G45" s="54"/>
      <c r="H45" s="54"/>
      <c r="I45" s="54"/>
      <c r="J45" s="54"/>
      <c r="K45" s="54"/>
      <c r="L45" s="54"/>
    </row>
    <row r="46" spans="1:42" x14ac:dyDescent="0.2"/>
    <row r="47" spans="1:42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42" ht="25.5" x14ac:dyDescent="0.2">
      <c r="A48" s="42" t="s">
        <v>172</v>
      </c>
      <c r="B48" s="42">
        <f>COUNTBLANK(R1:AP1)</f>
        <v>18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99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v>814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phoneticPr fontId="12" type="noConversion"/>
  <conditionalFormatting sqref="O4:O29">
    <cfRule type="cellIs" dxfId="21" priority="1" operator="greaterThan">
      <formula>3.9</formula>
    </cfRule>
    <cfRule type="cellIs" dxfId="20" priority="2" operator="between">
      <formula>2</formula>
      <formula>3.9</formula>
    </cfRule>
    <cfRule type="cellIs" dxfId="19" priority="6" stopIfTrue="1" operator="between">
      <formula>1</formula>
      <formula>1.9</formula>
    </cfRule>
  </conditionalFormatting>
  <conditionalFormatting sqref="P4:Q29">
    <cfRule type="cellIs" dxfId="18" priority="3" stopIfTrue="1" operator="between">
      <formula>0</formula>
      <formula>2.9</formula>
    </cfRule>
    <cfRule type="cellIs" dxfId="17" priority="4" stopIfTrue="1" operator="between">
      <formula>3</formula>
      <formula>3.9</formula>
    </cfRule>
    <cfRule type="cellIs" dxfId="16" priority="5" stopIfTrue="1" operator="greaterThan">
      <formula>3.9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14"/>
  <sheetViews>
    <sheetView workbookViewId="0">
      <pane xSplit="4" ySplit="3" topLeftCell="E4" activePane="bottomRight" state="frozen"/>
      <selection pane="topRight"/>
      <selection pane="bottomLeft" activeCell="AP25" sqref="AP25:AQ26"/>
      <selection pane="bottomRight" activeCell="AV32" sqref="AR11:AV32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36" width="11.5703125" customWidth="1"/>
    <col min="37" max="37" width="10.28515625" bestFit="1" customWidth="1"/>
    <col min="38" max="48" width="10.28515625" customWidth="1"/>
    <col min="50" max="50" width="14.42578125" bestFit="1" customWidth="1"/>
  </cols>
  <sheetData>
    <row r="1" spans="1:50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2"/>
      <c r="U1" s="20" t="s">
        <v>168</v>
      </c>
      <c r="V1" s="20" t="s">
        <v>168</v>
      </c>
      <c r="W1" s="20"/>
      <c r="X1" s="20"/>
      <c r="Y1" s="20"/>
      <c r="Z1" s="20"/>
      <c r="AA1" s="20"/>
      <c r="AB1" s="22" t="s">
        <v>168</v>
      </c>
      <c r="AC1" s="22" t="s">
        <v>168</v>
      </c>
      <c r="AD1" s="20" t="s">
        <v>123</v>
      </c>
      <c r="AE1" s="20"/>
      <c r="AF1" s="20"/>
      <c r="AG1" s="20"/>
      <c r="AH1" s="20"/>
      <c r="AI1" s="20" t="s">
        <v>123</v>
      </c>
      <c r="AJ1" s="20" t="s">
        <v>123</v>
      </c>
      <c r="AK1" s="20"/>
      <c r="AL1" s="20"/>
      <c r="AM1" s="20"/>
      <c r="AN1" s="20"/>
      <c r="AO1" s="20"/>
      <c r="AP1" s="20" t="s">
        <v>123</v>
      </c>
      <c r="AQ1" s="20" t="s">
        <v>123</v>
      </c>
      <c r="AR1" s="20"/>
      <c r="AS1" s="20"/>
      <c r="AT1" s="20"/>
      <c r="AU1" s="20"/>
      <c r="AV1" s="20"/>
      <c r="AW1" s="23"/>
      <c r="AX1" s="24" t="s">
        <v>124</v>
      </c>
    </row>
    <row r="2" spans="1:50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128</v>
      </c>
      <c r="S2" s="3" t="s">
        <v>129</v>
      </c>
      <c r="T2" s="25" t="s">
        <v>130</v>
      </c>
      <c r="U2" s="3" t="s">
        <v>131</v>
      </c>
      <c r="V2" s="3" t="s">
        <v>132</v>
      </c>
      <c r="W2" s="3" t="s">
        <v>126</v>
      </c>
      <c r="X2" s="3" t="s">
        <v>127</v>
      </c>
      <c r="Y2" s="3" t="s">
        <v>128</v>
      </c>
      <c r="Z2" s="3" t="s">
        <v>129</v>
      </c>
      <c r="AA2" s="25" t="s">
        <v>130</v>
      </c>
      <c r="AB2" s="3" t="s">
        <v>131</v>
      </c>
      <c r="AC2" s="3" t="s">
        <v>132</v>
      </c>
      <c r="AD2" s="3" t="s">
        <v>126</v>
      </c>
      <c r="AE2" s="3" t="s">
        <v>127</v>
      </c>
      <c r="AF2" s="3" t="s">
        <v>128</v>
      </c>
      <c r="AG2" s="3" t="s">
        <v>129</v>
      </c>
      <c r="AH2" s="25" t="s">
        <v>130</v>
      </c>
      <c r="AI2" s="3" t="s">
        <v>131</v>
      </c>
      <c r="AJ2" s="3" t="s">
        <v>132</v>
      </c>
      <c r="AK2" s="3" t="s">
        <v>126</v>
      </c>
      <c r="AL2" s="3" t="s">
        <v>127</v>
      </c>
      <c r="AM2" s="3" t="s">
        <v>128</v>
      </c>
      <c r="AN2" s="3" t="s">
        <v>129</v>
      </c>
      <c r="AO2" s="25" t="s">
        <v>130</v>
      </c>
      <c r="AP2" s="3" t="s">
        <v>131</v>
      </c>
      <c r="AQ2" s="3" t="s">
        <v>132</v>
      </c>
      <c r="AR2" s="3" t="s">
        <v>126</v>
      </c>
      <c r="AS2" s="3" t="s">
        <v>127</v>
      </c>
      <c r="AT2" s="3" t="s">
        <v>128</v>
      </c>
      <c r="AU2" s="3" t="s">
        <v>129</v>
      </c>
      <c r="AV2" s="3" t="s">
        <v>130</v>
      </c>
      <c r="AW2" s="26"/>
      <c r="AX2" s="27" t="s">
        <v>133</v>
      </c>
    </row>
    <row r="3" spans="1:50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45931</v>
      </c>
      <c r="S3" s="29">
        <v>45932</v>
      </c>
      <c r="T3" s="29">
        <v>45933</v>
      </c>
      <c r="U3" s="29">
        <v>45934</v>
      </c>
      <c r="V3" s="29">
        <v>45935</v>
      </c>
      <c r="W3" s="29">
        <v>45936</v>
      </c>
      <c r="X3" s="29">
        <v>45937</v>
      </c>
      <c r="Y3" s="29">
        <v>45938</v>
      </c>
      <c r="Z3" s="29">
        <v>45939</v>
      </c>
      <c r="AA3" s="29">
        <v>45940</v>
      </c>
      <c r="AB3" s="29">
        <v>45941</v>
      </c>
      <c r="AC3" s="29">
        <v>45942</v>
      </c>
      <c r="AD3" s="29">
        <v>45943</v>
      </c>
      <c r="AE3" s="29">
        <v>45944</v>
      </c>
      <c r="AF3" s="29">
        <v>45945</v>
      </c>
      <c r="AG3" s="29">
        <v>45946</v>
      </c>
      <c r="AH3" s="29">
        <v>45947</v>
      </c>
      <c r="AI3" s="29">
        <v>45948</v>
      </c>
      <c r="AJ3" s="29">
        <v>45949</v>
      </c>
      <c r="AK3" s="29">
        <v>45950</v>
      </c>
      <c r="AL3" s="29">
        <v>45951</v>
      </c>
      <c r="AM3" s="29">
        <v>45952</v>
      </c>
      <c r="AN3" s="29">
        <v>45953</v>
      </c>
      <c r="AO3" s="29">
        <v>45954</v>
      </c>
      <c r="AP3" s="29">
        <v>45955</v>
      </c>
      <c r="AQ3" s="29">
        <v>45956</v>
      </c>
      <c r="AR3" s="29">
        <v>45957</v>
      </c>
      <c r="AS3" s="29">
        <v>45958</v>
      </c>
      <c r="AT3" s="29">
        <v>45959</v>
      </c>
      <c r="AU3" s="29">
        <v>45960</v>
      </c>
      <c r="AV3" s="29">
        <v>45961</v>
      </c>
      <c r="AW3" s="26"/>
      <c r="AX3" s="27" t="s">
        <v>148</v>
      </c>
    </row>
    <row r="4" spans="1:50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 t="shared" ref="H4" si="0">COUNTBLANK(R4:AV4)</f>
        <v>22</v>
      </c>
      <c r="I4" s="31">
        <f t="shared" ref="I4" si="1">COUNTIF(R4:AV4,"FJ")</f>
        <v>0</v>
      </c>
      <c r="J4" s="31">
        <f t="shared" ref="J4" si="2">COUNTIF(R4:AV4,"RJ")</f>
        <v>0</v>
      </c>
      <c r="K4" s="31">
        <f t="shared" ref="K4" si="3">COUNTIF(R4:AV4,"SAFJ")</f>
        <v>0</v>
      </c>
      <c r="L4" s="31">
        <f t="shared" ref="L4" si="4">COUNTIF(R4:AV4,"F")</f>
        <v>0</v>
      </c>
      <c r="M4" s="31">
        <f t="shared" ref="M4" si="5">COUNTIF(R4:AV4,"R")</f>
        <v>0</v>
      </c>
      <c r="N4" s="31">
        <f t="shared" ref="N4" si="6">COUNTIF(R4:AV4,"SAF")</f>
        <v>0</v>
      </c>
      <c r="O4" s="32">
        <f t="shared" ref="O4" si="7">(L4+(M4/2))+(N4/2)</f>
        <v>0</v>
      </c>
      <c r="P4" s="4">
        <f t="shared" ref="P4" si="8">I4+L4</f>
        <v>0</v>
      </c>
      <c r="Q4" s="4">
        <f t="shared" ref="Q4" si="9">SUM(I4:N4)</f>
        <v>0</v>
      </c>
      <c r="R4" s="25"/>
      <c r="S4" s="25"/>
      <c r="T4" s="25"/>
      <c r="U4" s="34" t="s">
        <v>123</v>
      </c>
      <c r="V4" s="34" t="s">
        <v>123</v>
      </c>
      <c r="W4" s="25"/>
      <c r="X4" s="25"/>
      <c r="Y4" s="25"/>
      <c r="Z4" s="25"/>
      <c r="AA4" s="25"/>
      <c r="AB4" s="34" t="s">
        <v>123</v>
      </c>
      <c r="AC4" s="34" t="s">
        <v>123</v>
      </c>
      <c r="AD4" s="34" t="s">
        <v>123</v>
      </c>
      <c r="AE4" s="25"/>
      <c r="AF4" s="25"/>
      <c r="AG4" s="25"/>
      <c r="AH4" s="25"/>
      <c r="AI4" s="34" t="s">
        <v>123</v>
      </c>
      <c r="AJ4" s="34" t="s">
        <v>123</v>
      </c>
      <c r="AK4" s="25"/>
      <c r="AL4" s="25"/>
      <c r="AM4" s="25"/>
      <c r="AN4" s="25"/>
      <c r="AO4" s="25"/>
      <c r="AP4" s="34" t="s">
        <v>123</v>
      </c>
      <c r="AQ4" s="34" t="s">
        <v>123</v>
      </c>
      <c r="AR4" s="25"/>
      <c r="AS4" s="25"/>
      <c r="AT4" s="25"/>
      <c r="AU4" s="25"/>
      <c r="AV4" s="25"/>
      <c r="AW4" s="26"/>
      <c r="AX4" s="27">
        <f t="shared" ref="AX4:AX29" si="10">H4*B$49</f>
        <v>121</v>
      </c>
    </row>
    <row r="5" spans="1:50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ref="H5:H29" si="11">COUNTBLANK(R5:AV5)</f>
        <v>22</v>
      </c>
      <c r="I5" s="31">
        <f t="shared" ref="I5:I29" si="12">COUNTIF(R5:AV5,"FJ")</f>
        <v>0</v>
      </c>
      <c r="J5" s="31">
        <f t="shared" ref="J5:J29" si="13">COUNTIF(R5:AV5,"RJ")</f>
        <v>0</v>
      </c>
      <c r="K5" s="31">
        <f t="shared" ref="K5:K29" si="14">COUNTIF(R5:AV5,"SAFJ")</f>
        <v>0</v>
      </c>
      <c r="L5" s="31">
        <f t="shared" ref="L5:L29" si="15">COUNTIF(R5:AV5,"F")</f>
        <v>0</v>
      </c>
      <c r="M5" s="31">
        <f t="shared" ref="M5:M29" si="16">COUNTIF(R5:AV5,"R")</f>
        <v>0</v>
      </c>
      <c r="N5" s="31">
        <f t="shared" ref="N5:N29" si="17">COUNTIF(R5:AV5,"SAF")</f>
        <v>0</v>
      </c>
      <c r="O5" s="32">
        <f t="shared" ref="O5:O29" si="18">(L5+(M5/2))+(N5/2)</f>
        <v>0</v>
      </c>
      <c r="P5" s="4">
        <f t="shared" ref="P5:P29" si="19">I5+L5</f>
        <v>0</v>
      </c>
      <c r="Q5" s="4">
        <f t="shared" ref="Q5:Q29" si="20">SUM(I5:N5)</f>
        <v>0</v>
      </c>
      <c r="R5" s="25"/>
      <c r="S5" s="25"/>
      <c r="T5" s="25"/>
      <c r="U5" s="34" t="s">
        <v>123</v>
      </c>
      <c r="V5" s="34" t="s">
        <v>123</v>
      </c>
      <c r="W5" s="25"/>
      <c r="X5" s="25"/>
      <c r="Y5" s="25"/>
      <c r="Z5" s="25"/>
      <c r="AA5" s="25"/>
      <c r="AB5" s="34" t="s">
        <v>123</v>
      </c>
      <c r="AC5" s="34" t="s">
        <v>123</v>
      </c>
      <c r="AD5" s="34" t="s">
        <v>123</v>
      </c>
      <c r="AE5" s="25"/>
      <c r="AF5" s="25"/>
      <c r="AG5" s="25"/>
      <c r="AH5" s="25"/>
      <c r="AI5" s="34" t="s">
        <v>123</v>
      </c>
      <c r="AJ5" s="34" t="s">
        <v>123</v>
      </c>
      <c r="AK5" s="25"/>
      <c r="AL5" s="25"/>
      <c r="AM5" s="25"/>
      <c r="AN5" s="25"/>
      <c r="AO5" s="25"/>
      <c r="AP5" s="34" t="s">
        <v>123</v>
      </c>
      <c r="AQ5" s="34" t="s">
        <v>123</v>
      </c>
      <c r="AR5" s="25"/>
      <c r="AS5" s="25"/>
      <c r="AT5" s="25"/>
      <c r="AU5" s="25"/>
      <c r="AV5" s="25"/>
      <c r="AW5" s="26"/>
      <c r="AX5" s="27">
        <f t="shared" si="10"/>
        <v>121</v>
      </c>
    </row>
    <row r="6" spans="1:50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11"/>
        <v>22</v>
      </c>
      <c r="I6" s="31">
        <f t="shared" si="12"/>
        <v>0</v>
      </c>
      <c r="J6" s="31">
        <f t="shared" si="13"/>
        <v>0</v>
      </c>
      <c r="K6" s="31">
        <f t="shared" si="14"/>
        <v>0</v>
      </c>
      <c r="L6" s="31">
        <f t="shared" si="15"/>
        <v>0</v>
      </c>
      <c r="M6" s="31">
        <f t="shared" si="16"/>
        <v>0</v>
      </c>
      <c r="N6" s="31">
        <f t="shared" si="17"/>
        <v>0</v>
      </c>
      <c r="O6" s="32">
        <f t="shared" si="18"/>
        <v>0</v>
      </c>
      <c r="P6" s="4">
        <f t="shared" si="19"/>
        <v>0</v>
      </c>
      <c r="Q6" s="4">
        <f t="shared" si="20"/>
        <v>0</v>
      </c>
      <c r="R6" s="25"/>
      <c r="S6" s="25"/>
      <c r="T6" s="25"/>
      <c r="U6" s="34" t="s">
        <v>123</v>
      </c>
      <c r="V6" s="34" t="s">
        <v>123</v>
      </c>
      <c r="W6" s="25"/>
      <c r="X6" s="25"/>
      <c r="Y6" s="25"/>
      <c r="Z6" s="25"/>
      <c r="AA6" s="25"/>
      <c r="AB6" s="34" t="s">
        <v>123</v>
      </c>
      <c r="AC6" s="34" t="s">
        <v>123</v>
      </c>
      <c r="AD6" s="34" t="s">
        <v>123</v>
      </c>
      <c r="AE6" s="25"/>
      <c r="AF6" s="25"/>
      <c r="AG6" s="25"/>
      <c r="AH6" s="25"/>
      <c r="AI6" s="34" t="s">
        <v>123</v>
      </c>
      <c r="AJ6" s="34" t="s">
        <v>123</v>
      </c>
      <c r="AK6" s="25"/>
      <c r="AL6" s="25"/>
      <c r="AM6" s="25"/>
      <c r="AN6" s="25"/>
      <c r="AO6" s="25"/>
      <c r="AP6" s="34" t="s">
        <v>123</v>
      </c>
      <c r="AQ6" s="34" t="s">
        <v>123</v>
      </c>
      <c r="AR6" s="25"/>
      <c r="AS6" s="25"/>
      <c r="AT6" s="25"/>
      <c r="AU6" s="25"/>
      <c r="AV6" s="25"/>
      <c r="AW6" s="26"/>
      <c r="AX6" s="27">
        <f t="shared" si="10"/>
        <v>121</v>
      </c>
    </row>
    <row r="7" spans="1:50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11"/>
        <v>22</v>
      </c>
      <c r="I7" s="31">
        <f t="shared" si="12"/>
        <v>0</v>
      </c>
      <c r="J7" s="31">
        <f t="shared" si="13"/>
        <v>0</v>
      </c>
      <c r="K7" s="31">
        <f t="shared" si="14"/>
        <v>0</v>
      </c>
      <c r="L7" s="31">
        <f t="shared" si="15"/>
        <v>0</v>
      </c>
      <c r="M7" s="31">
        <f t="shared" si="16"/>
        <v>0</v>
      </c>
      <c r="N7" s="31">
        <f t="shared" si="17"/>
        <v>0</v>
      </c>
      <c r="O7" s="32">
        <f t="shared" si="18"/>
        <v>0</v>
      </c>
      <c r="P7" s="4">
        <f t="shared" si="19"/>
        <v>0</v>
      </c>
      <c r="Q7" s="4">
        <f t="shared" si="20"/>
        <v>0</v>
      </c>
      <c r="R7" s="25"/>
      <c r="S7" s="25"/>
      <c r="T7" s="25"/>
      <c r="U7" s="34" t="s">
        <v>123</v>
      </c>
      <c r="V7" s="34" t="s">
        <v>123</v>
      </c>
      <c r="W7" s="25"/>
      <c r="X7" s="25"/>
      <c r="Y7" s="25"/>
      <c r="Z7" s="25"/>
      <c r="AA7" s="25"/>
      <c r="AB7" s="34" t="s">
        <v>123</v>
      </c>
      <c r="AC7" s="34" t="s">
        <v>123</v>
      </c>
      <c r="AD7" s="34" t="s">
        <v>123</v>
      </c>
      <c r="AE7" s="25"/>
      <c r="AF7" s="25"/>
      <c r="AG7" s="25"/>
      <c r="AH7" s="25"/>
      <c r="AI7" s="34" t="s">
        <v>123</v>
      </c>
      <c r="AJ7" s="34" t="s">
        <v>123</v>
      </c>
      <c r="AK7" s="25"/>
      <c r="AL7" s="25"/>
      <c r="AM7" s="25"/>
      <c r="AN7" s="25"/>
      <c r="AO7" s="25"/>
      <c r="AP7" s="34" t="s">
        <v>123</v>
      </c>
      <c r="AQ7" s="34" t="s">
        <v>123</v>
      </c>
      <c r="AR7" s="25"/>
      <c r="AS7" s="25"/>
      <c r="AT7" s="25"/>
      <c r="AU7" s="25"/>
      <c r="AV7" s="25"/>
      <c r="AW7" s="26"/>
      <c r="AX7" s="27">
        <f t="shared" si="10"/>
        <v>121</v>
      </c>
    </row>
    <row r="8" spans="1:50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11"/>
        <v>22</v>
      </c>
      <c r="I8" s="31">
        <f t="shared" si="12"/>
        <v>0</v>
      </c>
      <c r="J8" s="31">
        <f t="shared" si="13"/>
        <v>0</v>
      </c>
      <c r="K8" s="31">
        <f t="shared" si="14"/>
        <v>0</v>
      </c>
      <c r="L8" s="31">
        <f t="shared" si="15"/>
        <v>0</v>
      </c>
      <c r="M8" s="31">
        <f t="shared" si="16"/>
        <v>0</v>
      </c>
      <c r="N8" s="31">
        <f t="shared" si="17"/>
        <v>0</v>
      </c>
      <c r="O8" s="32">
        <f t="shared" si="18"/>
        <v>0</v>
      </c>
      <c r="P8" s="4">
        <f t="shared" si="19"/>
        <v>0</v>
      </c>
      <c r="Q8" s="4">
        <f t="shared" si="20"/>
        <v>0</v>
      </c>
      <c r="R8" s="25"/>
      <c r="S8" s="25"/>
      <c r="T8" s="25"/>
      <c r="U8" s="34" t="s">
        <v>123</v>
      </c>
      <c r="V8" s="34" t="s">
        <v>123</v>
      </c>
      <c r="W8" s="25"/>
      <c r="X8" s="25"/>
      <c r="Y8" s="25"/>
      <c r="Z8" s="25"/>
      <c r="AA8" s="25"/>
      <c r="AB8" s="34" t="s">
        <v>123</v>
      </c>
      <c r="AC8" s="34" t="s">
        <v>123</v>
      </c>
      <c r="AD8" s="34" t="s">
        <v>123</v>
      </c>
      <c r="AE8" s="25"/>
      <c r="AF8" s="25"/>
      <c r="AG8" s="25"/>
      <c r="AH8" s="25"/>
      <c r="AI8" s="34" t="s">
        <v>123</v>
      </c>
      <c r="AJ8" s="34" t="s">
        <v>123</v>
      </c>
      <c r="AK8" s="25"/>
      <c r="AL8" s="25"/>
      <c r="AM8" s="25"/>
      <c r="AN8" s="25"/>
      <c r="AO8" s="25"/>
      <c r="AP8" s="34" t="s">
        <v>123</v>
      </c>
      <c r="AQ8" s="34" t="s">
        <v>123</v>
      </c>
      <c r="AR8" s="25"/>
      <c r="AS8" s="25"/>
      <c r="AT8" s="25"/>
      <c r="AU8" s="25"/>
      <c r="AV8" s="25"/>
      <c r="AW8" s="26"/>
      <c r="AX8" s="27">
        <f t="shared" si="10"/>
        <v>121</v>
      </c>
    </row>
    <row r="9" spans="1:50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11"/>
        <v>22</v>
      </c>
      <c r="I9" s="31">
        <f t="shared" si="12"/>
        <v>0</v>
      </c>
      <c r="J9" s="31">
        <f t="shared" si="13"/>
        <v>0</v>
      </c>
      <c r="K9" s="31">
        <f t="shared" si="14"/>
        <v>0</v>
      </c>
      <c r="L9" s="31">
        <f t="shared" si="15"/>
        <v>0</v>
      </c>
      <c r="M9" s="31">
        <f t="shared" si="16"/>
        <v>0</v>
      </c>
      <c r="N9" s="31">
        <f t="shared" si="17"/>
        <v>0</v>
      </c>
      <c r="O9" s="32">
        <f t="shared" si="18"/>
        <v>0</v>
      </c>
      <c r="P9" s="4">
        <f t="shared" si="19"/>
        <v>0</v>
      </c>
      <c r="Q9" s="4">
        <f t="shared" si="20"/>
        <v>0</v>
      </c>
      <c r="R9" s="25"/>
      <c r="S9" s="25"/>
      <c r="T9" s="25"/>
      <c r="U9" s="34" t="s">
        <v>123</v>
      </c>
      <c r="V9" s="34" t="s">
        <v>123</v>
      </c>
      <c r="W9" s="25"/>
      <c r="X9" s="25"/>
      <c r="Y9" s="25"/>
      <c r="Z9" s="25"/>
      <c r="AA9" s="25"/>
      <c r="AB9" s="34" t="s">
        <v>123</v>
      </c>
      <c r="AC9" s="34" t="s">
        <v>123</v>
      </c>
      <c r="AD9" s="34" t="s">
        <v>123</v>
      </c>
      <c r="AE9" s="25"/>
      <c r="AF9" s="25"/>
      <c r="AG9" s="25"/>
      <c r="AH9" s="25"/>
      <c r="AI9" s="34" t="s">
        <v>123</v>
      </c>
      <c r="AJ9" s="34" t="s">
        <v>123</v>
      </c>
      <c r="AK9" s="25"/>
      <c r="AL9" s="25"/>
      <c r="AM9" s="25"/>
      <c r="AN9" s="25"/>
      <c r="AO9" s="25"/>
      <c r="AP9" s="34" t="s">
        <v>123</v>
      </c>
      <c r="AQ9" s="34" t="s">
        <v>123</v>
      </c>
      <c r="AR9" s="25"/>
      <c r="AS9" s="25"/>
      <c r="AT9" s="25"/>
      <c r="AU9" s="25"/>
      <c r="AV9" s="25"/>
      <c r="AW9" s="26"/>
      <c r="AX9" s="27">
        <f t="shared" si="10"/>
        <v>121</v>
      </c>
    </row>
    <row r="10" spans="1:50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11"/>
        <v>22</v>
      </c>
      <c r="I10" s="31">
        <f t="shared" si="12"/>
        <v>0</v>
      </c>
      <c r="J10" s="31">
        <f t="shared" si="13"/>
        <v>0</v>
      </c>
      <c r="K10" s="31">
        <f t="shared" si="14"/>
        <v>0</v>
      </c>
      <c r="L10" s="31">
        <f t="shared" si="15"/>
        <v>0</v>
      </c>
      <c r="M10" s="31">
        <f t="shared" si="16"/>
        <v>0</v>
      </c>
      <c r="N10" s="31">
        <f t="shared" si="17"/>
        <v>0</v>
      </c>
      <c r="O10" s="32">
        <f t="shared" si="18"/>
        <v>0</v>
      </c>
      <c r="P10" s="4">
        <f t="shared" si="19"/>
        <v>0</v>
      </c>
      <c r="Q10" s="4">
        <f t="shared" si="20"/>
        <v>0</v>
      </c>
      <c r="R10" s="25"/>
      <c r="S10" s="25"/>
      <c r="T10" s="25"/>
      <c r="U10" s="34" t="s">
        <v>123</v>
      </c>
      <c r="V10" s="34" t="s">
        <v>123</v>
      </c>
      <c r="W10" s="25"/>
      <c r="X10" s="25"/>
      <c r="Y10" s="25"/>
      <c r="Z10" s="25"/>
      <c r="AA10" s="25"/>
      <c r="AB10" s="34" t="s">
        <v>123</v>
      </c>
      <c r="AC10" s="34" t="s">
        <v>123</v>
      </c>
      <c r="AD10" s="34" t="s">
        <v>123</v>
      </c>
      <c r="AE10" s="25"/>
      <c r="AF10" s="25"/>
      <c r="AG10" s="25"/>
      <c r="AH10" s="25"/>
      <c r="AI10" s="34" t="s">
        <v>123</v>
      </c>
      <c r="AJ10" s="34" t="s">
        <v>123</v>
      </c>
      <c r="AK10" s="25"/>
      <c r="AL10" s="25"/>
      <c r="AM10" s="25"/>
      <c r="AN10" s="25"/>
      <c r="AO10" s="25"/>
      <c r="AP10" s="34" t="s">
        <v>123</v>
      </c>
      <c r="AQ10" s="34" t="s">
        <v>123</v>
      </c>
      <c r="AR10" s="25"/>
      <c r="AS10" s="25"/>
      <c r="AT10" s="25"/>
      <c r="AU10" s="25"/>
      <c r="AV10" s="25"/>
      <c r="AW10" s="26"/>
      <c r="AX10" s="27">
        <f t="shared" si="10"/>
        <v>121</v>
      </c>
    </row>
    <row r="11" spans="1:50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03"/>
      <c r="H11" s="30">
        <f t="shared" si="11"/>
        <v>22</v>
      </c>
      <c r="I11" s="31">
        <f t="shared" si="12"/>
        <v>0</v>
      </c>
      <c r="J11" s="31">
        <f t="shared" si="13"/>
        <v>0</v>
      </c>
      <c r="K11" s="31">
        <f t="shared" si="14"/>
        <v>0</v>
      </c>
      <c r="L11" s="31">
        <f t="shared" si="15"/>
        <v>0</v>
      </c>
      <c r="M11" s="31">
        <f t="shared" si="16"/>
        <v>0</v>
      </c>
      <c r="N11" s="31">
        <f t="shared" si="17"/>
        <v>0</v>
      </c>
      <c r="O11" s="32">
        <f t="shared" si="18"/>
        <v>0</v>
      </c>
      <c r="P11" s="4">
        <f t="shared" si="19"/>
        <v>0</v>
      </c>
      <c r="Q11" s="4">
        <f t="shared" si="20"/>
        <v>0</v>
      </c>
      <c r="R11" s="25"/>
      <c r="S11" s="25"/>
      <c r="T11" s="25"/>
      <c r="U11" s="34" t="s">
        <v>123</v>
      </c>
      <c r="V11" s="34" t="s">
        <v>123</v>
      </c>
      <c r="W11" s="25"/>
      <c r="X11" s="25"/>
      <c r="Y11" s="25"/>
      <c r="Z11" s="25"/>
      <c r="AA11" s="25"/>
      <c r="AB11" s="34" t="s">
        <v>123</v>
      </c>
      <c r="AC11" s="34" t="s">
        <v>123</v>
      </c>
      <c r="AD11" s="34" t="s">
        <v>123</v>
      </c>
      <c r="AE11" s="25"/>
      <c r="AF11" s="25"/>
      <c r="AG11" s="25"/>
      <c r="AH11" s="25"/>
      <c r="AI11" s="34" t="s">
        <v>123</v>
      </c>
      <c r="AJ11" s="34" t="s">
        <v>123</v>
      </c>
      <c r="AK11" s="25"/>
      <c r="AL11" s="25"/>
      <c r="AM11" s="25"/>
      <c r="AN11" s="25"/>
      <c r="AO11" s="25"/>
      <c r="AP11" s="34" t="s">
        <v>123</v>
      </c>
      <c r="AQ11" s="34" t="s">
        <v>123</v>
      </c>
      <c r="AR11" s="25"/>
      <c r="AS11" s="25"/>
      <c r="AT11" s="25"/>
      <c r="AU11" s="25"/>
      <c r="AV11" s="25"/>
      <c r="AW11" s="26"/>
      <c r="AX11" s="27">
        <f t="shared" si="10"/>
        <v>121</v>
      </c>
    </row>
    <row r="12" spans="1:50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11"/>
        <v>22</v>
      </c>
      <c r="I12" s="31">
        <f t="shared" si="12"/>
        <v>0</v>
      </c>
      <c r="J12" s="31">
        <f t="shared" si="13"/>
        <v>0</v>
      </c>
      <c r="K12" s="31">
        <f t="shared" si="14"/>
        <v>0</v>
      </c>
      <c r="L12" s="31">
        <f t="shared" si="15"/>
        <v>0</v>
      </c>
      <c r="M12" s="31">
        <f t="shared" si="16"/>
        <v>0</v>
      </c>
      <c r="N12" s="31">
        <f t="shared" si="17"/>
        <v>0</v>
      </c>
      <c r="O12" s="32">
        <f t="shared" si="18"/>
        <v>0</v>
      </c>
      <c r="P12" s="4">
        <f t="shared" si="19"/>
        <v>0</v>
      </c>
      <c r="Q12" s="4">
        <f t="shared" si="20"/>
        <v>0</v>
      </c>
      <c r="R12" s="25"/>
      <c r="S12" s="25"/>
      <c r="T12" s="25"/>
      <c r="U12" s="34" t="s">
        <v>123</v>
      </c>
      <c r="V12" s="34" t="s">
        <v>123</v>
      </c>
      <c r="W12" s="25"/>
      <c r="X12" s="25"/>
      <c r="Y12" s="25"/>
      <c r="Z12" s="25"/>
      <c r="AA12" s="25"/>
      <c r="AB12" s="34" t="s">
        <v>123</v>
      </c>
      <c r="AC12" s="34" t="s">
        <v>123</v>
      </c>
      <c r="AD12" s="34" t="s">
        <v>123</v>
      </c>
      <c r="AE12" s="25"/>
      <c r="AF12" s="25"/>
      <c r="AG12" s="25"/>
      <c r="AH12" s="25"/>
      <c r="AI12" s="34" t="s">
        <v>123</v>
      </c>
      <c r="AJ12" s="34" t="s">
        <v>123</v>
      </c>
      <c r="AK12" s="25"/>
      <c r="AL12" s="25"/>
      <c r="AM12" s="25"/>
      <c r="AN12" s="25"/>
      <c r="AO12" s="25"/>
      <c r="AP12" s="34" t="s">
        <v>123</v>
      </c>
      <c r="AQ12" s="34" t="s">
        <v>123</v>
      </c>
      <c r="AR12" s="25"/>
      <c r="AS12" s="25"/>
      <c r="AT12" s="25"/>
      <c r="AU12" s="25"/>
      <c r="AV12" s="25"/>
      <c r="AW12" s="26"/>
      <c r="AX12" s="27">
        <f t="shared" si="10"/>
        <v>121</v>
      </c>
    </row>
    <row r="13" spans="1:50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11"/>
        <v>22</v>
      </c>
      <c r="I13" s="31">
        <f t="shared" si="12"/>
        <v>0</v>
      </c>
      <c r="J13" s="31">
        <f t="shared" si="13"/>
        <v>0</v>
      </c>
      <c r="K13" s="31">
        <f t="shared" si="14"/>
        <v>0</v>
      </c>
      <c r="L13" s="31">
        <f t="shared" si="15"/>
        <v>0</v>
      </c>
      <c r="M13" s="31">
        <f t="shared" si="16"/>
        <v>0</v>
      </c>
      <c r="N13" s="31">
        <f t="shared" si="17"/>
        <v>0</v>
      </c>
      <c r="O13" s="32">
        <f t="shared" si="18"/>
        <v>0</v>
      </c>
      <c r="P13" s="4">
        <f t="shared" si="19"/>
        <v>0</v>
      </c>
      <c r="Q13" s="4">
        <f t="shared" si="20"/>
        <v>0</v>
      </c>
      <c r="R13" s="25"/>
      <c r="S13" s="25"/>
      <c r="T13" s="25"/>
      <c r="U13" s="34" t="s">
        <v>123</v>
      </c>
      <c r="V13" s="34" t="s">
        <v>123</v>
      </c>
      <c r="W13" s="25"/>
      <c r="X13" s="25"/>
      <c r="Y13" s="25"/>
      <c r="Z13" s="25"/>
      <c r="AA13" s="25"/>
      <c r="AB13" s="34" t="s">
        <v>123</v>
      </c>
      <c r="AC13" s="34" t="s">
        <v>123</v>
      </c>
      <c r="AD13" s="34" t="s">
        <v>123</v>
      </c>
      <c r="AE13" s="25"/>
      <c r="AF13" s="25"/>
      <c r="AG13" s="25"/>
      <c r="AH13" s="25"/>
      <c r="AI13" s="34" t="s">
        <v>123</v>
      </c>
      <c r="AJ13" s="34" t="s">
        <v>123</v>
      </c>
      <c r="AK13" s="25"/>
      <c r="AL13" s="25"/>
      <c r="AM13" s="25"/>
      <c r="AN13" s="25"/>
      <c r="AO13" s="25"/>
      <c r="AP13" s="34" t="s">
        <v>123</v>
      </c>
      <c r="AQ13" s="34" t="s">
        <v>123</v>
      </c>
      <c r="AR13" s="25"/>
      <c r="AS13" s="25"/>
      <c r="AT13" s="25"/>
      <c r="AU13" s="25"/>
      <c r="AV13" s="25"/>
      <c r="AW13" s="26"/>
      <c r="AX13" s="27">
        <f t="shared" si="10"/>
        <v>121</v>
      </c>
    </row>
    <row r="14" spans="1:50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11"/>
        <v>22</v>
      </c>
      <c r="I14" s="31">
        <f t="shared" si="12"/>
        <v>0</v>
      </c>
      <c r="J14" s="31">
        <f t="shared" si="13"/>
        <v>0</v>
      </c>
      <c r="K14" s="31">
        <f t="shared" si="14"/>
        <v>0</v>
      </c>
      <c r="L14" s="31">
        <f t="shared" si="15"/>
        <v>0</v>
      </c>
      <c r="M14" s="31">
        <f t="shared" si="16"/>
        <v>0</v>
      </c>
      <c r="N14" s="31">
        <f t="shared" si="17"/>
        <v>0</v>
      </c>
      <c r="O14" s="32">
        <f t="shared" si="18"/>
        <v>0</v>
      </c>
      <c r="P14" s="4">
        <f t="shared" si="19"/>
        <v>0</v>
      </c>
      <c r="Q14" s="4">
        <f t="shared" si="20"/>
        <v>0</v>
      </c>
      <c r="R14" s="25"/>
      <c r="S14" s="25"/>
      <c r="T14" s="25"/>
      <c r="U14" s="34" t="s">
        <v>123</v>
      </c>
      <c r="V14" s="34" t="s">
        <v>123</v>
      </c>
      <c r="W14" s="25"/>
      <c r="X14" s="25"/>
      <c r="Y14" s="25"/>
      <c r="Z14" s="25"/>
      <c r="AA14" s="25"/>
      <c r="AB14" s="34" t="s">
        <v>123</v>
      </c>
      <c r="AC14" s="34" t="s">
        <v>123</v>
      </c>
      <c r="AD14" s="34" t="s">
        <v>123</v>
      </c>
      <c r="AE14" s="25"/>
      <c r="AF14" s="25"/>
      <c r="AG14" s="25"/>
      <c r="AH14" s="25"/>
      <c r="AI14" s="34" t="s">
        <v>123</v>
      </c>
      <c r="AJ14" s="34" t="s">
        <v>123</v>
      </c>
      <c r="AK14" s="25"/>
      <c r="AL14" s="25"/>
      <c r="AM14" s="25"/>
      <c r="AN14" s="25"/>
      <c r="AO14" s="25"/>
      <c r="AP14" s="34" t="s">
        <v>123</v>
      </c>
      <c r="AQ14" s="34" t="s">
        <v>123</v>
      </c>
      <c r="AR14" s="25"/>
      <c r="AS14" s="25"/>
      <c r="AT14" s="25"/>
      <c r="AU14" s="25"/>
      <c r="AV14" s="25"/>
      <c r="AW14" s="26"/>
      <c r="AX14" s="27">
        <f t="shared" si="10"/>
        <v>121</v>
      </c>
    </row>
    <row r="15" spans="1:50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11"/>
        <v>22</v>
      </c>
      <c r="I15" s="31">
        <f t="shared" si="12"/>
        <v>0</v>
      </c>
      <c r="J15" s="31">
        <f t="shared" si="13"/>
        <v>0</v>
      </c>
      <c r="K15" s="31">
        <f t="shared" si="14"/>
        <v>0</v>
      </c>
      <c r="L15" s="31">
        <f t="shared" si="15"/>
        <v>0</v>
      </c>
      <c r="M15" s="31">
        <f t="shared" si="16"/>
        <v>0</v>
      </c>
      <c r="N15" s="31">
        <f t="shared" si="17"/>
        <v>0</v>
      </c>
      <c r="O15" s="32">
        <f t="shared" si="18"/>
        <v>0</v>
      </c>
      <c r="P15" s="4">
        <f t="shared" si="19"/>
        <v>0</v>
      </c>
      <c r="Q15" s="4">
        <f t="shared" si="20"/>
        <v>0</v>
      </c>
      <c r="R15" s="25"/>
      <c r="S15" s="25"/>
      <c r="T15" s="25"/>
      <c r="U15" s="34" t="s">
        <v>123</v>
      </c>
      <c r="V15" s="34" t="s">
        <v>123</v>
      </c>
      <c r="W15" s="25"/>
      <c r="X15" s="25"/>
      <c r="Y15" s="25"/>
      <c r="Z15" s="25"/>
      <c r="AA15" s="25"/>
      <c r="AB15" s="34" t="s">
        <v>123</v>
      </c>
      <c r="AC15" s="34" t="s">
        <v>123</v>
      </c>
      <c r="AD15" s="34" t="s">
        <v>123</v>
      </c>
      <c r="AE15" s="25"/>
      <c r="AF15" s="25"/>
      <c r="AG15" s="25"/>
      <c r="AH15" s="25"/>
      <c r="AI15" s="34" t="s">
        <v>123</v>
      </c>
      <c r="AJ15" s="34" t="s">
        <v>123</v>
      </c>
      <c r="AK15" s="25"/>
      <c r="AL15" s="25"/>
      <c r="AM15" s="25"/>
      <c r="AN15" s="25"/>
      <c r="AO15" s="25"/>
      <c r="AP15" s="34" t="s">
        <v>123</v>
      </c>
      <c r="AQ15" s="34" t="s">
        <v>123</v>
      </c>
      <c r="AR15" s="25"/>
      <c r="AS15" s="25"/>
      <c r="AT15" s="25"/>
      <c r="AU15" s="25"/>
      <c r="AV15" s="25"/>
      <c r="AW15" s="26"/>
      <c r="AX15" s="27">
        <f t="shared" si="10"/>
        <v>121</v>
      </c>
    </row>
    <row r="16" spans="1:50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11"/>
        <v>22</v>
      </c>
      <c r="I16" s="31">
        <f t="shared" si="12"/>
        <v>0</v>
      </c>
      <c r="J16" s="31">
        <f t="shared" si="13"/>
        <v>0</v>
      </c>
      <c r="K16" s="31">
        <f t="shared" si="14"/>
        <v>0</v>
      </c>
      <c r="L16" s="31">
        <f t="shared" si="15"/>
        <v>0</v>
      </c>
      <c r="M16" s="31">
        <f t="shared" si="16"/>
        <v>0</v>
      </c>
      <c r="N16" s="31">
        <f t="shared" si="17"/>
        <v>0</v>
      </c>
      <c r="O16" s="32">
        <f t="shared" si="18"/>
        <v>0</v>
      </c>
      <c r="P16" s="4">
        <f t="shared" si="19"/>
        <v>0</v>
      </c>
      <c r="Q16" s="4">
        <f t="shared" si="20"/>
        <v>0</v>
      </c>
      <c r="R16" s="25"/>
      <c r="S16" s="25"/>
      <c r="T16" s="25"/>
      <c r="U16" s="34" t="s">
        <v>123</v>
      </c>
      <c r="V16" s="34" t="s">
        <v>123</v>
      </c>
      <c r="W16" s="25"/>
      <c r="X16" s="25"/>
      <c r="Y16" s="25"/>
      <c r="Z16" s="25"/>
      <c r="AA16" s="25"/>
      <c r="AB16" s="34" t="s">
        <v>123</v>
      </c>
      <c r="AC16" s="34" t="s">
        <v>123</v>
      </c>
      <c r="AD16" s="34" t="s">
        <v>123</v>
      </c>
      <c r="AE16" s="25"/>
      <c r="AF16" s="25"/>
      <c r="AG16" s="25"/>
      <c r="AH16" s="25"/>
      <c r="AI16" s="34" t="s">
        <v>123</v>
      </c>
      <c r="AJ16" s="34" t="s">
        <v>123</v>
      </c>
      <c r="AK16" s="25"/>
      <c r="AL16" s="25"/>
      <c r="AM16" s="25"/>
      <c r="AN16" s="25"/>
      <c r="AO16" s="25"/>
      <c r="AP16" s="34" t="s">
        <v>123</v>
      </c>
      <c r="AQ16" s="34" t="s">
        <v>123</v>
      </c>
      <c r="AR16" s="25"/>
      <c r="AS16" s="25"/>
      <c r="AT16" s="25"/>
      <c r="AU16" s="25"/>
      <c r="AV16" s="25"/>
      <c r="AW16" s="26"/>
      <c r="AX16" s="27">
        <f t="shared" si="10"/>
        <v>121</v>
      </c>
    </row>
    <row r="17" spans="1:50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11"/>
        <v>22</v>
      </c>
      <c r="I17" s="31">
        <f t="shared" si="12"/>
        <v>0</v>
      </c>
      <c r="J17" s="31">
        <f t="shared" si="13"/>
        <v>0</v>
      </c>
      <c r="K17" s="31">
        <f t="shared" si="14"/>
        <v>0</v>
      </c>
      <c r="L17" s="31">
        <f t="shared" si="15"/>
        <v>0</v>
      </c>
      <c r="M17" s="31">
        <f t="shared" si="16"/>
        <v>0</v>
      </c>
      <c r="N17" s="31">
        <f t="shared" si="17"/>
        <v>0</v>
      </c>
      <c r="O17" s="32">
        <f t="shared" si="18"/>
        <v>0</v>
      </c>
      <c r="P17" s="4">
        <f t="shared" si="19"/>
        <v>0</v>
      </c>
      <c r="Q17" s="4">
        <f t="shared" si="20"/>
        <v>0</v>
      </c>
      <c r="R17" s="25"/>
      <c r="S17" s="25"/>
      <c r="T17" s="25"/>
      <c r="U17" s="34" t="s">
        <v>123</v>
      </c>
      <c r="V17" s="34" t="s">
        <v>123</v>
      </c>
      <c r="W17" s="25"/>
      <c r="X17" s="25"/>
      <c r="Y17" s="25"/>
      <c r="Z17" s="25"/>
      <c r="AA17" s="25"/>
      <c r="AB17" s="34" t="s">
        <v>123</v>
      </c>
      <c r="AC17" s="34" t="s">
        <v>123</v>
      </c>
      <c r="AD17" s="34" t="s">
        <v>123</v>
      </c>
      <c r="AE17" s="25"/>
      <c r="AF17" s="25"/>
      <c r="AG17" s="25"/>
      <c r="AH17" s="25"/>
      <c r="AI17" s="34" t="s">
        <v>123</v>
      </c>
      <c r="AJ17" s="34" t="s">
        <v>123</v>
      </c>
      <c r="AK17" s="25"/>
      <c r="AL17" s="25"/>
      <c r="AM17" s="25"/>
      <c r="AN17" s="25"/>
      <c r="AO17" s="25"/>
      <c r="AP17" s="34" t="s">
        <v>123</v>
      </c>
      <c r="AQ17" s="34" t="s">
        <v>123</v>
      </c>
      <c r="AR17" s="25"/>
      <c r="AS17" s="25"/>
      <c r="AT17" s="25"/>
      <c r="AU17" s="25"/>
      <c r="AV17" s="25"/>
      <c r="AW17" s="26"/>
      <c r="AX17" s="27">
        <f t="shared" si="10"/>
        <v>121</v>
      </c>
    </row>
    <row r="18" spans="1:50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11"/>
        <v>22</v>
      </c>
      <c r="I18" s="31">
        <f t="shared" si="12"/>
        <v>0</v>
      </c>
      <c r="J18" s="31">
        <f t="shared" si="13"/>
        <v>0</v>
      </c>
      <c r="K18" s="31">
        <f t="shared" si="14"/>
        <v>0</v>
      </c>
      <c r="L18" s="31">
        <f t="shared" si="15"/>
        <v>0</v>
      </c>
      <c r="M18" s="31">
        <f t="shared" si="16"/>
        <v>0</v>
      </c>
      <c r="N18" s="31">
        <f t="shared" si="17"/>
        <v>0</v>
      </c>
      <c r="O18" s="32">
        <f t="shared" si="18"/>
        <v>0</v>
      </c>
      <c r="P18" s="4">
        <f t="shared" si="19"/>
        <v>0</v>
      </c>
      <c r="Q18" s="4">
        <f t="shared" si="20"/>
        <v>0</v>
      </c>
      <c r="R18" s="25"/>
      <c r="S18" s="25"/>
      <c r="T18" s="25"/>
      <c r="U18" s="34" t="s">
        <v>123</v>
      </c>
      <c r="V18" s="34" t="s">
        <v>123</v>
      </c>
      <c r="W18" s="25"/>
      <c r="X18" s="25"/>
      <c r="Y18" s="25"/>
      <c r="Z18" s="25"/>
      <c r="AA18" s="25"/>
      <c r="AB18" s="34" t="s">
        <v>123</v>
      </c>
      <c r="AC18" s="34" t="s">
        <v>123</v>
      </c>
      <c r="AD18" s="34" t="s">
        <v>123</v>
      </c>
      <c r="AE18" s="25"/>
      <c r="AF18" s="25"/>
      <c r="AG18" s="25"/>
      <c r="AH18" s="25"/>
      <c r="AI18" s="34" t="s">
        <v>123</v>
      </c>
      <c r="AJ18" s="34" t="s">
        <v>123</v>
      </c>
      <c r="AK18" s="25"/>
      <c r="AL18" s="25"/>
      <c r="AM18" s="25"/>
      <c r="AN18" s="25"/>
      <c r="AO18" s="25"/>
      <c r="AP18" s="34" t="s">
        <v>123</v>
      </c>
      <c r="AQ18" s="34" t="s">
        <v>123</v>
      </c>
      <c r="AR18" s="25"/>
      <c r="AS18" s="25"/>
      <c r="AT18" s="25"/>
      <c r="AU18" s="25"/>
      <c r="AV18" s="25"/>
      <c r="AW18" s="26"/>
      <c r="AX18" s="27">
        <f t="shared" si="10"/>
        <v>121</v>
      </c>
    </row>
    <row r="19" spans="1:50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11"/>
        <v>22</v>
      </c>
      <c r="I19" s="31">
        <f t="shared" si="12"/>
        <v>0</v>
      </c>
      <c r="J19" s="31">
        <f t="shared" si="13"/>
        <v>0</v>
      </c>
      <c r="K19" s="31">
        <f t="shared" si="14"/>
        <v>0</v>
      </c>
      <c r="L19" s="31">
        <f t="shared" si="15"/>
        <v>0</v>
      </c>
      <c r="M19" s="31">
        <f t="shared" si="16"/>
        <v>0</v>
      </c>
      <c r="N19" s="31">
        <f t="shared" si="17"/>
        <v>0</v>
      </c>
      <c r="O19" s="32">
        <f t="shared" si="18"/>
        <v>0</v>
      </c>
      <c r="P19" s="4">
        <f t="shared" si="19"/>
        <v>0</v>
      </c>
      <c r="Q19" s="4">
        <f t="shared" si="20"/>
        <v>0</v>
      </c>
      <c r="R19" s="25"/>
      <c r="S19" s="25"/>
      <c r="T19" s="25"/>
      <c r="U19" s="34" t="s">
        <v>123</v>
      </c>
      <c r="V19" s="34" t="s">
        <v>123</v>
      </c>
      <c r="W19" s="25"/>
      <c r="X19" s="25"/>
      <c r="Y19" s="25"/>
      <c r="Z19" s="25"/>
      <c r="AA19" s="25"/>
      <c r="AB19" s="34" t="s">
        <v>123</v>
      </c>
      <c r="AC19" s="34" t="s">
        <v>123</v>
      </c>
      <c r="AD19" s="34" t="s">
        <v>123</v>
      </c>
      <c r="AE19" s="25"/>
      <c r="AF19" s="25"/>
      <c r="AG19" s="25"/>
      <c r="AH19" s="25"/>
      <c r="AI19" s="34" t="s">
        <v>123</v>
      </c>
      <c r="AJ19" s="34" t="s">
        <v>123</v>
      </c>
      <c r="AK19" s="25"/>
      <c r="AL19" s="25"/>
      <c r="AM19" s="25"/>
      <c r="AN19" s="25"/>
      <c r="AO19" s="25"/>
      <c r="AP19" s="34" t="s">
        <v>123</v>
      </c>
      <c r="AQ19" s="34" t="s">
        <v>123</v>
      </c>
      <c r="AR19" s="25"/>
      <c r="AS19" s="25"/>
      <c r="AT19" s="25"/>
      <c r="AU19" s="25"/>
      <c r="AV19" s="25"/>
      <c r="AW19" s="26"/>
      <c r="AX19" s="27">
        <f t="shared" si="10"/>
        <v>121</v>
      </c>
    </row>
    <row r="20" spans="1:50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11"/>
        <v>22</v>
      </c>
      <c r="I20" s="31">
        <f t="shared" si="12"/>
        <v>0</v>
      </c>
      <c r="J20" s="31">
        <f t="shared" si="13"/>
        <v>0</v>
      </c>
      <c r="K20" s="31">
        <f t="shared" si="14"/>
        <v>0</v>
      </c>
      <c r="L20" s="31">
        <f t="shared" si="15"/>
        <v>0</v>
      </c>
      <c r="M20" s="31">
        <f t="shared" si="16"/>
        <v>0</v>
      </c>
      <c r="N20" s="31">
        <f t="shared" si="17"/>
        <v>0</v>
      </c>
      <c r="O20" s="32">
        <f t="shared" si="18"/>
        <v>0</v>
      </c>
      <c r="P20" s="4">
        <f t="shared" si="19"/>
        <v>0</v>
      </c>
      <c r="Q20" s="4">
        <f t="shared" si="20"/>
        <v>0</v>
      </c>
      <c r="R20" s="25"/>
      <c r="S20" s="25"/>
      <c r="T20" s="25"/>
      <c r="U20" s="34" t="s">
        <v>123</v>
      </c>
      <c r="V20" s="34" t="s">
        <v>123</v>
      </c>
      <c r="W20" s="25"/>
      <c r="X20" s="25"/>
      <c r="Y20" s="25"/>
      <c r="Z20" s="25"/>
      <c r="AA20" s="25"/>
      <c r="AB20" s="34" t="s">
        <v>123</v>
      </c>
      <c r="AC20" s="34" t="s">
        <v>123</v>
      </c>
      <c r="AD20" s="34" t="s">
        <v>123</v>
      </c>
      <c r="AE20" s="25"/>
      <c r="AF20" s="25"/>
      <c r="AG20" s="25"/>
      <c r="AH20" s="25"/>
      <c r="AI20" s="34" t="s">
        <v>123</v>
      </c>
      <c r="AJ20" s="34" t="s">
        <v>123</v>
      </c>
      <c r="AK20" s="25"/>
      <c r="AL20" s="25"/>
      <c r="AM20" s="25"/>
      <c r="AN20" s="25"/>
      <c r="AO20" s="25"/>
      <c r="AP20" s="34" t="s">
        <v>123</v>
      </c>
      <c r="AQ20" s="34" t="s">
        <v>123</v>
      </c>
      <c r="AR20" s="25"/>
      <c r="AS20" s="25"/>
      <c r="AT20" s="25"/>
      <c r="AU20" s="25"/>
      <c r="AV20" s="25"/>
      <c r="AW20" s="26"/>
      <c r="AX20" s="27">
        <f t="shared" si="10"/>
        <v>121</v>
      </c>
    </row>
    <row r="21" spans="1:50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11"/>
        <v>22</v>
      </c>
      <c r="I21" s="31">
        <f t="shared" si="12"/>
        <v>0</v>
      </c>
      <c r="J21" s="31">
        <f t="shared" si="13"/>
        <v>0</v>
      </c>
      <c r="K21" s="31">
        <f t="shared" si="14"/>
        <v>0</v>
      </c>
      <c r="L21" s="31">
        <f t="shared" si="15"/>
        <v>0</v>
      </c>
      <c r="M21" s="31">
        <f t="shared" si="16"/>
        <v>0</v>
      </c>
      <c r="N21" s="31">
        <f t="shared" si="17"/>
        <v>0</v>
      </c>
      <c r="O21" s="32">
        <f t="shared" si="18"/>
        <v>0</v>
      </c>
      <c r="P21" s="4">
        <f t="shared" si="19"/>
        <v>0</v>
      </c>
      <c r="Q21" s="4">
        <f t="shared" si="20"/>
        <v>0</v>
      </c>
      <c r="R21" s="25"/>
      <c r="S21" s="25"/>
      <c r="T21" s="25"/>
      <c r="U21" s="34" t="s">
        <v>123</v>
      </c>
      <c r="V21" s="34" t="s">
        <v>123</v>
      </c>
      <c r="W21" s="25"/>
      <c r="X21" s="25"/>
      <c r="Y21" s="25"/>
      <c r="Z21" s="25"/>
      <c r="AA21" s="25"/>
      <c r="AB21" s="34" t="s">
        <v>123</v>
      </c>
      <c r="AC21" s="34" t="s">
        <v>123</v>
      </c>
      <c r="AD21" s="34" t="s">
        <v>123</v>
      </c>
      <c r="AE21" s="25"/>
      <c r="AF21" s="25"/>
      <c r="AG21" s="25"/>
      <c r="AH21" s="25"/>
      <c r="AI21" s="34" t="s">
        <v>123</v>
      </c>
      <c r="AJ21" s="34" t="s">
        <v>123</v>
      </c>
      <c r="AK21" s="25"/>
      <c r="AL21" s="25"/>
      <c r="AM21" s="25"/>
      <c r="AN21" s="25"/>
      <c r="AO21" s="25"/>
      <c r="AP21" s="34" t="s">
        <v>123</v>
      </c>
      <c r="AQ21" s="34" t="s">
        <v>123</v>
      </c>
      <c r="AR21" s="25"/>
      <c r="AS21" s="25"/>
      <c r="AT21" s="25"/>
      <c r="AU21" s="25"/>
      <c r="AV21" s="25"/>
      <c r="AW21" s="26"/>
      <c r="AX21" s="27">
        <f t="shared" si="10"/>
        <v>121</v>
      </c>
    </row>
    <row r="22" spans="1:50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11"/>
        <v>22</v>
      </c>
      <c r="I22" s="31">
        <f t="shared" si="12"/>
        <v>0</v>
      </c>
      <c r="J22" s="31">
        <f t="shared" si="13"/>
        <v>0</v>
      </c>
      <c r="K22" s="31">
        <f t="shared" si="14"/>
        <v>0</v>
      </c>
      <c r="L22" s="31">
        <f t="shared" si="15"/>
        <v>0</v>
      </c>
      <c r="M22" s="31">
        <f t="shared" si="16"/>
        <v>0</v>
      </c>
      <c r="N22" s="31">
        <f t="shared" si="17"/>
        <v>0</v>
      </c>
      <c r="O22" s="32">
        <f t="shared" si="18"/>
        <v>0</v>
      </c>
      <c r="P22" s="4">
        <f t="shared" si="19"/>
        <v>0</v>
      </c>
      <c r="Q22" s="4">
        <f t="shared" si="20"/>
        <v>0</v>
      </c>
      <c r="R22" s="25"/>
      <c r="S22" s="25"/>
      <c r="T22" s="25"/>
      <c r="U22" s="34" t="s">
        <v>123</v>
      </c>
      <c r="V22" s="34" t="s">
        <v>123</v>
      </c>
      <c r="W22" s="25"/>
      <c r="X22" s="25"/>
      <c r="Y22" s="25"/>
      <c r="Z22" s="25"/>
      <c r="AA22" s="25"/>
      <c r="AB22" s="34" t="s">
        <v>123</v>
      </c>
      <c r="AC22" s="34" t="s">
        <v>123</v>
      </c>
      <c r="AD22" s="34" t="s">
        <v>123</v>
      </c>
      <c r="AE22" s="25"/>
      <c r="AF22" s="25"/>
      <c r="AG22" s="25"/>
      <c r="AH22" s="25"/>
      <c r="AI22" s="34" t="s">
        <v>123</v>
      </c>
      <c r="AJ22" s="34" t="s">
        <v>123</v>
      </c>
      <c r="AK22" s="25"/>
      <c r="AL22" s="25"/>
      <c r="AM22" s="25"/>
      <c r="AN22" s="25"/>
      <c r="AO22" s="25"/>
      <c r="AP22" s="34" t="s">
        <v>123</v>
      </c>
      <c r="AQ22" s="34" t="s">
        <v>123</v>
      </c>
      <c r="AR22" s="25"/>
      <c r="AS22" s="25"/>
      <c r="AT22" s="25"/>
      <c r="AU22" s="25"/>
      <c r="AV22" s="25"/>
      <c r="AW22" s="26"/>
      <c r="AX22" s="27">
        <f t="shared" si="10"/>
        <v>121</v>
      </c>
    </row>
    <row r="23" spans="1:50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11"/>
        <v>22</v>
      </c>
      <c r="I23" s="31">
        <f t="shared" si="12"/>
        <v>0</v>
      </c>
      <c r="J23" s="31">
        <f t="shared" si="13"/>
        <v>0</v>
      </c>
      <c r="K23" s="31">
        <f t="shared" si="14"/>
        <v>0</v>
      </c>
      <c r="L23" s="31">
        <f t="shared" si="15"/>
        <v>0</v>
      </c>
      <c r="M23" s="31">
        <f t="shared" si="16"/>
        <v>0</v>
      </c>
      <c r="N23" s="31">
        <f t="shared" si="17"/>
        <v>0</v>
      </c>
      <c r="O23" s="32">
        <f t="shared" si="18"/>
        <v>0</v>
      </c>
      <c r="P23" s="4">
        <f t="shared" si="19"/>
        <v>0</v>
      </c>
      <c r="Q23" s="4">
        <f t="shared" si="20"/>
        <v>0</v>
      </c>
      <c r="R23" s="25"/>
      <c r="S23" s="25"/>
      <c r="T23" s="25"/>
      <c r="U23" s="34" t="s">
        <v>123</v>
      </c>
      <c r="V23" s="34" t="s">
        <v>123</v>
      </c>
      <c r="W23" s="25"/>
      <c r="X23" s="25"/>
      <c r="Y23" s="25"/>
      <c r="Z23" s="25"/>
      <c r="AA23" s="25"/>
      <c r="AB23" s="34" t="s">
        <v>123</v>
      </c>
      <c r="AC23" s="34" t="s">
        <v>123</v>
      </c>
      <c r="AD23" s="34" t="s">
        <v>123</v>
      </c>
      <c r="AE23" s="25"/>
      <c r="AF23" s="25"/>
      <c r="AG23" s="25"/>
      <c r="AH23" s="25"/>
      <c r="AI23" s="34" t="s">
        <v>123</v>
      </c>
      <c r="AJ23" s="34" t="s">
        <v>123</v>
      </c>
      <c r="AK23" s="25"/>
      <c r="AL23" s="25"/>
      <c r="AM23" s="25"/>
      <c r="AN23" s="25"/>
      <c r="AO23" s="25"/>
      <c r="AP23" s="34" t="s">
        <v>123</v>
      </c>
      <c r="AQ23" s="34" t="s">
        <v>123</v>
      </c>
      <c r="AR23" s="25"/>
      <c r="AS23" s="25"/>
      <c r="AT23" s="25"/>
      <c r="AU23" s="25"/>
      <c r="AV23" s="25"/>
      <c r="AW23" s="26"/>
      <c r="AX23" s="27">
        <f t="shared" si="10"/>
        <v>121</v>
      </c>
    </row>
    <row r="24" spans="1:50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11"/>
        <v>22</v>
      </c>
      <c r="I24" s="31">
        <f t="shared" si="12"/>
        <v>0</v>
      </c>
      <c r="J24" s="31">
        <f t="shared" si="13"/>
        <v>0</v>
      </c>
      <c r="K24" s="31">
        <f t="shared" si="14"/>
        <v>0</v>
      </c>
      <c r="L24" s="31">
        <f t="shared" si="15"/>
        <v>0</v>
      </c>
      <c r="M24" s="31">
        <f t="shared" si="16"/>
        <v>0</v>
      </c>
      <c r="N24" s="31">
        <f t="shared" si="17"/>
        <v>0</v>
      </c>
      <c r="O24" s="32">
        <f t="shared" si="18"/>
        <v>0</v>
      </c>
      <c r="P24" s="4">
        <f t="shared" si="19"/>
        <v>0</v>
      </c>
      <c r="Q24" s="4">
        <f t="shared" si="20"/>
        <v>0</v>
      </c>
      <c r="R24" s="25"/>
      <c r="S24" s="25"/>
      <c r="T24" s="25"/>
      <c r="U24" s="34" t="s">
        <v>123</v>
      </c>
      <c r="V24" s="34" t="s">
        <v>123</v>
      </c>
      <c r="W24" s="25"/>
      <c r="X24" s="25"/>
      <c r="Y24" s="25"/>
      <c r="Z24" s="25"/>
      <c r="AA24" s="25"/>
      <c r="AB24" s="34" t="s">
        <v>123</v>
      </c>
      <c r="AC24" s="34" t="s">
        <v>123</v>
      </c>
      <c r="AD24" s="34" t="s">
        <v>123</v>
      </c>
      <c r="AE24" s="25"/>
      <c r="AF24" s="25"/>
      <c r="AG24" s="25"/>
      <c r="AH24" s="25"/>
      <c r="AI24" s="34" t="s">
        <v>123</v>
      </c>
      <c r="AJ24" s="34" t="s">
        <v>123</v>
      </c>
      <c r="AK24" s="25"/>
      <c r="AL24" s="25"/>
      <c r="AM24" s="25"/>
      <c r="AN24" s="25"/>
      <c r="AO24" s="25"/>
      <c r="AP24" s="34" t="s">
        <v>123</v>
      </c>
      <c r="AQ24" s="34" t="s">
        <v>123</v>
      </c>
      <c r="AR24" s="25"/>
      <c r="AS24" s="25"/>
      <c r="AT24" s="25"/>
      <c r="AU24" s="25"/>
      <c r="AV24" s="25"/>
      <c r="AW24" s="26"/>
      <c r="AX24" s="27">
        <f t="shared" si="10"/>
        <v>121</v>
      </c>
    </row>
    <row r="25" spans="1:50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11"/>
        <v>22</v>
      </c>
      <c r="I25" s="31">
        <f t="shared" si="12"/>
        <v>0</v>
      </c>
      <c r="J25" s="31">
        <f t="shared" si="13"/>
        <v>0</v>
      </c>
      <c r="K25" s="31">
        <f t="shared" si="14"/>
        <v>0</v>
      </c>
      <c r="L25" s="31">
        <f t="shared" si="15"/>
        <v>0</v>
      </c>
      <c r="M25" s="31">
        <f t="shared" si="16"/>
        <v>0</v>
      </c>
      <c r="N25" s="31">
        <f t="shared" si="17"/>
        <v>0</v>
      </c>
      <c r="O25" s="32">
        <f t="shared" si="18"/>
        <v>0</v>
      </c>
      <c r="P25" s="4">
        <f t="shared" si="19"/>
        <v>0</v>
      </c>
      <c r="Q25" s="4">
        <f t="shared" si="20"/>
        <v>0</v>
      </c>
      <c r="R25" s="25"/>
      <c r="S25" s="25"/>
      <c r="T25" s="25"/>
      <c r="U25" s="34" t="s">
        <v>123</v>
      </c>
      <c r="V25" s="34" t="s">
        <v>123</v>
      </c>
      <c r="W25" s="25"/>
      <c r="X25" s="25"/>
      <c r="Y25" s="25"/>
      <c r="Z25" s="25"/>
      <c r="AA25" s="25"/>
      <c r="AB25" s="34" t="s">
        <v>123</v>
      </c>
      <c r="AC25" s="34" t="s">
        <v>123</v>
      </c>
      <c r="AD25" s="34" t="s">
        <v>123</v>
      </c>
      <c r="AE25" s="25"/>
      <c r="AF25" s="25"/>
      <c r="AG25" s="25"/>
      <c r="AH25" s="25"/>
      <c r="AI25" s="34" t="s">
        <v>123</v>
      </c>
      <c r="AJ25" s="34" t="s">
        <v>123</v>
      </c>
      <c r="AK25" s="25"/>
      <c r="AL25" s="25"/>
      <c r="AM25" s="25"/>
      <c r="AN25" s="25"/>
      <c r="AO25" s="25"/>
      <c r="AP25" s="34" t="s">
        <v>123</v>
      </c>
      <c r="AQ25" s="34" t="s">
        <v>123</v>
      </c>
      <c r="AR25" s="25"/>
      <c r="AS25" s="25"/>
      <c r="AT25" s="25"/>
      <c r="AU25" s="25"/>
      <c r="AV25" s="25"/>
      <c r="AW25" s="26"/>
      <c r="AX25" s="27">
        <f t="shared" si="10"/>
        <v>121</v>
      </c>
    </row>
    <row r="26" spans="1:50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11"/>
        <v>22</v>
      </c>
      <c r="I26" s="31">
        <f t="shared" si="12"/>
        <v>0</v>
      </c>
      <c r="J26" s="31">
        <f t="shared" si="13"/>
        <v>0</v>
      </c>
      <c r="K26" s="31">
        <f t="shared" si="14"/>
        <v>0</v>
      </c>
      <c r="L26" s="31">
        <f t="shared" si="15"/>
        <v>0</v>
      </c>
      <c r="M26" s="31">
        <f t="shared" si="16"/>
        <v>0</v>
      </c>
      <c r="N26" s="31">
        <f t="shared" si="17"/>
        <v>0</v>
      </c>
      <c r="O26" s="32">
        <f t="shared" si="18"/>
        <v>0</v>
      </c>
      <c r="P26" s="4">
        <f t="shared" si="19"/>
        <v>0</v>
      </c>
      <c r="Q26" s="4">
        <f t="shared" si="20"/>
        <v>0</v>
      </c>
      <c r="R26" s="25"/>
      <c r="S26" s="25"/>
      <c r="T26" s="25"/>
      <c r="U26" s="34" t="s">
        <v>123</v>
      </c>
      <c r="V26" s="34" t="s">
        <v>123</v>
      </c>
      <c r="W26" s="25"/>
      <c r="X26" s="25"/>
      <c r="Y26" s="25"/>
      <c r="Z26" s="25"/>
      <c r="AA26" s="25"/>
      <c r="AB26" s="34" t="s">
        <v>123</v>
      </c>
      <c r="AC26" s="34" t="s">
        <v>123</v>
      </c>
      <c r="AD26" s="34" t="s">
        <v>123</v>
      </c>
      <c r="AE26" s="25"/>
      <c r="AF26" s="25"/>
      <c r="AG26" s="25"/>
      <c r="AH26" s="25"/>
      <c r="AI26" s="34" t="s">
        <v>123</v>
      </c>
      <c r="AJ26" s="34" t="s">
        <v>123</v>
      </c>
      <c r="AK26" s="25"/>
      <c r="AL26" s="25"/>
      <c r="AM26" s="25"/>
      <c r="AN26" s="25"/>
      <c r="AO26" s="25"/>
      <c r="AP26" s="34" t="s">
        <v>123</v>
      </c>
      <c r="AQ26" s="34" t="s">
        <v>123</v>
      </c>
      <c r="AR26" s="25"/>
      <c r="AS26" s="25"/>
      <c r="AT26" s="25"/>
      <c r="AU26" s="25"/>
      <c r="AV26" s="25"/>
      <c r="AW26" s="26"/>
      <c r="AX26" s="27">
        <f t="shared" si="10"/>
        <v>121</v>
      </c>
    </row>
    <row r="27" spans="1:50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11"/>
        <v>22</v>
      </c>
      <c r="I27" s="31">
        <f t="shared" si="12"/>
        <v>0</v>
      </c>
      <c r="J27" s="31">
        <f t="shared" si="13"/>
        <v>0</v>
      </c>
      <c r="K27" s="31">
        <f t="shared" si="14"/>
        <v>0</v>
      </c>
      <c r="L27" s="31">
        <f t="shared" si="15"/>
        <v>0</v>
      </c>
      <c r="M27" s="31">
        <f t="shared" si="16"/>
        <v>0</v>
      </c>
      <c r="N27" s="31">
        <f t="shared" si="17"/>
        <v>0</v>
      </c>
      <c r="O27" s="32">
        <f t="shared" si="18"/>
        <v>0</v>
      </c>
      <c r="P27" s="4">
        <f t="shared" si="19"/>
        <v>0</v>
      </c>
      <c r="Q27" s="4">
        <f t="shared" si="20"/>
        <v>0</v>
      </c>
      <c r="R27" s="25"/>
      <c r="S27" s="25"/>
      <c r="T27" s="25"/>
      <c r="U27" s="34" t="s">
        <v>123</v>
      </c>
      <c r="V27" s="34" t="s">
        <v>123</v>
      </c>
      <c r="W27" s="25"/>
      <c r="X27" s="25"/>
      <c r="Y27" s="25"/>
      <c r="Z27" s="25"/>
      <c r="AA27" s="25"/>
      <c r="AB27" s="34" t="s">
        <v>123</v>
      </c>
      <c r="AC27" s="34" t="s">
        <v>123</v>
      </c>
      <c r="AD27" s="34" t="s">
        <v>123</v>
      </c>
      <c r="AE27" s="25"/>
      <c r="AF27" s="25"/>
      <c r="AG27" s="25"/>
      <c r="AH27" s="25"/>
      <c r="AI27" s="34" t="s">
        <v>123</v>
      </c>
      <c r="AJ27" s="34" t="s">
        <v>123</v>
      </c>
      <c r="AK27" s="25"/>
      <c r="AL27" s="25"/>
      <c r="AM27" s="25"/>
      <c r="AN27" s="25"/>
      <c r="AO27" s="25"/>
      <c r="AP27" s="34" t="s">
        <v>123</v>
      </c>
      <c r="AQ27" s="34" t="s">
        <v>123</v>
      </c>
      <c r="AR27" s="25"/>
      <c r="AS27" s="25"/>
      <c r="AT27" s="25"/>
      <c r="AU27" s="25"/>
      <c r="AV27" s="25"/>
      <c r="AW27" s="26"/>
      <c r="AX27" s="27">
        <f t="shared" si="10"/>
        <v>121</v>
      </c>
    </row>
    <row r="28" spans="1:50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11"/>
        <v>22</v>
      </c>
      <c r="I28" s="31">
        <f t="shared" si="12"/>
        <v>0</v>
      </c>
      <c r="J28" s="31">
        <f t="shared" si="13"/>
        <v>0</v>
      </c>
      <c r="K28" s="31">
        <f t="shared" si="14"/>
        <v>0</v>
      </c>
      <c r="L28" s="31">
        <f t="shared" si="15"/>
        <v>0</v>
      </c>
      <c r="M28" s="31">
        <f t="shared" si="16"/>
        <v>0</v>
      </c>
      <c r="N28" s="31">
        <f t="shared" si="17"/>
        <v>0</v>
      </c>
      <c r="O28" s="32">
        <f t="shared" si="18"/>
        <v>0</v>
      </c>
      <c r="P28" s="4">
        <f t="shared" si="19"/>
        <v>0</v>
      </c>
      <c r="Q28" s="4">
        <f t="shared" si="20"/>
        <v>0</v>
      </c>
      <c r="R28" s="25"/>
      <c r="S28" s="25"/>
      <c r="T28" s="25"/>
      <c r="U28" s="34" t="s">
        <v>123</v>
      </c>
      <c r="V28" s="34" t="s">
        <v>123</v>
      </c>
      <c r="W28" s="25"/>
      <c r="X28" s="25"/>
      <c r="Y28" s="25"/>
      <c r="Z28" s="25"/>
      <c r="AA28" s="25"/>
      <c r="AB28" s="34" t="s">
        <v>123</v>
      </c>
      <c r="AC28" s="34" t="s">
        <v>123</v>
      </c>
      <c r="AD28" s="34" t="s">
        <v>123</v>
      </c>
      <c r="AE28" s="25"/>
      <c r="AF28" s="25"/>
      <c r="AG28" s="25"/>
      <c r="AH28" s="25"/>
      <c r="AI28" s="34" t="s">
        <v>123</v>
      </c>
      <c r="AJ28" s="34" t="s">
        <v>123</v>
      </c>
      <c r="AK28" s="25"/>
      <c r="AL28" s="25"/>
      <c r="AM28" s="25"/>
      <c r="AN28" s="25"/>
      <c r="AO28" s="25"/>
      <c r="AP28" s="34" t="s">
        <v>123</v>
      </c>
      <c r="AQ28" s="34" t="s">
        <v>123</v>
      </c>
      <c r="AR28" s="25"/>
      <c r="AS28" s="25"/>
      <c r="AT28" s="25"/>
      <c r="AU28" s="25"/>
      <c r="AV28" s="25"/>
      <c r="AW28" s="26"/>
      <c r="AX28" s="27">
        <f t="shared" si="10"/>
        <v>121</v>
      </c>
    </row>
    <row r="29" spans="1:50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11"/>
        <v>22</v>
      </c>
      <c r="I29" s="31">
        <f t="shared" si="12"/>
        <v>0</v>
      </c>
      <c r="J29" s="31">
        <f t="shared" si="13"/>
        <v>0</v>
      </c>
      <c r="K29" s="31">
        <f t="shared" si="14"/>
        <v>0</v>
      </c>
      <c r="L29" s="31">
        <f t="shared" si="15"/>
        <v>0</v>
      </c>
      <c r="M29" s="31">
        <f t="shared" si="16"/>
        <v>0</v>
      </c>
      <c r="N29" s="31">
        <f t="shared" si="17"/>
        <v>0</v>
      </c>
      <c r="O29" s="32">
        <f t="shared" si="18"/>
        <v>0</v>
      </c>
      <c r="P29" s="4">
        <f t="shared" si="19"/>
        <v>0</v>
      </c>
      <c r="Q29" s="4">
        <f t="shared" si="20"/>
        <v>0</v>
      </c>
      <c r="R29" s="25"/>
      <c r="S29" s="25"/>
      <c r="T29" s="25"/>
      <c r="U29" s="34" t="s">
        <v>123</v>
      </c>
      <c r="V29" s="34" t="s">
        <v>123</v>
      </c>
      <c r="W29" s="25"/>
      <c r="X29" s="25"/>
      <c r="Y29" s="25"/>
      <c r="Z29" s="25"/>
      <c r="AA29" s="25"/>
      <c r="AB29" s="34" t="s">
        <v>123</v>
      </c>
      <c r="AC29" s="34" t="s">
        <v>123</v>
      </c>
      <c r="AD29" s="34" t="s">
        <v>123</v>
      </c>
      <c r="AE29" s="25"/>
      <c r="AF29" s="25"/>
      <c r="AG29" s="25"/>
      <c r="AH29" s="25"/>
      <c r="AI29" s="34" t="s">
        <v>123</v>
      </c>
      <c r="AJ29" s="34" t="s">
        <v>123</v>
      </c>
      <c r="AK29" s="25"/>
      <c r="AL29" s="25"/>
      <c r="AM29" s="25"/>
      <c r="AN29" s="25"/>
      <c r="AO29" s="25"/>
      <c r="AP29" s="34" t="s">
        <v>123</v>
      </c>
      <c r="AQ29" s="34" t="s">
        <v>123</v>
      </c>
      <c r="AR29" s="25"/>
      <c r="AS29" s="25"/>
      <c r="AT29" s="25"/>
      <c r="AU29" s="25"/>
      <c r="AV29" s="25"/>
      <c r="AW29" s="26"/>
      <c r="AX29" s="27">
        <f t="shared" si="10"/>
        <v>121</v>
      </c>
    </row>
    <row r="30" spans="1:50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90"/>
      <c r="AF30" s="90"/>
      <c r="AG30" s="90"/>
      <c r="AH30" s="90"/>
      <c r="AI30" s="21"/>
      <c r="AJ30" s="21"/>
      <c r="AK30" s="90"/>
      <c r="AL30" s="90"/>
      <c r="AM30" s="90"/>
      <c r="AN30" s="90"/>
      <c r="AO30" s="90"/>
      <c r="AP30" s="21"/>
      <c r="AQ30" s="21"/>
      <c r="AR30" s="21"/>
      <c r="AS30" s="21"/>
      <c r="AT30" s="21"/>
      <c r="AU30" s="21"/>
      <c r="AV30" s="21"/>
      <c r="AW30" s="35"/>
      <c r="AX30" s="1"/>
    </row>
    <row r="31" spans="1:50" ht="12.75" customHeight="1" x14ac:dyDescent="0.2">
      <c r="A31" s="1"/>
      <c r="B31" s="2"/>
      <c r="C31" s="2"/>
      <c r="D31" s="2"/>
      <c r="E31" s="2"/>
      <c r="F31" s="2"/>
      <c r="G31" s="2"/>
      <c r="H31" s="151" t="s">
        <v>178</v>
      </c>
      <c r="I31" s="151"/>
      <c r="J31" s="151"/>
      <c r="K31" s="151"/>
      <c r="L31" s="151"/>
      <c r="M31" s="151"/>
      <c r="N31" s="151"/>
      <c r="O31" s="152"/>
      <c r="P31" s="36"/>
      <c r="Q31" s="36"/>
      <c r="R31" s="124"/>
      <c r="S31" s="124"/>
      <c r="T31" s="124"/>
      <c r="U31" s="14"/>
      <c r="V31" s="14"/>
      <c r="W31" s="124"/>
      <c r="X31" s="124"/>
      <c r="Y31" s="124"/>
      <c r="Z31" s="124"/>
      <c r="AA31" s="124"/>
      <c r="AB31" s="14"/>
      <c r="AC31" s="14"/>
      <c r="AD31" s="14"/>
      <c r="AE31" s="124"/>
      <c r="AF31" s="124"/>
      <c r="AG31" s="124"/>
      <c r="AH31" s="124"/>
      <c r="AI31" s="14"/>
      <c r="AJ31" s="14"/>
      <c r="AK31" s="124"/>
      <c r="AL31" s="124"/>
      <c r="AM31" s="124"/>
      <c r="AN31" s="124"/>
      <c r="AO31" s="124"/>
      <c r="AP31" s="14"/>
      <c r="AQ31" s="14"/>
      <c r="AR31" s="124"/>
      <c r="AS31" s="124"/>
      <c r="AT31" s="124"/>
      <c r="AU31" s="124"/>
      <c r="AV31" s="124"/>
      <c r="AW31" s="37"/>
    </row>
    <row r="32" spans="1:50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52"/>
      <c r="S32" s="52"/>
      <c r="T32" s="52"/>
      <c r="U32" s="14"/>
      <c r="V32" s="14"/>
      <c r="W32" s="52"/>
      <c r="X32" s="52"/>
      <c r="Y32" s="52"/>
      <c r="Z32" s="52"/>
      <c r="AA32" s="52"/>
      <c r="AB32" s="14"/>
      <c r="AC32" s="14"/>
      <c r="AD32" s="14"/>
      <c r="AE32" s="52"/>
      <c r="AF32" s="52"/>
      <c r="AG32" s="52"/>
      <c r="AH32" s="52"/>
      <c r="AI32" s="14"/>
      <c r="AJ32" s="14"/>
      <c r="AK32" s="52"/>
      <c r="AL32" s="52"/>
      <c r="AM32" s="52"/>
      <c r="AN32" s="52"/>
      <c r="AO32" s="52"/>
      <c r="AP32" s="14"/>
      <c r="AQ32" s="14"/>
      <c r="AR32" s="52"/>
      <c r="AS32" s="52"/>
      <c r="AT32" s="52"/>
      <c r="AU32" s="52"/>
      <c r="AV32" s="52"/>
      <c r="AW32" s="39"/>
    </row>
    <row r="33" spans="1:48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">
      <c r="A34" s="3" t="s">
        <v>148</v>
      </c>
      <c r="B34" s="3"/>
      <c r="C34" s="3" t="s">
        <v>153</v>
      </c>
      <c r="H34" t="s">
        <v>152</v>
      </c>
    </row>
    <row r="35" spans="1:48" ht="38.25" x14ac:dyDescent="0.2">
      <c r="A35" s="1" t="s">
        <v>154</v>
      </c>
      <c r="B35" s="1" t="s">
        <v>155</v>
      </c>
      <c r="C35" s="3"/>
    </row>
    <row r="36" spans="1:48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48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48" ht="38.25" x14ac:dyDescent="0.2">
      <c r="A38" s="3" t="s">
        <v>160</v>
      </c>
      <c r="B38" s="3" t="s">
        <v>141</v>
      </c>
      <c r="C38" s="3" t="s">
        <v>157</v>
      </c>
    </row>
    <row r="39" spans="1:48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48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48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48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48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48" x14ac:dyDescent="0.2">
      <c r="C44" s="1"/>
    </row>
    <row r="45" spans="1:48" x14ac:dyDescent="0.2">
      <c r="F45" s="54"/>
      <c r="G45" s="54"/>
      <c r="H45" s="54"/>
      <c r="I45" s="54"/>
      <c r="J45" s="54"/>
      <c r="K45" s="54"/>
      <c r="L45" s="54"/>
    </row>
    <row r="46" spans="1:48" x14ac:dyDescent="0.2"/>
    <row r="47" spans="1:48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48" ht="25.5" x14ac:dyDescent="0.2">
      <c r="A48" s="42" t="s">
        <v>172</v>
      </c>
      <c r="B48" s="42">
        <f>COUNTBLANK(R1:AV1)</f>
        <v>22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121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v>814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phoneticPr fontId="12" type="noConversion"/>
  <conditionalFormatting sqref="O4:O29">
    <cfRule type="cellIs" dxfId="15" priority="7" operator="greaterThan">
      <formula>3.9</formula>
    </cfRule>
    <cfRule type="cellIs" dxfId="14" priority="8" operator="between">
      <formula>2</formula>
      <formula>3.9</formula>
    </cfRule>
    <cfRule type="cellIs" dxfId="13" priority="12" stopIfTrue="1" operator="between">
      <formula>1</formula>
      <formula>1.9</formula>
    </cfRule>
  </conditionalFormatting>
  <conditionalFormatting sqref="P4:Q29">
    <cfRule type="cellIs" dxfId="12" priority="9" stopIfTrue="1" operator="between">
      <formula>0</formula>
      <formula>2.9</formula>
    </cfRule>
    <cfRule type="cellIs" dxfId="11" priority="10" stopIfTrue="1" operator="between">
      <formula>3</formula>
      <formula>3.9</formula>
    </cfRule>
    <cfRule type="cellIs" dxfId="10" priority="11" stopIfTrue="1" operator="greaterThan">
      <formula>3.9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1BE9-3156-4F29-A60A-4D5ADF1A7380}">
  <dimension ref="A1:AH114"/>
  <sheetViews>
    <sheetView workbookViewId="0">
      <pane xSplit="4" ySplit="3" topLeftCell="E6" activePane="bottomRight" state="frozen"/>
      <selection pane="topRight" activeCell="D20" sqref="D20"/>
      <selection pane="bottomLeft" activeCell="D20" sqref="D20"/>
      <selection pane="bottomRight" activeCell="F4" sqref="F4:G29"/>
    </sheetView>
  </sheetViews>
  <sheetFormatPr baseColWidth="10" defaultColWidth="17.140625" defaultRowHeight="12.75" customHeight="1" x14ac:dyDescent="0.2"/>
  <cols>
    <col min="1" max="1" width="15.5703125" bestFit="1" customWidth="1"/>
    <col min="2" max="2" width="31.42578125" customWidth="1"/>
    <col min="3" max="3" width="18.7109375" customWidth="1"/>
    <col min="4" max="4" width="16" customWidth="1"/>
    <col min="5" max="5" width="46.42578125" customWidth="1"/>
    <col min="6" max="6" width="42.140625" customWidth="1"/>
    <col min="7" max="7" width="17.28515625" customWidth="1"/>
    <col min="8" max="8" width="3" bestFit="1" customWidth="1"/>
    <col min="9" max="9" width="3.140625" bestFit="1" customWidth="1"/>
    <col min="10" max="10" width="4" customWidth="1"/>
    <col min="11" max="11" width="5.7109375" customWidth="1"/>
    <col min="12" max="12" width="2.140625" bestFit="1" customWidth="1"/>
    <col min="13" max="13" width="2.28515625" bestFit="1" customWidth="1"/>
    <col min="14" max="14" width="4.5703125" customWidth="1"/>
    <col min="15" max="15" width="8.28515625" bestFit="1" customWidth="1"/>
    <col min="16" max="17" width="15.85546875" bestFit="1" customWidth="1"/>
    <col min="18" max="32" width="10.28515625" customWidth="1"/>
    <col min="34" max="34" width="14.42578125" bestFit="1" customWidth="1"/>
  </cols>
  <sheetData>
    <row r="1" spans="1:34" x14ac:dyDescent="0.2">
      <c r="A1" s="3" t="s">
        <v>121</v>
      </c>
      <c r="B1" s="3"/>
      <c r="C1" s="3"/>
      <c r="D1" s="3"/>
      <c r="E1" s="3"/>
      <c r="F1" s="3"/>
      <c r="G1" s="3"/>
      <c r="H1" s="147" t="s">
        <v>122</v>
      </c>
      <c r="I1" s="148"/>
      <c r="J1" s="148"/>
      <c r="K1" s="148"/>
      <c r="L1" s="148"/>
      <c r="M1" s="148"/>
      <c r="N1" s="148"/>
      <c r="O1" s="149"/>
      <c r="P1" s="18"/>
      <c r="Q1" s="19"/>
      <c r="R1" s="20"/>
      <c r="S1" s="20"/>
      <c r="T1" s="20"/>
      <c r="U1" s="20"/>
      <c r="V1" s="20"/>
      <c r="W1" s="20" t="s">
        <v>123</v>
      </c>
      <c r="X1" s="20" t="s">
        <v>123</v>
      </c>
      <c r="Y1" s="20"/>
      <c r="Z1" s="20"/>
      <c r="AA1" s="20"/>
      <c r="AB1" s="20"/>
      <c r="AC1" s="20"/>
      <c r="AD1" s="20" t="s">
        <v>123</v>
      </c>
      <c r="AE1" s="20" t="s">
        <v>123</v>
      </c>
      <c r="AF1" s="20"/>
      <c r="AG1" s="23"/>
      <c r="AH1" s="24" t="s">
        <v>124</v>
      </c>
    </row>
    <row r="2" spans="1:34" x14ac:dyDescent="0.2">
      <c r="A2" s="3"/>
      <c r="B2" s="3"/>
      <c r="C2" s="3"/>
      <c r="D2" s="3"/>
      <c r="E2" s="3"/>
      <c r="F2" s="3"/>
      <c r="G2" s="3"/>
      <c r="H2" s="150" t="s">
        <v>125</v>
      </c>
      <c r="I2" s="150"/>
      <c r="J2" s="150"/>
      <c r="K2" s="150"/>
      <c r="L2" s="150"/>
      <c r="M2" s="150"/>
      <c r="N2" s="150"/>
      <c r="O2" s="150"/>
      <c r="P2" s="3"/>
      <c r="Q2" s="3"/>
      <c r="R2" s="3" t="s">
        <v>126</v>
      </c>
      <c r="S2" s="3" t="s">
        <v>127</v>
      </c>
      <c r="T2" s="3" t="s">
        <v>128</v>
      </c>
      <c r="U2" s="3" t="s">
        <v>129</v>
      </c>
      <c r="V2" s="3" t="s">
        <v>130</v>
      </c>
      <c r="W2" s="3" t="s">
        <v>131</v>
      </c>
      <c r="X2" s="3" t="s">
        <v>132</v>
      </c>
      <c r="Y2" s="3" t="s">
        <v>126</v>
      </c>
      <c r="Z2" s="3" t="s">
        <v>127</v>
      </c>
      <c r="AA2" s="3" t="s">
        <v>128</v>
      </c>
      <c r="AB2" s="3" t="s">
        <v>129</v>
      </c>
      <c r="AC2" s="3" t="s">
        <v>130</v>
      </c>
      <c r="AD2" s="3" t="s">
        <v>131</v>
      </c>
      <c r="AE2" s="3" t="s">
        <v>132</v>
      </c>
      <c r="AF2" s="3" t="s">
        <v>126</v>
      </c>
      <c r="AG2" s="26"/>
      <c r="AH2" s="27" t="s">
        <v>133</v>
      </c>
    </row>
    <row r="3" spans="1:34" ht="30.75" customHeight="1" x14ac:dyDescent="0.2">
      <c r="A3" s="11" t="s">
        <v>0</v>
      </c>
      <c r="B3" s="11" t="s">
        <v>1</v>
      </c>
      <c r="C3" s="11" t="s">
        <v>2</v>
      </c>
      <c r="D3" s="11" t="s">
        <v>134</v>
      </c>
      <c r="E3" s="11" t="s">
        <v>135</v>
      </c>
      <c r="F3" s="11" t="s">
        <v>136</v>
      </c>
      <c r="G3" s="11" t="s">
        <v>137</v>
      </c>
      <c r="H3" s="12" t="s">
        <v>138</v>
      </c>
      <c r="I3" s="12" t="s">
        <v>139</v>
      </c>
      <c r="J3" s="12" t="s">
        <v>140</v>
      </c>
      <c r="K3" s="12" t="s">
        <v>141</v>
      </c>
      <c r="L3" s="12" t="s">
        <v>142</v>
      </c>
      <c r="M3" s="12" t="s">
        <v>143</v>
      </c>
      <c r="N3" s="12" t="s">
        <v>144</v>
      </c>
      <c r="O3" s="12" t="s">
        <v>145</v>
      </c>
      <c r="P3" s="28" t="s">
        <v>146</v>
      </c>
      <c r="Q3" s="28" t="s">
        <v>147</v>
      </c>
      <c r="R3" s="29">
        <v>46174</v>
      </c>
      <c r="S3" s="29">
        <v>46175</v>
      </c>
      <c r="T3" s="29">
        <v>46176</v>
      </c>
      <c r="U3" s="29">
        <v>46177</v>
      </c>
      <c r="V3" s="29">
        <v>46178</v>
      </c>
      <c r="W3" s="29">
        <v>46179</v>
      </c>
      <c r="X3" s="29">
        <v>46180</v>
      </c>
      <c r="Y3" s="29">
        <v>46181</v>
      </c>
      <c r="Z3" s="29">
        <v>46182</v>
      </c>
      <c r="AA3" s="29">
        <v>46183</v>
      </c>
      <c r="AB3" s="29">
        <v>46184</v>
      </c>
      <c r="AC3" s="29">
        <v>46185</v>
      </c>
      <c r="AD3" s="29">
        <v>46186</v>
      </c>
      <c r="AE3" s="29">
        <v>46187</v>
      </c>
      <c r="AF3" s="29">
        <v>46188</v>
      </c>
      <c r="AG3" s="26"/>
      <c r="AH3" s="27" t="s">
        <v>148</v>
      </c>
    </row>
    <row r="4" spans="1:34" ht="15" customHeight="1" x14ac:dyDescent="0.2">
      <c r="A4" s="103">
        <v>1</v>
      </c>
      <c r="B4" s="103" t="str">
        <f>Listado!B4</f>
        <v>Alonso Mansilla</v>
      </c>
      <c r="C4" s="103" t="str">
        <f>Listado!C4</f>
        <v>Javier</v>
      </c>
      <c r="D4" s="107" t="str">
        <f>Listado!D4</f>
        <v>Javi</v>
      </c>
      <c r="E4" s="103" t="str">
        <f>Listado!E4</f>
        <v>javier.alonsomansilla@tajamar365.com</v>
      </c>
      <c r="F4" s="103"/>
      <c r="G4" s="103"/>
      <c r="H4" s="30">
        <f t="shared" ref="H4:H29" si="0">COUNTBLANK(R4:AF4)</f>
        <v>11</v>
      </c>
      <c r="I4" s="31">
        <f t="shared" ref="I4:I29" si="1">COUNTIF(R4:AF4,"FJ")</f>
        <v>0</v>
      </c>
      <c r="J4" s="31">
        <f t="shared" ref="J4:J29" si="2">COUNTIF(R4:AF4,"RJ")</f>
        <v>0</v>
      </c>
      <c r="K4" s="31">
        <f t="shared" ref="K4:K29" si="3">COUNTIF(R4:AF4,"SAFJ")</f>
        <v>0</v>
      </c>
      <c r="L4" s="31">
        <f t="shared" ref="L4:L29" si="4">COUNTIF(R4:AF4,"F")</f>
        <v>0</v>
      </c>
      <c r="M4" s="31">
        <f t="shared" ref="M4:M29" si="5">COUNTIF(R4:AF4,"R")</f>
        <v>0</v>
      </c>
      <c r="N4" s="31">
        <f t="shared" ref="N4:N29" si="6">COUNTIF(R4:AF4,"SAF")</f>
        <v>0</v>
      </c>
      <c r="O4" s="32">
        <f>(L4+(M4/2))+(N4/2)</f>
        <v>0</v>
      </c>
      <c r="P4" s="4">
        <f>I4+L4</f>
        <v>0</v>
      </c>
      <c r="Q4" s="4">
        <f>SUM(I4:N4)</f>
        <v>0</v>
      </c>
      <c r="R4" s="25"/>
      <c r="S4" s="25"/>
      <c r="T4" s="25"/>
      <c r="U4" s="25"/>
      <c r="V4" s="25"/>
      <c r="W4" s="34" t="s">
        <v>123</v>
      </c>
      <c r="X4" s="34" t="s">
        <v>123</v>
      </c>
      <c r="Y4" s="25"/>
      <c r="Z4" s="25"/>
      <c r="AA4" s="25"/>
      <c r="AB4" s="25"/>
      <c r="AC4" s="25"/>
      <c r="AD4" s="34" t="s">
        <v>123</v>
      </c>
      <c r="AE4" s="34" t="s">
        <v>123</v>
      </c>
      <c r="AF4" s="25"/>
      <c r="AG4" s="26"/>
      <c r="AH4" s="27">
        <f t="shared" ref="AH4:AH29" si="7">H4*B$49</f>
        <v>60.5</v>
      </c>
    </row>
    <row r="5" spans="1:34" ht="15" customHeight="1" x14ac:dyDescent="0.2">
      <c r="A5" s="103">
        <v>2</v>
      </c>
      <c r="B5" s="103" t="str">
        <f>Listado!B5</f>
        <v>Barbacid Fernández</v>
      </c>
      <c r="C5" s="103" t="str">
        <f>Listado!C5</f>
        <v>Alberto</v>
      </c>
      <c r="D5" s="107" t="str">
        <f>Listado!D5</f>
        <v>Alberto</v>
      </c>
      <c r="E5" s="103" t="str">
        <f>Listado!E5</f>
        <v>alberto.barbacid@tajamar365.com</v>
      </c>
      <c r="F5" s="103"/>
      <c r="G5" s="103"/>
      <c r="H5" s="30">
        <f t="shared" si="0"/>
        <v>11</v>
      </c>
      <c r="I5" s="31">
        <f t="shared" si="1"/>
        <v>0</v>
      </c>
      <c r="J5" s="31">
        <f t="shared" si="2"/>
        <v>0</v>
      </c>
      <c r="K5" s="31">
        <f t="shared" si="3"/>
        <v>0</v>
      </c>
      <c r="L5" s="31">
        <f t="shared" si="4"/>
        <v>0</v>
      </c>
      <c r="M5" s="31">
        <f t="shared" si="5"/>
        <v>0</v>
      </c>
      <c r="N5" s="31">
        <f t="shared" si="6"/>
        <v>0</v>
      </c>
      <c r="O5" s="32">
        <f t="shared" ref="O5:O29" si="8">(L5+(M5/2))+(N5/2)</f>
        <v>0</v>
      </c>
      <c r="P5" s="4">
        <f t="shared" ref="P5:P29" si="9">I5+L5</f>
        <v>0</v>
      </c>
      <c r="Q5" s="4">
        <f t="shared" ref="Q5:Q29" si="10">SUM(I5:N5)</f>
        <v>0</v>
      </c>
      <c r="R5" s="25"/>
      <c r="S5" s="25"/>
      <c r="T5" s="25"/>
      <c r="U5" s="25"/>
      <c r="V5" s="25"/>
      <c r="W5" s="34" t="s">
        <v>123</v>
      </c>
      <c r="X5" s="34" t="s">
        <v>123</v>
      </c>
      <c r="Y5" s="25"/>
      <c r="Z5" s="25"/>
      <c r="AA5" s="25"/>
      <c r="AB5" s="25"/>
      <c r="AC5" s="25"/>
      <c r="AD5" s="34" t="s">
        <v>123</v>
      </c>
      <c r="AE5" s="34" t="s">
        <v>123</v>
      </c>
      <c r="AF5" s="25"/>
      <c r="AG5" s="26"/>
      <c r="AH5" s="27">
        <f t="shared" si="7"/>
        <v>60.5</v>
      </c>
    </row>
    <row r="6" spans="1:34" ht="15" customHeight="1" x14ac:dyDescent="0.2">
      <c r="A6" s="103">
        <v>3</v>
      </c>
      <c r="B6" s="103" t="str">
        <f>Listado!B6</f>
        <v>Bayas Sarzosa</v>
      </c>
      <c r="C6" s="103" t="str">
        <f>Listado!C6</f>
        <v>Kevin</v>
      </c>
      <c r="D6" s="107" t="str">
        <f>Listado!D6</f>
        <v>Kevin</v>
      </c>
      <c r="E6" s="103" t="str">
        <f>Listado!E6</f>
        <v>kevin.bayas@tajamar365.com</v>
      </c>
      <c r="F6" s="103"/>
      <c r="G6" s="103"/>
      <c r="H6" s="30">
        <f t="shared" si="0"/>
        <v>11</v>
      </c>
      <c r="I6" s="31">
        <f t="shared" si="1"/>
        <v>0</v>
      </c>
      <c r="J6" s="31">
        <f t="shared" si="2"/>
        <v>0</v>
      </c>
      <c r="K6" s="31">
        <f t="shared" si="3"/>
        <v>0</v>
      </c>
      <c r="L6" s="31">
        <f t="shared" si="4"/>
        <v>0</v>
      </c>
      <c r="M6" s="31">
        <f t="shared" si="5"/>
        <v>0</v>
      </c>
      <c r="N6" s="31">
        <f t="shared" si="6"/>
        <v>0</v>
      </c>
      <c r="O6" s="32">
        <f t="shared" si="8"/>
        <v>0</v>
      </c>
      <c r="P6" s="4">
        <f t="shared" si="9"/>
        <v>0</v>
      </c>
      <c r="Q6" s="4">
        <f t="shared" si="10"/>
        <v>0</v>
      </c>
      <c r="R6" s="25"/>
      <c r="S6" s="25"/>
      <c r="T6" s="25"/>
      <c r="U6" s="25"/>
      <c r="V6" s="25"/>
      <c r="W6" s="34" t="s">
        <v>123</v>
      </c>
      <c r="X6" s="34" t="s">
        <v>123</v>
      </c>
      <c r="Y6" s="25"/>
      <c r="Z6" s="25"/>
      <c r="AA6" s="25"/>
      <c r="AB6" s="25"/>
      <c r="AC6" s="25"/>
      <c r="AD6" s="34" t="s">
        <v>123</v>
      </c>
      <c r="AE6" s="34" t="s">
        <v>123</v>
      </c>
      <c r="AF6" s="25"/>
      <c r="AG6" s="26"/>
      <c r="AH6" s="27">
        <f t="shared" si="7"/>
        <v>60.5</v>
      </c>
    </row>
    <row r="7" spans="1:34" ht="15" customHeight="1" x14ac:dyDescent="0.2">
      <c r="A7" s="103">
        <v>4</v>
      </c>
      <c r="B7" s="103" t="str">
        <f>Listado!B7</f>
        <v>Cánovas López</v>
      </c>
      <c r="C7" s="103" t="str">
        <f>Listado!C7</f>
        <v>Alejandro</v>
      </c>
      <c r="D7" s="107" t="str">
        <f>Listado!D7</f>
        <v>Alex</v>
      </c>
      <c r="E7" s="103" t="str">
        <f>Listado!E7</f>
        <v>alejandro.canovas@tajamar365.com</v>
      </c>
      <c r="F7" s="103"/>
      <c r="G7" s="103"/>
      <c r="H7" s="30">
        <f t="shared" si="0"/>
        <v>11</v>
      </c>
      <c r="I7" s="31">
        <f t="shared" si="1"/>
        <v>0</v>
      </c>
      <c r="J7" s="31">
        <f t="shared" si="2"/>
        <v>0</v>
      </c>
      <c r="K7" s="31">
        <f t="shared" si="3"/>
        <v>0</v>
      </c>
      <c r="L7" s="31">
        <f t="shared" si="4"/>
        <v>0</v>
      </c>
      <c r="M7" s="31">
        <f t="shared" si="5"/>
        <v>0</v>
      </c>
      <c r="N7" s="31">
        <f t="shared" si="6"/>
        <v>0</v>
      </c>
      <c r="O7" s="32">
        <f t="shared" si="8"/>
        <v>0</v>
      </c>
      <c r="P7" s="4">
        <f t="shared" si="9"/>
        <v>0</v>
      </c>
      <c r="Q7" s="4">
        <f t="shared" si="10"/>
        <v>0</v>
      </c>
      <c r="R7" s="25"/>
      <c r="S7" s="25"/>
      <c r="T7" s="25"/>
      <c r="U7" s="25"/>
      <c r="V7" s="25"/>
      <c r="W7" s="34" t="s">
        <v>123</v>
      </c>
      <c r="X7" s="34" t="s">
        <v>123</v>
      </c>
      <c r="Y7" s="25"/>
      <c r="Z7" s="25"/>
      <c r="AA7" s="25"/>
      <c r="AB7" s="25"/>
      <c r="AC7" s="25"/>
      <c r="AD7" s="34" t="s">
        <v>123</v>
      </c>
      <c r="AE7" s="34" t="s">
        <v>123</v>
      </c>
      <c r="AF7" s="25"/>
      <c r="AG7" s="26"/>
      <c r="AH7" s="27">
        <f t="shared" si="7"/>
        <v>60.5</v>
      </c>
    </row>
    <row r="8" spans="1:34" ht="15" customHeight="1" x14ac:dyDescent="0.2">
      <c r="A8" s="103">
        <v>5</v>
      </c>
      <c r="B8" s="103" t="str">
        <f>Listado!B8</f>
        <v>Cardona Hernández</v>
      </c>
      <c r="C8" s="103" t="str">
        <f>Listado!C8</f>
        <v>Diego</v>
      </c>
      <c r="D8" s="107" t="str">
        <f>Listado!D8</f>
        <v>Diego</v>
      </c>
      <c r="E8" s="103" t="str">
        <f>Listado!E8</f>
        <v>diego.cardona@tajamar365.com</v>
      </c>
      <c r="F8" s="103"/>
      <c r="G8" s="103"/>
      <c r="H8" s="30">
        <f t="shared" si="0"/>
        <v>11</v>
      </c>
      <c r="I8" s="31">
        <f t="shared" si="1"/>
        <v>0</v>
      </c>
      <c r="J8" s="31">
        <f t="shared" si="2"/>
        <v>0</v>
      </c>
      <c r="K8" s="31">
        <f t="shared" si="3"/>
        <v>0</v>
      </c>
      <c r="L8" s="31">
        <f t="shared" si="4"/>
        <v>0</v>
      </c>
      <c r="M8" s="31">
        <f t="shared" si="5"/>
        <v>0</v>
      </c>
      <c r="N8" s="31">
        <f t="shared" si="6"/>
        <v>0</v>
      </c>
      <c r="O8" s="32">
        <f t="shared" si="8"/>
        <v>0</v>
      </c>
      <c r="P8" s="4">
        <f t="shared" si="9"/>
        <v>0</v>
      </c>
      <c r="Q8" s="4">
        <f t="shared" si="10"/>
        <v>0</v>
      </c>
      <c r="R8" s="25"/>
      <c r="S8" s="25"/>
      <c r="T8" s="25"/>
      <c r="U8" s="25"/>
      <c r="V8" s="25"/>
      <c r="W8" s="34" t="s">
        <v>123</v>
      </c>
      <c r="X8" s="34" t="s">
        <v>123</v>
      </c>
      <c r="Y8" s="25"/>
      <c r="Z8" s="25"/>
      <c r="AA8" s="25"/>
      <c r="AB8" s="25"/>
      <c r="AC8" s="25"/>
      <c r="AD8" s="34" t="s">
        <v>123</v>
      </c>
      <c r="AE8" s="34" t="s">
        <v>123</v>
      </c>
      <c r="AF8" s="25"/>
      <c r="AG8" s="26"/>
      <c r="AH8" s="27">
        <f t="shared" si="7"/>
        <v>60.5</v>
      </c>
    </row>
    <row r="9" spans="1:34" ht="15" customHeight="1" x14ac:dyDescent="0.2">
      <c r="A9" s="103">
        <v>6</v>
      </c>
      <c r="B9" s="103" t="str">
        <f>Listado!B9</f>
        <v>Casco Valero</v>
      </c>
      <c r="C9" s="103" t="str">
        <f>Listado!C9</f>
        <v>Álvaro</v>
      </c>
      <c r="D9" s="107" t="str">
        <f>Listado!D9</f>
        <v>Álvaro</v>
      </c>
      <c r="E9" s="103" t="str">
        <f>Listado!E9</f>
        <v>alvaro.casco@tajamar365.com</v>
      </c>
      <c r="F9" s="103"/>
      <c r="G9" s="103"/>
      <c r="H9" s="30">
        <f t="shared" si="0"/>
        <v>11</v>
      </c>
      <c r="I9" s="31">
        <f t="shared" si="1"/>
        <v>0</v>
      </c>
      <c r="J9" s="31">
        <f t="shared" si="2"/>
        <v>0</v>
      </c>
      <c r="K9" s="31">
        <f t="shared" si="3"/>
        <v>0</v>
      </c>
      <c r="L9" s="31">
        <f t="shared" si="4"/>
        <v>0</v>
      </c>
      <c r="M9" s="31">
        <f t="shared" si="5"/>
        <v>0</v>
      </c>
      <c r="N9" s="31">
        <f t="shared" si="6"/>
        <v>0</v>
      </c>
      <c r="O9" s="32">
        <f t="shared" si="8"/>
        <v>0</v>
      </c>
      <c r="P9" s="4">
        <f t="shared" si="9"/>
        <v>0</v>
      </c>
      <c r="Q9" s="4">
        <f t="shared" si="10"/>
        <v>0</v>
      </c>
      <c r="R9" s="25"/>
      <c r="S9" s="25"/>
      <c r="T9" s="25"/>
      <c r="U9" s="25"/>
      <c r="V9" s="25"/>
      <c r="W9" s="34" t="s">
        <v>123</v>
      </c>
      <c r="X9" s="34" t="s">
        <v>123</v>
      </c>
      <c r="Y9" s="25"/>
      <c r="Z9" s="25"/>
      <c r="AA9" s="25"/>
      <c r="AB9" s="25"/>
      <c r="AC9" s="25"/>
      <c r="AD9" s="34" t="s">
        <v>123</v>
      </c>
      <c r="AE9" s="34" t="s">
        <v>123</v>
      </c>
      <c r="AF9" s="25"/>
      <c r="AG9" s="26"/>
      <c r="AH9" s="27">
        <f t="shared" si="7"/>
        <v>60.5</v>
      </c>
    </row>
    <row r="10" spans="1:34" ht="15" customHeight="1" x14ac:dyDescent="0.2">
      <c r="A10" s="103">
        <v>7</v>
      </c>
      <c r="B10" s="103" t="str">
        <f>Listado!B10</f>
        <v>Cobo Marcos</v>
      </c>
      <c r="C10" s="103" t="str">
        <f>Listado!C10</f>
        <v>Alejandro</v>
      </c>
      <c r="D10" s="107" t="str">
        <f>Listado!D10</f>
        <v>Alex</v>
      </c>
      <c r="E10" s="103" t="str">
        <f>Listado!E10</f>
        <v>alejandro.cobo@tajamar365.com</v>
      </c>
      <c r="F10" s="103"/>
      <c r="G10" s="103"/>
      <c r="H10" s="30">
        <f t="shared" si="0"/>
        <v>11</v>
      </c>
      <c r="I10" s="31">
        <f t="shared" si="1"/>
        <v>0</v>
      </c>
      <c r="J10" s="31">
        <f t="shared" si="2"/>
        <v>0</v>
      </c>
      <c r="K10" s="31">
        <f t="shared" si="3"/>
        <v>0</v>
      </c>
      <c r="L10" s="31">
        <f t="shared" si="4"/>
        <v>0</v>
      </c>
      <c r="M10" s="31">
        <f t="shared" si="5"/>
        <v>0</v>
      </c>
      <c r="N10" s="31">
        <f t="shared" si="6"/>
        <v>0</v>
      </c>
      <c r="O10" s="32">
        <f t="shared" si="8"/>
        <v>0</v>
      </c>
      <c r="P10" s="4">
        <f t="shared" si="9"/>
        <v>0</v>
      </c>
      <c r="Q10" s="4">
        <f t="shared" si="10"/>
        <v>0</v>
      </c>
      <c r="R10" s="25"/>
      <c r="S10" s="25"/>
      <c r="T10" s="25"/>
      <c r="U10" s="25"/>
      <c r="V10" s="25"/>
      <c r="W10" s="34" t="s">
        <v>123</v>
      </c>
      <c r="X10" s="34" t="s">
        <v>123</v>
      </c>
      <c r="Y10" s="25"/>
      <c r="Z10" s="25"/>
      <c r="AA10" s="25"/>
      <c r="AB10" s="25"/>
      <c r="AC10" s="25"/>
      <c r="AD10" s="34" t="s">
        <v>123</v>
      </c>
      <c r="AE10" s="34" t="s">
        <v>123</v>
      </c>
      <c r="AF10" s="25"/>
      <c r="AG10" s="26"/>
      <c r="AH10" s="27">
        <f t="shared" si="7"/>
        <v>60.5</v>
      </c>
    </row>
    <row r="11" spans="1:34" ht="15" customHeight="1" x14ac:dyDescent="0.2">
      <c r="A11" s="103">
        <v>8</v>
      </c>
      <c r="B11" s="103" t="str">
        <f>Listado!B11</f>
        <v>Galán Castro</v>
      </c>
      <c r="C11" s="103" t="str">
        <f>Listado!C11</f>
        <v>Asil</v>
      </c>
      <c r="D11" s="107" t="str">
        <f>Listado!D11</f>
        <v>Asil</v>
      </c>
      <c r="E11" s="103" t="str">
        <f>Listado!E11</f>
        <v>asil.galan@tajamar365.com</v>
      </c>
      <c r="F11" s="103"/>
      <c r="G11" s="103"/>
      <c r="H11" s="30">
        <f t="shared" si="0"/>
        <v>11</v>
      </c>
      <c r="I11" s="31">
        <f t="shared" si="1"/>
        <v>0</v>
      </c>
      <c r="J11" s="31">
        <f t="shared" si="2"/>
        <v>0</v>
      </c>
      <c r="K11" s="31">
        <f t="shared" si="3"/>
        <v>0</v>
      </c>
      <c r="L11" s="31">
        <f t="shared" si="4"/>
        <v>0</v>
      </c>
      <c r="M11" s="31">
        <f t="shared" si="5"/>
        <v>0</v>
      </c>
      <c r="N11" s="31">
        <f t="shared" si="6"/>
        <v>0</v>
      </c>
      <c r="O11" s="32">
        <f t="shared" si="8"/>
        <v>0</v>
      </c>
      <c r="P11" s="4">
        <f t="shared" si="9"/>
        <v>0</v>
      </c>
      <c r="Q11" s="4">
        <f t="shared" si="10"/>
        <v>0</v>
      </c>
      <c r="R11" s="25"/>
      <c r="S11" s="25"/>
      <c r="T11" s="25"/>
      <c r="U11" s="25"/>
      <c r="V11" s="25"/>
      <c r="W11" s="34" t="s">
        <v>123</v>
      </c>
      <c r="X11" s="34" t="s">
        <v>123</v>
      </c>
      <c r="Y11" s="25"/>
      <c r="Z11" s="25"/>
      <c r="AA11" s="25"/>
      <c r="AB11" s="25"/>
      <c r="AC11" s="25"/>
      <c r="AD11" s="34" t="s">
        <v>123</v>
      </c>
      <c r="AE11" s="34" t="s">
        <v>123</v>
      </c>
      <c r="AF11" s="25"/>
      <c r="AG11" s="26"/>
      <c r="AH11" s="27">
        <f t="shared" si="7"/>
        <v>60.5</v>
      </c>
    </row>
    <row r="12" spans="1:34" ht="15" customHeight="1" x14ac:dyDescent="0.2">
      <c r="A12" s="103">
        <v>9</v>
      </c>
      <c r="B12" s="103" t="str">
        <f>Listado!B12</f>
        <v>García Martín</v>
      </c>
      <c r="C12" s="103" t="str">
        <f>Listado!C12</f>
        <v>Alonso</v>
      </c>
      <c r="D12" s="107" t="str">
        <f>Listado!D12</f>
        <v>Alonso</v>
      </c>
      <c r="E12" s="103" t="str">
        <f>Listado!E12</f>
        <v>alonso.garcia@tajamar365.com</v>
      </c>
      <c r="F12" s="103"/>
      <c r="G12" s="103"/>
      <c r="H12" s="30">
        <f t="shared" si="0"/>
        <v>11</v>
      </c>
      <c r="I12" s="31">
        <f t="shared" si="1"/>
        <v>0</v>
      </c>
      <c r="J12" s="31">
        <f t="shared" si="2"/>
        <v>0</v>
      </c>
      <c r="K12" s="31">
        <f t="shared" si="3"/>
        <v>0</v>
      </c>
      <c r="L12" s="31">
        <f t="shared" si="4"/>
        <v>0</v>
      </c>
      <c r="M12" s="31">
        <f t="shared" si="5"/>
        <v>0</v>
      </c>
      <c r="N12" s="31">
        <f t="shared" si="6"/>
        <v>0</v>
      </c>
      <c r="O12" s="32">
        <f t="shared" si="8"/>
        <v>0</v>
      </c>
      <c r="P12" s="4">
        <f t="shared" si="9"/>
        <v>0</v>
      </c>
      <c r="Q12" s="4">
        <f t="shared" si="10"/>
        <v>0</v>
      </c>
      <c r="R12" s="25"/>
      <c r="S12" s="25"/>
      <c r="T12" s="25"/>
      <c r="U12" s="25"/>
      <c r="V12" s="25"/>
      <c r="W12" s="34" t="s">
        <v>123</v>
      </c>
      <c r="X12" s="34" t="s">
        <v>123</v>
      </c>
      <c r="Y12" s="25"/>
      <c r="Z12" s="25"/>
      <c r="AA12" s="25"/>
      <c r="AB12" s="25"/>
      <c r="AC12" s="25"/>
      <c r="AD12" s="34" t="s">
        <v>123</v>
      </c>
      <c r="AE12" s="34" t="s">
        <v>123</v>
      </c>
      <c r="AF12" s="25"/>
      <c r="AG12" s="26"/>
      <c r="AH12" s="27">
        <f t="shared" si="7"/>
        <v>60.5</v>
      </c>
    </row>
    <row r="13" spans="1:34" ht="15" customHeight="1" x14ac:dyDescent="0.2">
      <c r="A13" s="103">
        <v>10</v>
      </c>
      <c r="B13" s="103" t="str">
        <f>Listado!B13</f>
        <v>García Muñoz</v>
      </c>
      <c r="C13" s="103" t="str">
        <f>Listado!C13</f>
        <v>Raúl</v>
      </c>
      <c r="D13" s="107" t="str">
        <f>Listado!D13</f>
        <v>Raúl</v>
      </c>
      <c r="E13" s="103" t="str">
        <f>Listado!E13</f>
        <v>raul.garciamunoz@tajamar365.com</v>
      </c>
      <c r="F13" s="103"/>
      <c r="G13" s="103"/>
      <c r="H13" s="30">
        <f t="shared" si="0"/>
        <v>11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31">
        <f t="shared" si="4"/>
        <v>0</v>
      </c>
      <c r="M13" s="31">
        <f t="shared" si="5"/>
        <v>0</v>
      </c>
      <c r="N13" s="31">
        <f t="shared" si="6"/>
        <v>0</v>
      </c>
      <c r="O13" s="32">
        <f t="shared" si="8"/>
        <v>0</v>
      </c>
      <c r="P13" s="4">
        <f t="shared" si="9"/>
        <v>0</v>
      </c>
      <c r="Q13" s="4">
        <f t="shared" si="10"/>
        <v>0</v>
      </c>
      <c r="R13" s="25"/>
      <c r="S13" s="25"/>
      <c r="T13" s="25"/>
      <c r="U13" s="25"/>
      <c r="V13" s="25"/>
      <c r="W13" s="34" t="s">
        <v>123</v>
      </c>
      <c r="X13" s="34" t="s">
        <v>123</v>
      </c>
      <c r="Y13" s="25"/>
      <c r="Z13" s="25"/>
      <c r="AA13" s="25"/>
      <c r="AB13" s="25"/>
      <c r="AC13" s="25"/>
      <c r="AD13" s="34" t="s">
        <v>123</v>
      </c>
      <c r="AE13" s="34" t="s">
        <v>123</v>
      </c>
      <c r="AF13" s="25"/>
      <c r="AG13" s="26"/>
      <c r="AH13" s="27">
        <f t="shared" si="7"/>
        <v>60.5</v>
      </c>
    </row>
    <row r="14" spans="1:34" ht="15" customHeight="1" x14ac:dyDescent="0.2">
      <c r="A14" s="103">
        <v>11</v>
      </c>
      <c r="B14" s="103" t="str">
        <f>Listado!B14</f>
        <v>Gil Fuertes</v>
      </c>
      <c r="C14" s="103" t="str">
        <f>Listado!C14</f>
        <v>Héctor</v>
      </c>
      <c r="D14" s="107" t="str">
        <f>Listado!D14</f>
        <v>Héctor</v>
      </c>
      <c r="E14" s="103" t="str">
        <f>Listado!E14</f>
        <v>hector.gil@tajamar365.com</v>
      </c>
      <c r="F14" s="103"/>
      <c r="G14" s="103"/>
      <c r="H14" s="30">
        <f t="shared" si="0"/>
        <v>11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31">
        <f t="shared" si="4"/>
        <v>0</v>
      </c>
      <c r="M14" s="31">
        <f t="shared" si="5"/>
        <v>0</v>
      </c>
      <c r="N14" s="31">
        <f t="shared" si="6"/>
        <v>0</v>
      </c>
      <c r="O14" s="32">
        <f t="shared" si="8"/>
        <v>0</v>
      </c>
      <c r="P14" s="4">
        <f t="shared" si="9"/>
        <v>0</v>
      </c>
      <c r="Q14" s="4">
        <f t="shared" si="10"/>
        <v>0</v>
      </c>
      <c r="R14" s="25"/>
      <c r="S14" s="25"/>
      <c r="T14" s="25"/>
      <c r="U14" s="25"/>
      <c r="V14" s="25"/>
      <c r="W14" s="34" t="s">
        <v>123</v>
      </c>
      <c r="X14" s="34" t="s">
        <v>123</v>
      </c>
      <c r="Y14" s="25"/>
      <c r="Z14" s="25"/>
      <c r="AA14" s="25"/>
      <c r="AB14" s="25"/>
      <c r="AC14" s="25"/>
      <c r="AD14" s="34" t="s">
        <v>123</v>
      </c>
      <c r="AE14" s="34" t="s">
        <v>123</v>
      </c>
      <c r="AF14" s="25"/>
      <c r="AG14" s="26"/>
      <c r="AH14" s="27">
        <f t="shared" si="7"/>
        <v>60.5</v>
      </c>
    </row>
    <row r="15" spans="1:34" ht="15" customHeight="1" x14ac:dyDescent="0.2">
      <c r="A15" s="103">
        <v>12</v>
      </c>
      <c r="B15" s="103" t="str">
        <f>Listado!B15</f>
        <v>Gonzalo Lucas</v>
      </c>
      <c r="C15" s="103" t="str">
        <f>Listado!C15</f>
        <v>Pablo</v>
      </c>
      <c r="D15" s="107" t="str">
        <f>Listado!D15</f>
        <v>Pablo</v>
      </c>
      <c r="E15" s="103" t="str">
        <f>Listado!E15</f>
        <v>pablo.gonzalo@tajamar365.com</v>
      </c>
      <c r="F15" s="103"/>
      <c r="G15" s="103"/>
      <c r="H15" s="30">
        <f t="shared" si="0"/>
        <v>11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31">
        <f t="shared" si="4"/>
        <v>0</v>
      </c>
      <c r="M15" s="31">
        <f t="shared" si="5"/>
        <v>0</v>
      </c>
      <c r="N15" s="31">
        <f t="shared" si="6"/>
        <v>0</v>
      </c>
      <c r="O15" s="32">
        <f t="shared" si="8"/>
        <v>0</v>
      </c>
      <c r="P15" s="4">
        <f t="shared" si="9"/>
        <v>0</v>
      </c>
      <c r="Q15" s="4">
        <f t="shared" si="10"/>
        <v>0</v>
      </c>
      <c r="R15" s="25"/>
      <c r="S15" s="25"/>
      <c r="T15" s="25"/>
      <c r="U15" s="25"/>
      <c r="V15" s="25"/>
      <c r="W15" s="34" t="s">
        <v>123</v>
      </c>
      <c r="X15" s="34" t="s">
        <v>123</v>
      </c>
      <c r="Y15" s="25"/>
      <c r="Z15" s="25"/>
      <c r="AA15" s="25"/>
      <c r="AB15" s="25"/>
      <c r="AC15" s="25"/>
      <c r="AD15" s="34" t="s">
        <v>123</v>
      </c>
      <c r="AE15" s="34" t="s">
        <v>123</v>
      </c>
      <c r="AF15" s="25"/>
      <c r="AG15" s="26"/>
      <c r="AH15" s="27">
        <f t="shared" si="7"/>
        <v>60.5</v>
      </c>
    </row>
    <row r="16" spans="1:34" ht="15" customHeight="1" x14ac:dyDescent="0.2">
      <c r="A16" s="103">
        <v>13</v>
      </c>
      <c r="B16" s="103" t="str">
        <f>Listado!B16</f>
        <v xml:space="preserve">Jacek </v>
      </c>
      <c r="C16" s="103" t="str">
        <f>Listado!C16</f>
        <v>Adrian</v>
      </c>
      <c r="D16" s="107" t="str">
        <f>Listado!D16</f>
        <v>Adrian</v>
      </c>
      <c r="E16" s="103" t="str">
        <f>Listado!E16</f>
        <v>adrian.jacek@tajamar365.com</v>
      </c>
      <c r="F16" s="103"/>
      <c r="G16" s="103"/>
      <c r="H16" s="30">
        <f t="shared" si="0"/>
        <v>11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31">
        <f t="shared" si="4"/>
        <v>0</v>
      </c>
      <c r="M16" s="31">
        <f t="shared" si="5"/>
        <v>0</v>
      </c>
      <c r="N16" s="31">
        <f t="shared" si="6"/>
        <v>0</v>
      </c>
      <c r="O16" s="32">
        <f t="shared" si="8"/>
        <v>0</v>
      </c>
      <c r="P16" s="4">
        <f t="shared" si="9"/>
        <v>0</v>
      </c>
      <c r="Q16" s="4">
        <f t="shared" si="10"/>
        <v>0</v>
      </c>
      <c r="R16" s="25"/>
      <c r="S16" s="25"/>
      <c r="T16" s="25"/>
      <c r="U16" s="25"/>
      <c r="V16" s="25"/>
      <c r="W16" s="34" t="s">
        <v>123</v>
      </c>
      <c r="X16" s="34" t="s">
        <v>123</v>
      </c>
      <c r="Y16" s="25"/>
      <c r="Z16" s="25"/>
      <c r="AA16" s="25"/>
      <c r="AB16" s="25"/>
      <c r="AC16" s="25"/>
      <c r="AD16" s="34" t="s">
        <v>123</v>
      </c>
      <c r="AE16" s="34" t="s">
        <v>123</v>
      </c>
      <c r="AF16" s="25"/>
      <c r="AG16" s="26"/>
      <c r="AH16" s="27">
        <f t="shared" si="7"/>
        <v>60.5</v>
      </c>
    </row>
    <row r="17" spans="1:34" ht="15" customHeight="1" x14ac:dyDescent="0.2">
      <c r="A17" s="103">
        <v>14</v>
      </c>
      <c r="B17" s="103" t="str">
        <f>Listado!B17</f>
        <v>López Pachón</v>
      </c>
      <c r="C17" s="103" t="str">
        <f>Listado!C17</f>
        <v xml:space="preserve">José Antonio </v>
      </c>
      <c r="D17" s="107" t="str">
        <f>Listado!D17</f>
        <v>Jose</v>
      </c>
      <c r="E17" s="103" t="str">
        <f>Listado!E17</f>
        <v>joseantonio.lopez@tajamar365.com</v>
      </c>
      <c r="F17" s="103"/>
      <c r="G17" s="103"/>
      <c r="H17" s="30">
        <f t="shared" si="0"/>
        <v>11</v>
      </c>
      <c r="I17" s="31">
        <f t="shared" si="1"/>
        <v>0</v>
      </c>
      <c r="J17" s="31">
        <f t="shared" si="2"/>
        <v>0</v>
      </c>
      <c r="K17" s="31">
        <f t="shared" si="3"/>
        <v>0</v>
      </c>
      <c r="L17" s="31">
        <f t="shared" si="4"/>
        <v>0</v>
      </c>
      <c r="M17" s="31">
        <f t="shared" si="5"/>
        <v>0</v>
      </c>
      <c r="N17" s="31">
        <f t="shared" si="6"/>
        <v>0</v>
      </c>
      <c r="O17" s="32">
        <f t="shared" si="8"/>
        <v>0</v>
      </c>
      <c r="P17" s="4">
        <f t="shared" si="9"/>
        <v>0</v>
      </c>
      <c r="Q17" s="4">
        <f t="shared" si="10"/>
        <v>0</v>
      </c>
      <c r="R17" s="25"/>
      <c r="S17" s="25"/>
      <c r="T17" s="25"/>
      <c r="U17" s="25"/>
      <c r="V17" s="25"/>
      <c r="W17" s="34" t="s">
        <v>123</v>
      </c>
      <c r="X17" s="34" t="s">
        <v>123</v>
      </c>
      <c r="Y17" s="25"/>
      <c r="Z17" s="25"/>
      <c r="AA17" s="25"/>
      <c r="AB17" s="25"/>
      <c r="AC17" s="25"/>
      <c r="AD17" s="34" t="s">
        <v>123</v>
      </c>
      <c r="AE17" s="34" t="s">
        <v>123</v>
      </c>
      <c r="AF17" s="25"/>
      <c r="AG17" s="26"/>
      <c r="AH17" s="27">
        <f t="shared" si="7"/>
        <v>60.5</v>
      </c>
    </row>
    <row r="18" spans="1:34" ht="15" customHeight="1" x14ac:dyDescent="0.2">
      <c r="A18" s="103">
        <v>15</v>
      </c>
      <c r="B18" s="103" t="str">
        <f>Listado!B18</f>
        <v>Miguel Tolosana</v>
      </c>
      <c r="C18" s="103" t="str">
        <f>Listado!C18</f>
        <v>María</v>
      </c>
      <c r="D18" s="107" t="str">
        <f>Listado!D18</f>
        <v>María</v>
      </c>
      <c r="E18" s="103" t="str">
        <f>Listado!E18</f>
        <v>maria.miguel@tajamar365.com</v>
      </c>
      <c r="F18" s="103"/>
      <c r="G18" s="103"/>
      <c r="H18" s="30">
        <f t="shared" si="0"/>
        <v>11</v>
      </c>
      <c r="I18" s="31">
        <f t="shared" si="1"/>
        <v>0</v>
      </c>
      <c r="J18" s="31">
        <f t="shared" si="2"/>
        <v>0</v>
      </c>
      <c r="K18" s="31">
        <f t="shared" si="3"/>
        <v>0</v>
      </c>
      <c r="L18" s="31">
        <f t="shared" si="4"/>
        <v>0</v>
      </c>
      <c r="M18" s="31">
        <f t="shared" si="5"/>
        <v>0</v>
      </c>
      <c r="N18" s="31">
        <f t="shared" si="6"/>
        <v>0</v>
      </c>
      <c r="O18" s="32">
        <f t="shared" si="8"/>
        <v>0</v>
      </c>
      <c r="P18" s="4">
        <f t="shared" si="9"/>
        <v>0</v>
      </c>
      <c r="Q18" s="4">
        <f t="shared" si="10"/>
        <v>0</v>
      </c>
      <c r="R18" s="25"/>
      <c r="S18" s="25"/>
      <c r="T18" s="25"/>
      <c r="U18" s="25"/>
      <c r="V18" s="25"/>
      <c r="W18" s="34" t="s">
        <v>123</v>
      </c>
      <c r="X18" s="34" t="s">
        <v>123</v>
      </c>
      <c r="Y18" s="25"/>
      <c r="Z18" s="25"/>
      <c r="AA18" s="25"/>
      <c r="AB18" s="25"/>
      <c r="AC18" s="25"/>
      <c r="AD18" s="34" t="s">
        <v>123</v>
      </c>
      <c r="AE18" s="34" t="s">
        <v>123</v>
      </c>
      <c r="AF18" s="25"/>
      <c r="AG18" s="26"/>
      <c r="AH18" s="27">
        <f t="shared" si="7"/>
        <v>60.5</v>
      </c>
    </row>
    <row r="19" spans="1:34" ht="15" customHeight="1" x14ac:dyDescent="0.2">
      <c r="A19" s="103">
        <v>16</v>
      </c>
      <c r="B19" s="103" t="str">
        <f>Listado!B19</f>
        <v>Navarro Fernández</v>
      </c>
      <c r="C19" s="103" t="str">
        <f>Listado!C19</f>
        <v>Alejandro</v>
      </c>
      <c r="D19" s="107" t="str">
        <f>Listado!D19</f>
        <v>Ale</v>
      </c>
      <c r="E19" s="103" t="str">
        <f>Listado!E19</f>
        <v>alejandro.navarro@tajamar365.com</v>
      </c>
      <c r="F19" s="103"/>
      <c r="G19" s="103"/>
      <c r="H19" s="30">
        <f t="shared" si="0"/>
        <v>11</v>
      </c>
      <c r="I19" s="31">
        <f t="shared" si="1"/>
        <v>0</v>
      </c>
      <c r="J19" s="31">
        <f t="shared" si="2"/>
        <v>0</v>
      </c>
      <c r="K19" s="31">
        <f t="shared" si="3"/>
        <v>0</v>
      </c>
      <c r="L19" s="31">
        <f t="shared" si="4"/>
        <v>0</v>
      </c>
      <c r="M19" s="31">
        <f t="shared" si="5"/>
        <v>0</v>
      </c>
      <c r="N19" s="31">
        <f t="shared" si="6"/>
        <v>0</v>
      </c>
      <c r="O19" s="32">
        <f t="shared" si="8"/>
        <v>0</v>
      </c>
      <c r="P19" s="4">
        <f t="shared" si="9"/>
        <v>0</v>
      </c>
      <c r="Q19" s="4">
        <f t="shared" si="10"/>
        <v>0</v>
      </c>
      <c r="R19" s="25"/>
      <c r="S19" s="25"/>
      <c r="T19" s="25"/>
      <c r="U19" s="25"/>
      <c r="V19" s="25"/>
      <c r="W19" s="34" t="s">
        <v>123</v>
      </c>
      <c r="X19" s="34" t="s">
        <v>123</v>
      </c>
      <c r="Y19" s="25"/>
      <c r="Z19" s="25"/>
      <c r="AA19" s="25"/>
      <c r="AB19" s="25"/>
      <c r="AC19" s="25"/>
      <c r="AD19" s="34" t="s">
        <v>123</v>
      </c>
      <c r="AE19" s="34" t="s">
        <v>123</v>
      </c>
      <c r="AF19" s="25"/>
      <c r="AG19" s="26"/>
      <c r="AH19" s="27">
        <f t="shared" si="7"/>
        <v>60.5</v>
      </c>
    </row>
    <row r="20" spans="1:34" ht="15" customHeight="1" x14ac:dyDescent="0.2">
      <c r="A20" s="103">
        <v>17</v>
      </c>
      <c r="B20" s="103" t="str">
        <f>Listado!B20</f>
        <v>Ordóñez Rimacuna</v>
      </c>
      <c r="C20" s="103" t="str">
        <f>Listado!C20</f>
        <v>Julio Alejandro</v>
      </c>
      <c r="D20" s="107" t="str">
        <f>Listado!D20</f>
        <v>Julio</v>
      </c>
      <c r="E20" s="103" t="str">
        <f>Listado!E20</f>
        <v>julioalejandro.ordonez@tajamar365.com</v>
      </c>
      <c r="F20" s="103"/>
      <c r="G20" s="103"/>
      <c r="H20" s="30">
        <f t="shared" si="0"/>
        <v>11</v>
      </c>
      <c r="I20" s="31">
        <f t="shared" si="1"/>
        <v>0</v>
      </c>
      <c r="J20" s="31">
        <f t="shared" si="2"/>
        <v>0</v>
      </c>
      <c r="K20" s="31">
        <f t="shared" si="3"/>
        <v>0</v>
      </c>
      <c r="L20" s="31">
        <f t="shared" si="4"/>
        <v>0</v>
      </c>
      <c r="M20" s="31">
        <f t="shared" si="5"/>
        <v>0</v>
      </c>
      <c r="N20" s="31">
        <f t="shared" si="6"/>
        <v>0</v>
      </c>
      <c r="O20" s="32">
        <f t="shared" si="8"/>
        <v>0</v>
      </c>
      <c r="P20" s="4">
        <f t="shared" si="9"/>
        <v>0</v>
      </c>
      <c r="Q20" s="4">
        <f t="shared" si="10"/>
        <v>0</v>
      </c>
      <c r="R20" s="25"/>
      <c r="S20" s="25"/>
      <c r="T20" s="25"/>
      <c r="U20" s="25"/>
      <c r="V20" s="25"/>
      <c r="W20" s="34" t="s">
        <v>123</v>
      </c>
      <c r="X20" s="34" t="s">
        <v>123</v>
      </c>
      <c r="Y20" s="25"/>
      <c r="Z20" s="25"/>
      <c r="AA20" s="25"/>
      <c r="AB20" s="25"/>
      <c r="AC20" s="25"/>
      <c r="AD20" s="34" t="s">
        <v>123</v>
      </c>
      <c r="AE20" s="34" t="s">
        <v>123</v>
      </c>
      <c r="AF20" s="25"/>
      <c r="AG20" s="26"/>
      <c r="AH20" s="27">
        <f t="shared" si="7"/>
        <v>60.5</v>
      </c>
    </row>
    <row r="21" spans="1:34" ht="15" customHeight="1" x14ac:dyDescent="0.2">
      <c r="A21" s="103">
        <v>18</v>
      </c>
      <c r="B21" s="103" t="str">
        <f>Listado!B21</f>
        <v>Pedroche Pérez</v>
      </c>
      <c r="C21" s="103" t="str">
        <f>Listado!C21</f>
        <v>Marcos</v>
      </c>
      <c r="D21" s="107" t="str">
        <f>Listado!D21</f>
        <v>Marcos</v>
      </c>
      <c r="E21" s="103" t="str">
        <f>Listado!E21</f>
        <v>marcos.pedroche@tajamar365.com</v>
      </c>
      <c r="F21" s="103"/>
      <c r="G21" s="103"/>
      <c r="H21" s="30">
        <f t="shared" si="0"/>
        <v>11</v>
      </c>
      <c r="I21" s="31">
        <f t="shared" si="1"/>
        <v>0</v>
      </c>
      <c r="J21" s="31">
        <f t="shared" si="2"/>
        <v>0</v>
      </c>
      <c r="K21" s="31">
        <f t="shared" si="3"/>
        <v>0</v>
      </c>
      <c r="L21" s="31">
        <f t="shared" si="4"/>
        <v>0</v>
      </c>
      <c r="M21" s="31">
        <f t="shared" si="5"/>
        <v>0</v>
      </c>
      <c r="N21" s="31">
        <f t="shared" si="6"/>
        <v>0</v>
      </c>
      <c r="O21" s="32">
        <f t="shared" si="8"/>
        <v>0</v>
      </c>
      <c r="P21" s="4">
        <f t="shared" si="9"/>
        <v>0</v>
      </c>
      <c r="Q21" s="4">
        <f t="shared" si="10"/>
        <v>0</v>
      </c>
      <c r="R21" s="25"/>
      <c r="S21" s="25"/>
      <c r="T21" s="25"/>
      <c r="U21" s="25"/>
      <c r="V21" s="25"/>
      <c r="W21" s="34" t="s">
        <v>123</v>
      </c>
      <c r="X21" s="34" t="s">
        <v>123</v>
      </c>
      <c r="Y21" s="25"/>
      <c r="Z21" s="25"/>
      <c r="AA21" s="25"/>
      <c r="AB21" s="25"/>
      <c r="AC21" s="25"/>
      <c r="AD21" s="34" t="s">
        <v>123</v>
      </c>
      <c r="AE21" s="34" t="s">
        <v>123</v>
      </c>
      <c r="AF21" s="25"/>
      <c r="AG21" s="26"/>
      <c r="AH21" s="27">
        <f t="shared" si="7"/>
        <v>60.5</v>
      </c>
    </row>
    <row r="22" spans="1:34" ht="15" customHeight="1" x14ac:dyDescent="0.2">
      <c r="A22" s="103">
        <v>19</v>
      </c>
      <c r="B22" s="103" t="str">
        <f>Listado!B22</f>
        <v xml:space="preserve">Pérez Gregorio </v>
      </c>
      <c r="C22" s="103" t="str">
        <f>Listado!C22</f>
        <v xml:space="preserve">Diego </v>
      </c>
      <c r="D22" s="107" t="str">
        <f>Listado!D22</f>
        <v xml:space="preserve">Diego </v>
      </c>
      <c r="E22" s="103" t="str">
        <f>Listado!E22</f>
        <v>diego.perez@tajamar365.com</v>
      </c>
      <c r="F22" s="103"/>
      <c r="G22" s="103"/>
      <c r="H22" s="30">
        <f t="shared" si="0"/>
        <v>11</v>
      </c>
      <c r="I22" s="31">
        <f t="shared" si="1"/>
        <v>0</v>
      </c>
      <c r="J22" s="31">
        <f t="shared" si="2"/>
        <v>0</v>
      </c>
      <c r="K22" s="31">
        <f t="shared" si="3"/>
        <v>0</v>
      </c>
      <c r="L22" s="31">
        <f t="shared" si="4"/>
        <v>0</v>
      </c>
      <c r="M22" s="31">
        <f t="shared" si="5"/>
        <v>0</v>
      </c>
      <c r="N22" s="31">
        <f t="shared" si="6"/>
        <v>0</v>
      </c>
      <c r="O22" s="32">
        <f t="shared" si="8"/>
        <v>0</v>
      </c>
      <c r="P22" s="4">
        <f t="shared" si="9"/>
        <v>0</v>
      </c>
      <c r="Q22" s="4">
        <f t="shared" si="10"/>
        <v>0</v>
      </c>
      <c r="R22" s="25"/>
      <c r="S22" s="25"/>
      <c r="T22" s="25"/>
      <c r="U22" s="25"/>
      <c r="V22" s="25"/>
      <c r="W22" s="34" t="s">
        <v>123</v>
      </c>
      <c r="X22" s="34" t="s">
        <v>123</v>
      </c>
      <c r="Y22" s="25"/>
      <c r="Z22" s="25"/>
      <c r="AA22" s="25"/>
      <c r="AB22" s="25"/>
      <c r="AC22" s="25"/>
      <c r="AD22" s="34" t="s">
        <v>123</v>
      </c>
      <c r="AE22" s="34" t="s">
        <v>123</v>
      </c>
      <c r="AF22" s="25"/>
      <c r="AG22" s="26"/>
      <c r="AH22" s="27">
        <f t="shared" si="7"/>
        <v>60.5</v>
      </c>
    </row>
    <row r="23" spans="1:34" ht="15" customHeight="1" x14ac:dyDescent="0.2">
      <c r="A23" s="103">
        <v>20</v>
      </c>
      <c r="B23" s="103" t="str">
        <f>Listado!B23</f>
        <v>Pinto Díaz</v>
      </c>
      <c r="C23" s="103" t="str">
        <f>Listado!C23</f>
        <v>Ángel</v>
      </c>
      <c r="D23" s="107" t="str">
        <f>Listado!D23</f>
        <v>Ángel</v>
      </c>
      <c r="E23" s="103" t="str">
        <f>Listado!E23</f>
        <v>angel.pinto@tajamar365.com</v>
      </c>
      <c r="F23" s="103"/>
      <c r="G23" s="103"/>
      <c r="H23" s="30">
        <f t="shared" si="0"/>
        <v>11</v>
      </c>
      <c r="I23" s="31">
        <f t="shared" si="1"/>
        <v>0</v>
      </c>
      <c r="J23" s="31">
        <f t="shared" si="2"/>
        <v>0</v>
      </c>
      <c r="K23" s="31">
        <f t="shared" si="3"/>
        <v>0</v>
      </c>
      <c r="L23" s="31">
        <f t="shared" si="4"/>
        <v>0</v>
      </c>
      <c r="M23" s="31">
        <f t="shared" si="5"/>
        <v>0</v>
      </c>
      <c r="N23" s="31">
        <f t="shared" si="6"/>
        <v>0</v>
      </c>
      <c r="O23" s="32">
        <f t="shared" si="8"/>
        <v>0</v>
      </c>
      <c r="P23" s="4">
        <f t="shared" si="9"/>
        <v>0</v>
      </c>
      <c r="Q23" s="4">
        <f t="shared" si="10"/>
        <v>0</v>
      </c>
      <c r="R23" s="25"/>
      <c r="S23" s="25"/>
      <c r="T23" s="25"/>
      <c r="U23" s="25"/>
      <c r="V23" s="25"/>
      <c r="W23" s="34" t="s">
        <v>123</v>
      </c>
      <c r="X23" s="34" t="s">
        <v>123</v>
      </c>
      <c r="Y23" s="25"/>
      <c r="Z23" s="25"/>
      <c r="AA23" s="25"/>
      <c r="AB23" s="25"/>
      <c r="AC23" s="25"/>
      <c r="AD23" s="34" t="s">
        <v>123</v>
      </c>
      <c r="AE23" s="34" t="s">
        <v>123</v>
      </c>
      <c r="AF23" s="25"/>
      <c r="AG23" s="26"/>
      <c r="AH23" s="27">
        <f t="shared" si="7"/>
        <v>60.5</v>
      </c>
    </row>
    <row r="24" spans="1:34" ht="15" customHeight="1" x14ac:dyDescent="0.2">
      <c r="A24" s="103">
        <v>21</v>
      </c>
      <c r="B24" s="103" t="str">
        <f>Listado!B24</f>
        <v>Quirós Martín-Portugués</v>
      </c>
      <c r="C24" s="103" t="str">
        <f>Listado!C24</f>
        <v>Marta</v>
      </c>
      <c r="D24" s="107" t="str">
        <f>Listado!D24</f>
        <v>Marta</v>
      </c>
      <c r="E24" s="103" t="str">
        <f>Listado!E24</f>
        <v>marta.quiros@tajamar365.com</v>
      </c>
      <c r="F24" s="103"/>
      <c r="G24" s="103"/>
      <c r="H24" s="30">
        <f t="shared" si="0"/>
        <v>11</v>
      </c>
      <c r="I24" s="31">
        <f t="shared" si="1"/>
        <v>0</v>
      </c>
      <c r="J24" s="31">
        <f t="shared" si="2"/>
        <v>0</v>
      </c>
      <c r="K24" s="31">
        <f t="shared" si="3"/>
        <v>0</v>
      </c>
      <c r="L24" s="31">
        <f t="shared" si="4"/>
        <v>0</v>
      </c>
      <c r="M24" s="31">
        <f t="shared" si="5"/>
        <v>0</v>
      </c>
      <c r="N24" s="31">
        <f t="shared" si="6"/>
        <v>0</v>
      </c>
      <c r="O24" s="32">
        <f t="shared" si="8"/>
        <v>0</v>
      </c>
      <c r="P24" s="4">
        <f t="shared" si="9"/>
        <v>0</v>
      </c>
      <c r="Q24" s="4">
        <f t="shared" si="10"/>
        <v>0</v>
      </c>
      <c r="R24" s="25"/>
      <c r="S24" s="25"/>
      <c r="T24" s="25"/>
      <c r="U24" s="25"/>
      <c r="V24" s="25"/>
      <c r="W24" s="34" t="s">
        <v>123</v>
      </c>
      <c r="X24" s="34" t="s">
        <v>123</v>
      </c>
      <c r="Y24" s="25"/>
      <c r="Z24" s="25"/>
      <c r="AA24" s="25"/>
      <c r="AB24" s="25"/>
      <c r="AC24" s="25"/>
      <c r="AD24" s="34" t="s">
        <v>123</v>
      </c>
      <c r="AE24" s="34" t="s">
        <v>123</v>
      </c>
      <c r="AF24" s="25"/>
      <c r="AG24" s="26"/>
      <c r="AH24" s="27">
        <f t="shared" si="7"/>
        <v>60.5</v>
      </c>
    </row>
    <row r="25" spans="1:34" ht="15" customHeight="1" x14ac:dyDescent="0.2">
      <c r="A25" s="103">
        <v>22</v>
      </c>
      <c r="B25" s="103" t="str">
        <f>Listado!B25</f>
        <v>Rodríguez Alonso</v>
      </c>
      <c r="C25" s="103" t="str">
        <f>Listado!C25</f>
        <v>Jorge</v>
      </c>
      <c r="D25" s="107" t="str">
        <f>Listado!D25</f>
        <v>Jorge</v>
      </c>
      <c r="E25" s="103" t="str">
        <f>Listado!E25</f>
        <v>jorge.rodriguezalonso@tajamar365.com</v>
      </c>
      <c r="F25" s="103"/>
      <c r="G25" s="103"/>
      <c r="H25" s="30">
        <f t="shared" si="0"/>
        <v>11</v>
      </c>
      <c r="I25" s="31">
        <f t="shared" si="1"/>
        <v>0</v>
      </c>
      <c r="J25" s="31">
        <f t="shared" si="2"/>
        <v>0</v>
      </c>
      <c r="K25" s="31">
        <f t="shared" si="3"/>
        <v>0</v>
      </c>
      <c r="L25" s="31">
        <f t="shared" si="4"/>
        <v>0</v>
      </c>
      <c r="M25" s="31">
        <f t="shared" si="5"/>
        <v>0</v>
      </c>
      <c r="N25" s="31">
        <f t="shared" si="6"/>
        <v>0</v>
      </c>
      <c r="O25" s="32">
        <f t="shared" si="8"/>
        <v>0</v>
      </c>
      <c r="P25" s="4">
        <f t="shared" si="9"/>
        <v>0</v>
      </c>
      <c r="Q25" s="4">
        <f t="shared" si="10"/>
        <v>0</v>
      </c>
      <c r="R25" s="25"/>
      <c r="S25" s="25"/>
      <c r="T25" s="25"/>
      <c r="U25" s="25"/>
      <c r="V25" s="25"/>
      <c r="W25" s="34" t="s">
        <v>123</v>
      </c>
      <c r="X25" s="34" t="s">
        <v>123</v>
      </c>
      <c r="Y25" s="25"/>
      <c r="Z25" s="25"/>
      <c r="AA25" s="25"/>
      <c r="AB25" s="25"/>
      <c r="AC25" s="25"/>
      <c r="AD25" s="34" t="s">
        <v>123</v>
      </c>
      <c r="AE25" s="34" t="s">
        <v>123</v>
      </c>
      <c r="AF25" s="25"/>
      <c r="AG25" s="26"/>
      <c r="AH25" s="27">
        <f t="shared" si="7"/>
        <v>60.5</v>
      </c>
    </row>
    <row r="26" spans="1:34" ht="15" customHeight="1" x14ac:dyDescent="0.2">
      <c r="A26" s="103">
        <v>23</v>
      </c>
      <c r="B26" s="103" t="str">
        <f>Listado!B26</f>
        <v>Rodríguez-Rey Prieto</v>
      </c>
      <c r="C26" s="103" t="str">
        <f>Listado!C26</f>
        <v>Alberto</v>
      </c>
      <c r="D26" s="107" t="str">
        <f>Listado!D26</f>
        <v>Alber</v>
      </c>
      <c r="E26" s="103" t="str">
        <f>Listado!E26</f>
        <v>alberto.rodriguez-rey@tajamar365.com</v>
      </c>
      <c r="F26" s="103"/>
      <c r="G26" s="103"/>
      <c r="H26" s="30">
        <f t="shared" si="0"/>
        <v>11</v>
      </c>
      <c r="I26" s="31">
        <f t="shared" si="1"/>
        <v>0</v>
      </c>
      <c r="J26" s="31">
        <f t="shared" si="2"/>
        <v>0</v>
      </c>
      <c r="K26" s="31">
        <f t="shared" si="3"/>
        <v>0</v>
      </c>
      <c r="L26" s="31">
        <f t="shared" si="4"/>
        <v>0</v>
      </c>
      <c r="M26" s="31">
        <f t="shared" si="5"/>
        <v>0</v>
      </c>
      <c r="N26" s="31">
        <f t="shared" si="6"/>
        <v>0</v>
      </c>
      <c r="O26" s="32">
        <f t="shared" si="8"/>
        <v>0</v>
      </c>
      <c r="P26" s="4">
        <f t="shared" si="9"/>
        <v>0</v>
      </c>
      <c r="Q26" s="4">
        <f t="shared" si="10"/>
        <v>0</v>
      </c>
      <c r="R26" s="25"/>
      <c r="S26" s="25"/>
      <c r="T26" s="25"/>
      <c r="U26" s="25"/>
      <c r="V26" s="25"/>
      <c r="W26" s="34" t="s">
        <v>123</v>
      </c>
      <c r="X26" s="34" t="s">
        <v>123</v>
      </c>
      <c r="Y26" s="25"/>
      <c r="Z26" s="25"/>
      <c r="AA26" s="25"/>
      <c r="AB26" s="25"/>
      <c r="AC26" s="25"/>
      <c r="AD26" s="34" t="s">
        <v>123</v>
      </c>
      <c r="AE26" s="34" t="s">
        <v>123</v>
      </c>
      <c r="AF26" s="25"/>
      <c r="AG26" s="26"/>
      <c r="AH26" s="27">
        <f t="shared" si="7"/>
        <v>60.5</v>
      </c>
    </row>
    <row r="27" spans="1:34" ht="15" customHeight="1" x14ac:dyDescent="0.2">
      <c r="A27" s="103">
        <v>24</v>
      </c>
      <c r="B27" s="103" t="str">
        <f>Listado!B27</f>
        <v>Ruiz García</v>
      </c>
      <c r="C27" s="103" t="str">
        <f>Listado!C27</f>
        <v>Alejandro</v>
      </c>
      <c r="D27" s="107" t="str">
        <f>Listado!D27</f>
        <v>Alex</v>
      </c>
      <c r="E27" s="103" t="str">
        <f>Listado!E27</f>
        <v>alejandro.ruizgarcia@tajamar365.com</v>
      </c>
      <c r="F27" s="103"/>
      <c r="G27" s="103"/>
      <c r="H27" s="30">
        <f t="shared" si="0"/>
        <v>11</v>
      </c>
      <c r="I27" s="31">
        <f t="shared" si="1"/>
        <v>0</v>
      </c>
      <c r="J27" s="31">
        <f t="shared" si="2"/>
        <v>0</v>
      </c>
      <c r="K27" s="31">
        <f t="shared" si="3"/>
        <v>0</v>
      </c>
      <c r="L27" s="31">
        <f t="shared" si="4"/>
        <v>0</v>
      </c>
      <c r="M27" s="31">
        <f t="shared" si="5"/>
        <v>0</v>
      </c>
      <c r="N27" s="31">
        <f t="shared" si="6"/>
        <v>0</v>
      </c>
      <c r="O27" s="32">
        <f t="shared" si="8"/>
        <v>0</v>
      </c>
      <c r="P27" s="4">
        <f t="shared" si="9"/>
        <v>0</v>
      </c>
      <c r="Q27" s="4">
        <f t="shared" si="10"/>
        <v>0</v>
      </c>
      <c r="R27" s="25"/>
      <c r="S27" s="25"/>
      <c r="T27" s="25"/>
      <c r="U27" s="25"/>
      <c r="V27" s="25"/>
      <c r="W27" s="34" t="s">
        <v>123</v>
      </c>
      <c r="X27" s="34" t="s">
        <v>123</v>
      </c>
      <c r="Y27" s="25"/>
      <c r="Z27" s="25"/>
      <c r="AA27" s="25"/>
      <c r="AB27" s="25"/>
      <c r="AC27" s="25"/>
      <c r="AD27" s="34" t="s">
        <v>123</v>
      </c>
      <c r="AE27" s="34" t="s">
        <v>123</v>
      </c>
      <c r="AF27" s="25"/>
      <c r="AG27" s="26"/>
      <c r="AH27" s="27">
        <f t="shared" si="7"/>
        <v>60.5</v>
      </c>
    </row>
    <row r="28" spans="1:34" ht="15" customHeight="1" x14ac:dyDescent="0.2">
      <c r="A28" s="103">
        <v>25</v>
      </c>
      <c r="B28" s="103" t="str">
        <f>Listado!B28</f>
        <v>Solís Torrijos</v>
      </c>
      <c r="C28" s="103" t="str">
        <f>Listado!C28</f>
        <v>Juan</v>
      </c>
      <c r="D28" s="107" t="str">
        <f>Listado!D28</f>
        <v>Juan</v>
      </c>
      <c r="E28" s="103" t="str">
        <f>Listado!E28</f>
        <v>juan.solis@tajamar365.com</v>
      </c>
      <c r="F28" s="103"/>
      <c r="G28" s="103"/>
      <c r="H28" s="30">
        <f t="shared" si="0"/>
        <v>11</v>
      </c>
      <c r="I28" s="31">
        <f t="shared" si="1"/>
        <v>0</v>
      </c>
      <c r="J28" s="31">
        <f t="shared" si="2"/>
        <v>0</v>
      </c>
      <c r="K28" s="31">
        <f t="shared" si="3"/>
        <v>0</v>
      </c>
      <c r="L28" s="31">
        <f t="shared" si="4"/>
        <v>0</v>
      </c>
      <c r="M28" s="31">
        <f t="shared" si="5"/>
        <v>0</v>
      </c>
      <c r="N28" s="31">
        <f t="shared" si="6"/>
        <v>0</v>
      </c>
      <c r="O28" s="32">
        <f t="shared" si="8"/>
        <v>0</v>
      </c>
      <c r="P28" s="4">
        <f t="shared" si="9"/>
        <v>0</v>
      </c>
      <c r="Q28" s="4">
        <f t="shared" si="10"/>
        <v>0</v>
      </c>
      <c r="R28" s="25"/>
      <c r="S28" s="25"/>
      <c r="T28" s="25"/>
      <c r="U28" s="25"/>
      <c r="V28" s="25"/>
      <c r="W28" s="34" t="s">
        <v>123</v>
      </c>
      <c r="X28" s="34" t="s">
        <v>123</v>
      </c>
      <c r="Y28" s="25"/>
      <c r="Z28" s="25"/>
      <c r="AA28" s="25"/>
      <c r="AB28" s="25"/>
      <c r="AC28" s="25"/>
      <c r="AD28" s="34" t="s">
        <v>123</v>
      </c>
      <c r="AE28" s="34" t="s">
        <v>123</v>
      </c>
      <c r="AF28" s="25"/>
      <c r="AG28" s="26"/>
      <c r="AH28" s="27">
        <f t="shared" si="7"/>
        <v>60.5</v>
      </c>
    </row>
    <row r="29" spans="1:34" ht="15" customHeight="1" x14ac:dyDescent="0.2">
      <c r="A29" s="103">
        <v>26</v>
      </c>
      <c r="B29" s="103" t="str">
        <f>Listado!B29</f>
        <v>Vázquez Martínez</v>
      </c>
      <c r="C29" s="103" t="str">
        <f>Listado!C29</f>
        <v>Iván</v>
      </c>
      <c r="D29" s="107" t="str">
        <f>Listado!D29</f>
        <v>Iván</v>
      </c>
      <c r="E29" s="103" t="str">
        <f>Listado!E29</f>
        <v>ivan.vazquez@tajamar365.com</v>
      </c>
      <c r="F29" s="103"/>
      <c r="G29" s="103"/>
      <c r="H29" s="30">
        <f t="shared" si="0"/>
        <v>11</v>
      </c>
      <c r="I29" s="31">
        <f t="shared" si="1"/>
        <v>0</v>
      </c>
      <c r="J29" s="31">
        <f t="shared" si="2"/>
        <v>0</v>
      </c>
      <c r="K29" s="31">
        <f t="shared" si="3"/>
        <v>0</v>
      </c>
      <c r="L29" s="31">
        <f t="shared" si="4"/>
        <v>0</v>
      </c>
      <c r="M29" s="31">
        <f t="shared" si="5"/>
        <v>0</v>
      </c>
      <c r="N29" s="31">
        <f t="shared" si="6"/>
        <v>0</v>
      </c>
      <c r="O29" s="32">
        <f t="shared" si="8"/>
        <v>0</v>
      </c>
      <c r="P29" s="4">
        <f t="shared" si="9"/>
        <v>0</v>
      </c>
      <c r="Q29" s="4">
        <f t="shared" si="10"/>
        <v>0</v>
      </c>
      <c r="R29" s="25"/>
      <c r="S29" s="25"/>
      <c r="T29" s="25"/>
      <c r="U29" s="25"/>
      <c r="V29" s="25"/>
      <c r="W29" s="34" t="s">
        <v>123</v>
      </c>
      <c r="X29" s="34" t="s">
        <v>123</v>
      </c>
      <c r="Y29" s="25"/>
      <c r="Z29" s="25"/>
      <c r="AA29" s="25"/>
      <c r="AB29" s="25"/>
      <c r="AC29" s="25"/>
      <c r="AD29" s="34" t="s">
        <v>123</v>
      </c>
      <c r="AE29" s="34" t="s">
        <v>123</v>
      </c>
      <c r="AF29" s="25"/>
      <c r="AG29" s="26"/>
      <c r="AH29" s="27">
        <f t="shared" si="7"/>
        <v>60.5</v>
      </c>
    </row>
    <row r="30" spans="1:34" x14ac:dyDescent="0.2"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35"/>
      <c r="AH30" s="1"/>
    </row>
    <row r="31" spans="1:34" ht="12.75" customHeight="1" x14ac:dyDescent="0.2">
      <c r="A31" s="1"/>
      <c r="B31" s="2"/>
      <c r="C31" s="2"/>
      <c r="D31" s="2"/>
      <c r="E31" s="2"/>
      <c r="F31" s="2"/>
      <c r="G31" s="2"/>
      <c r="H31" s="151" t="s">
        <v>149</v>
      </c>
      <c r="I31" s="151"/>
      <c r="J31" s="151"/>
      <c r="K31" s="151"/>
      <c r="L31" s="151"/>
      <c r="M31" s="151"/>
      <c r="N31" s="151"/>
      <c r="O31" s="152"/>
      <c r="P31" s="36"/>
      <c r="Q31" s="36"/>
      <c r="R31" s="25"/>
      <c r="S31" s="25"/>
      <c r="T31" s="25"/>
      <c r="U31" s="25"/>
      <c r="V31" s="25"/>
      <c r="W31" s="38"/>
      <c r="X31" s="38"/>
      <c r="Y31" s="25"/>
      <c r="Z31" s="25"/>
      <c r="AA31" s="25"/>
      <c r="AB31" s="25"/>
      <c r="AC31" s="25"/>
      <c r="AD31" s="38"/>
      <c r="AE31" s="38"/>
      <c r="AF31" s="25"/>
      <c r="AG31" s="37"/>
    </row>
    <row r="32" spans="1:34" ht="12.75" customHeight="1" x14ac:dyDescent="0.2">
      <c r="H32" s="151" t="s">
        <v>150</v>
      </c>
      <c r="I32" s="151"/>
      <c r="J32" s="151"/>
      <c r="K32" s="151"/>
      <c r="L32" s="151"/>
      <c r="M32" s="151"/>
      <c r="N32" s="151"/>
      <c r="O32" s="152"/>
      <c r="P32" s="38"/>
      <c r="Q32" s="38"/>
      <c r="R32" s="25"/>
      <c r="S32" s="25"/>
      <c r="T32" s="25"/>
      <c r="U32" s="25"/>
      <c r="V32" s="25"/>
      <c r="W32" s="38"/>
      <c r="X32" s="38"/>
      <c r="Y32" s="25"/>
      <c r="Z32" s="25"/>
      <c r="AA32" s="25"/>
      <c r="AB32" s="25"/>
      <c r="AC32" s="25"/>
      <c r="AD32" s="38"/>
      <c r="AE32" s="38"/>
      <c r="AF32" s="25"/>
      <c r="AG32" s="39"/>
    </row>
    <row r="33" spans="1:32" ht="25.5" x14ac:dyDescent="0.2">
      <c r="A33" s="40" t="s">
        <v>151</v>
      </c>
      <c r="B33" s="40"/>
      <c r="C33" s="40"/>
      <c r="D33" s="41"/>
      <c r="E33" s="41"/>
      <c r="O33" t="s">
        <v>152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">
      <c r="A34" s="3" t="s">
        <v>148</v>
      </c>
      <c r="B34" s="3"/>
      <c r="C34" s="3" t="s">
        <v>153</v>
      </c>
      <c r="H34" t="s">
        <v>152</v>
      </c>
    </row>
    <row r="35" spans="1:32" ht="38.25" x14ac:dyDescent="0.2">
      <c r="A35" s="1" t="s">
        <v>154</v>
      </c>
      <c r="B35" s="1" t="s">
        <v>155</v>
      </c>
      <c r="C35" s="3"/>
    </row>
    <row r="36" spans="1:32" ht="25.5" x14ac:dyDescent="0.2">
      <c r="A36" s="3" t="s">
        <v>156</v>
      </c>
      <c r="B36" s="3" t="s">
        <v>139</v>
      </c>
      <c r="C36" s="3" t="s">
        <v>157</v>
      </c>
      <c r="F36" s="15"/>
      <c r="G36" s="15"/>
      <c r="H36" s="15"/>
      <c r="I36" s="15"/>
      <c r="J36" s="15"/>
      <c r="K36" s="15"/>
      <c r="L36" s="15"/>
    </row>
    <row r="37" spans="1:32" ht="127.5" x14ac:dyDescent="0.2">
      <c r="A37" s="3" t="s">
        <v>158</v>
      </c>
      <c r="B37" s="3" t="s">
        <v>140</v>
      </c>
      <c r="C37" s="3" t="s">
        <v>157</v>
      </c>
      <c r="G37" s="54" t="s">
        <v>159</v>
      </c>
    </row>
    <row r="38" spans="1:32" ht="38.25" x14ac:dyDescent="0.2">
      <c r="A38" s="3" t="s">
        <v>160</v>
      </c>
      <c r="B38" s="3" t="s">
        <v>141</v>
      </c>
      <c r="C38" s="3" t="s">
        <v>157</v>
      </c>
    </row>
    <row r="39" spans="1:32" ht="64.5" customHeight="1" x14ac:dyDescent="0.2">
      <c r="A39" s="3" t="s">
        <v>161</v>
      </c>
      <c r="B39" s="3" t="s">
        <v>142</v>
      </c>
      <c r="C39" s="3" t="s">
        <v>162</v>
      </c>
      <c r="M39" s="16"/>
      <c r="N39" s="16"/>
      <c r="O39" s="16"/>
    </row>
    <row r="40" spans="1:32" ht="102" x14ac:dyDescent="0.2">
      <c r="A40" s="3" t="s">
        <v>163</v>
      </c>
      <c r="B40" s="3" t="s">
        <v>143</v>
      </c>
      <c r="C40" s="3" t="s">
        <v>164</v>
      </c>
      <c r="M40" s="15"/>
      <c r="N40" s="15"/>
      <c r="O40" s="15"/>
    </row>
    <row r="41" spans="1:32" ht="51" x14ac:dyDescent="0.2">
      <c r="A41" s="3" t="s">
        <v>165</v>
      </c>
      <c r="B41" s="3" t="s">
        <v>144</v>
      </c>
      <c r="C41" s="3" t="s">
        <v>166</v>
      </c>
      <c r="M41" s="54"/>
      <c r="N41" s="54"/>
      <c r="O41" s="54"/>
    </row>
    <row r="42" spans="1:32" ht="38.25" x14ac:dyDescent="0.2">
      <c r="A42" s="3" t="s">
        <v>167</v>
      </c>
      <c r="B42" s="3" t="s">
        <v>168</v>
      </c>
      <c r="C42" s="3"/>
      <c r="M42" s="54"/>
      <c r="N42" s="54"/>
      <c r="O42" s="54"/>
    </row>
    <row r="43" spans="1:32" ht="25.5" x14ac:dyDescent="0.2">
      <c r="A43" s="3" t="s">
        <v>169</v>
      </c>
      <c r="B43" s="3" t="s">
        <v>170</v>
      </c>
      <c r="C43" s="3" t="s">
        <v>171</v>
      </c>
      <c r="M43" s="17"/>
      <c r="N43" s="17"/>
      <c r="O43" s="17"/>
    </row>
    <row r="44" spans="1:32" x14ac:dyDescent="0.2">
      <c r="C44" s="1"/>
    </row>
    <row r="45" spans="1:32" x14ac:dyDescent="0.2">
      <c r="F45" s="54"/>
      <c r="G45" s="54"/>
      <c r="H45" s="54"/>
      <c r="I45" s="54"/>
      <c r="J45" s="54"/>
      <c r="K45" s="54"/>
      <c r="L45" s="54"/>
    </row>
    <row r="46" spans="1:32" x14ac:dyDescent="0.2"/>
    <row r="47" spans="1:32" x14ac:dyDescent="0.2">
      <c r="A47" s="41" t="s">
        <v>124</v>
      </c>
      <c r="B47" s="41"/>
      <c r="C47" s="41"/>
      <c r="D47" s="41"/>
      <c r="E47" s="41"/>
      <c r="F47" s="54"/>
      <c r="G47" s="54"/>
      <c r="H47" s="54"/>
      <c r="I47" s="54"/>
      <c r="J47" s="54"/>
      <c r="K47" s="54"/>
      <c r="L47" s="54"/>
    </row>
    <row r="48" spans="1:32" ht="25.5" x14ac:dyDescent="0.2">
      <c r="A48" s="42" t="s">
        <v>172</v>
      </c>
      <c r="B48" s="42">
        <f>COUNTBLANK(R1:AF1)</f>
        <v>11</v>
      </c>
      <c r="C48" s="42" t="s">
        <v>173</v>
      </c>
      <c r="D48" s="42"/>
      <c r="E48" s="42"/>
    </row>
    <row r="49" spans="1:5" x14ac:dyDescent="0.2">
      <c r="A49" s="42" t="s">
        <v>174</v>
      </c>
      <c r="B49" s="42">
        <v>5.5</v>
      </c>
      <c r="C49" s="42"/>
      <c r="D49" s="42"/>
      <c r="E49" s="42"/>
    </row>
    <row r="50" spans="1:5" ht="76.5" x14ac:dyDescent="0.2">
      <c r="A50" s="42" t="s">
        <v>175</v>
      </c>
      <c r="B50" s="42">
        <f>B48*B49</f>
        <v>60.5</v>
      </c>
      <c r="C50" s="42" t="s">
        <v>176</v>
      </c>
      <c r="D50" s="42"/>
      <c r="E50" s="42"/>
    </row>
    <row r="51" spans="1:5" x14ac:dyDescent="0.2">
      <c r="A51" s="42"/>
      <c r="B51" s="42"/>
      <c r="C51" s="42"/>
      <c r="D51" s="42"/>
      <c r="E51" s="42"/>
    </row>
    <row r="52" spans="1:5" ht="25.5" x14ac:dyDescent="0.2">
      <c r="A52" s="42" t="s">
        <v>177</v>
      </c>
      <c r="B52" s="42">
        <f>[1]Septiembre!B50</f>
        <v>951.5</v>
      </c>
      <c r="C52" s="42"/>
      <c r="D52" s="42"/>
      <c r="E52" s="42"/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/>
    <row r="60" spans="1:5" x14ac:dyDescent="0.2"/>
    <row r="61" spans="1:5" x14ac:dyDescent="0.2"/>
    <row r="62" spans="1:5" x14ac:dyDescent="0.2"/>
    <row r="63" spans="1:5" x14ac:dyDescent="0.2"/>
    <row r="64" spans="1:5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</sheetData>
  <mergeCells count="4">
    <mergeCell ref="H1:O1"/>
    <mergeCell ref="H2:O2"/>
    <mergeCell ref="H31:O31"/>
    <mergeCell ref="H32:O32"/>
  </mergeCells>
  <conditionalFormatting sqref="O4:O29">
    <cfRule type="cellIs" dxfId="9" priority="1" operator="greaterThan">
      <formula>3.9</formula>
    </cfRule>
    <cfRule type="cellIs" dxfId="8" priority="2" operator="between">
      <formula>2</formula>
      <formula>3.9</formula>
    </cfRule>
    <cfRule type="cellIs" dxfId="7" priority="6" stopIfTrue="1" operator="between">
      <formula>1</formula>
      <formula>1.9</formula>
    </cfRule>
  </conditionalFormatting>
  <conditionalFormatting sqref="P4:Q29">
    <cfRule type="cellIs" dxfId="6" priority="3" stopIfTrue="1" operator="between">
      <formula>0</formula>
      <formula>2.9</formula>
    </cfRule>
    <cfRule type="cellIs" dxfId="5" priority="4" stopIfTrue="1" operator="between">
      <formula>3</formula>
      <formula>3.9</formula>
    </cfRule>
    <cfRule type="cellIs" dxfId="4" priority="5" stopIfTrue="1" operator="greaterThan">
      <formula>3.9</formula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84FF-A246-4E18-8CCE-25865562A897}">
  <dimension ref="A1:M52"/>
  <sheetViews>
    <sheetView workbookViewId="0">
      <pane xSplit="3" ySplit="1" topLeftCell="D2" activePane="bottomRight" state="frozen"/>
      <selection pane="topRight"/>
      <selection pane="bottomLeft"/>
      <selection pane="bottomRight" activeCell="K14" sqref="K14"/>
    </sheetView>
  </sheetViews>
  <sheetFormatPr baseColWidth="10" defaultColWidth="9.140625" defaultRowHeight="12.75" x14ac:dyDescent="0.2"/>
  <cols>
    <col min="1" max="1" width="3.28515625" style="53" bestFit="1" customWidth="1"/>
    <col min="2" max="2" width="24" style="53" bestFit="1" customWidth="1"/>
    <col min="3" max="3" width="14.28515625" style="53" bestFit="1" customWidth="1"/>
    <col min="4" max="4" width="16" customWidth="1"/>
    <col min="5" max="5" width="39.140625" style="53" bestFit="1" customWidth="1"/>
    <col min="6" max="6" width="47.28515625" style="53" bestFit="1" customWidth="1"/>
    <col min="7" max="7" width="55.85546875" style="53" bestFit="1" customWidth="1"/>
    <col min="8" max="8" width="24.42578125" style="53" bestFit="1" customWidth="1"/>
    <col min="9" max="9" width="28" style="53" bestFit="1" customWidth="1"/>
    <col min="10" max="10" width="28.5703125" style="53" customWidth="1"/>
    <col min="11" max="11" width="27.28515625" style="53" bestFit="1" customWidth="1"/>
    <col min="12" max="12" width="23.28515625" style="53" customWidth="1"/>
    <col min="13" max="13" width="23.42578125" style="53" customWidth="1"/>
    <col min="14" max="16384" width="9.140625" style="53"/>
  </cols>
  <sheetData>
    <row r="1" spans="1:13" ht="14.25" x14ac:dyDescent="0.2">
      <c r="A1" s="91" t="s">
        <v>0</v>
      </c>
      <c r="B1" s="92" t="s">
        <v>1</v>
      </c>
      <c r="C1" s="92" t="s">
        <v>2</v>
      </c>
      <c r="D1" s="11" t="s">
        <v>134</v>
      </c>
      <c r="E1" s="139" t="s">
        <v>136</v>
      </c>
      <c r="F1" s="92" t="s">
        <v>94</v>
      </c>
      <c r="G1" s="92" t="s">
        <v>95</v>
      </c>
      <c r="H1" s="104" t="s">
        <v>98</v>
      </c>
      <c r="I1" s="104" t="s">
        <v>96</v>
      </c>
      <c r="J1" s="104" t="s">
        <v>16563</v>
      </c>
      <c r="K1" s="142" t="s">
        <v>16564</v>
      </c>
      <c r="L1" s="53" t="s">
        <v>16565</v>
      </c>
      <c r="M1" s="53" t="s">
        <v>16566</v>
      </c>
    </row>
    <row r="2" spans="1:13" ht="14.25" x14ac:dyDescent="0.2">
      <c r="A2" s="103">
        <v>1</v>
      </c>
      <c r="B2" s="103" t="str">
        <f>Listado!B4</f>
        <v>Alonso Mansilla</v>
      </c>
      <c r="C2" s="103" t="str">
        <f>Listado!C4</f>
        <v>Javier</v>
      </c>
      <c r="D2" s="107" t="str">
        <f>Listado!D4</f>
        <v>Javi</v>
      </c>
      <c r="E2" s="103" t="s">
        <v>16567</v>
      </c>
      <c r="F2" s="105">
        <f>SUM(Octubre!O4,Noviembre!O4,Diciembre!O4,Enero!O5,Febrero!O4,Marzo!O4,Abril!O4,Mayo!O4,Junio!O4)</f>
        <v>0</v>
      </c>
      <c r="G2" s="140">
        <f t="shared" ref="G2:G27" si="0">100-((F2*100)/$F$29)</f>
        <v>100</v>
      </c>
      <c r="H2" s="97">
        <f>SUM(Octubre!P4,Noviembre!P4,Diciembre!P4,Enero!P5,Febrero!P4,Marzo!P4,Abril!P4,Mayo!P4,Junio!P4)</f>
        <v>0</v>
      </c>
      <c r="I2" s="97">
        <f>SUM(Octubre!Q4,Noviembre!Q4,Diciembre!Q4,Enero!Q5,Febrero!Q4,Marzo!Q4,Abril!Q4,Mayo!Q4,Junio!Q4)</f>
        <v>0</v>
      </c>
      <c r="J2" s="140">
        <f t="shared" ref="J2:J25" si="1">100-((H2*100)/$F$29)</f>
        <v>100</v>
      </c>
      <c r="K2" s="140">
        <f t="shared" ref="K2:K25" si="2">100-((I2*100)/$F$29)</f>
        <v>100</v>
      </c>
      <c r="L2" s="53">
        <f>23-I2</f>
        <v>23</v>
      </c>
      <c r="M2" s="53">
        <f>31-I2</f>
        <v>31</v>
      </c>
    </row>
    <row r="3" spans="1:13" ht="14.25" x14ac:dyDescent="0.2">
      <c r="A3" s="103">
        <v>2</v>
      </c>
      <c r="B3" s="103" t="str">
        <f>Listado!B5</f>
        <v>Barbacid Fernández</v>
      </c>
      <c r="C3" s="103" t="str">
        <f>Listado!C5</f>
        <v>Alberto</v>
      </c>
      <c r="D3" s="107" t="str">
        <f>Listado!D5</f>
        <v>Alberto</v>
      </c>
      <c r="E3" s="103" t="s">
        <v>16568</v>
      </c>
      <c r="F3" s="105">
        <f>SUM(Octubre!O5,Noviembre!O5,Diciembre!O5,Enero!O6,Febrero!O5,Marzo!O5,Abril!O5,Mayo!O5,Junio!O5)</f>
        <v>0</v>
      </c>
      <c r="G3" s="140">
        <f t="shared" si="0"/>
        <v>100</v>
      </c>
      <c r="H3" s="97">
        <f>SUM(Octubre!P5,Noviembre!P5,Diciembre!P5,Enero!P6,Febrero!P5,Marzo!P5,Abril!P5,Mayo!P5,Junio!P5)</f>
        <v>0</v>
      </c>
      <c r="I3" s="97">
        <f>SUM(Octubre!Q5,Noviembre!Q5,Diciembre!Q5,Enero!Q6,Febrero!Q5,Marzo!Q5,Abril!Q5,Mayo!Q5,Junio!Q5)</f>
        <v>0</v>
      </c>
      <c r="J3" s="140">
        <f t="shared" si="1"/>
        <v>100</v>
      </c>
      <c r="K3" s="140">
        <f t="shared" si="2"/>
        <v>100</v>
      </c>
      <c r="L3" s="53">
        <f t="shared" ref="L3:L27" si="3">23-I3</f>
        <v>23</v>
      </c>
      <c r="M3" s="53">
        <f t="shared" ref="M3:M27" si="4">31-I3</f>
        <v>31</v>
      </c>
    </row>
    <row r="4" spans="1:13" ht="14.25" x14ac:dyDescent="0.2">
      <c r="A4" s="103">
        <v>3</v>
      </c>
      <c r="B4" s="103" t="str">
        <f>Listado!B6</f>
        <v>Bayas Sarzosa</v>
      </c>
      <c r="C4" s="103" t="str">
        <f>Listado!C6</f>
        <v>Kevin</v>
      </c>
      <c r="D4" s="107" t="str">
        <f>Listado!D6</f>
        <v>Kevin</v>
      </c>
      <c r="E4" s="103" t="s">
        <v>16569</v>
      </c>
      <c r="F4" s="105">
        <f>SUM(Octubre!O6,Noviembre!O6,Diciembre!O6,Enero!O7,Febrero!O6,Marzo!O6,Abril!O6,Mayo!O6,Junio!O6)</f>
        <v>0</v>
      </c>
      <c r="G4" s="140">
        <f t="shared" si="0"/>
        <v>100</v>
      </c>
      <c r="H4" s="97">
        <f>SUM(Octubre!P6,Noviembre!P6,Diciembre!P6,Enero!P7,Febrero!P6,Marzo!P6,Abril!P6,Mayo!P6,Junio!P6)</f>
        <v>0</v>
      </c>
      <c r="I4" s="97">
        <f>SUM(Octubre!Q6,Noviembre!Q6,Diciembre!Q6,Enero!Q7,Febrero!Q6,Marzo!Q6,Abril!Q6,Mayo!Q6,Junio!Q6)</f>
        <v>0</v>
      </c>
      <c r="J4" s="140">
        <f t="shared" si="1"/>
        <v>100</v>
      </c>
      <c r="K4" s="140">
        <f t="shared" si="2"/>
        <v>100</v>
      </c>
      <c r="L4" s="53">
        <f t="shared" si="3"/>
        <v>23</v>
      </c>
      <c r="M4" s="53">
        <f t="shared" si="4"/>
        <v>31</v>
      </c>
    </row>
    <row r="5" spans="1:13" ht="14.25" x14ac:dyDescent="0.2">
      <c r="A5" s="103">
        <v>4</v>
      </c>
      <c r="B5" s="103" t="str">
        <f>Listado!B7</f>
        <v>Cánovas López</v>
      </c>
      <c r="C5" s="103" t="str">
        <f>Listado!C7</f>
        <v>Alejandro</v>
      </c>
      <c r="D5" s="107" t="str">
        <f>Listado!D7</f>
        <v>Alex</v>
      </c>
      <c r="E5" s="103" t="s">
        <v>16570</v>
      </c>
      <c r="F5" s="105">
        <f>SUM(Octubre!O7,Noviembre!O7,Diciembre!O7,Enero!O8,Febrero!O7,Marzo!O7,Abril!O7,Mayo!O7,Junio!O7)</f>
        <v>0</v>
      </c>
      <c r="G5" s="140">
        <f t="shared" si="0"/>
        <v>100</v>
      </c>
      <c r="H5" s="97">
        <f>SUM(Octubre!P7,Noviembre!P7,Diciembre!P7,Enero!P8,Febrero!P7,Marzo!P7,Abril!P7,Mayo!P7,Junio!P7)</f>
        <v>0</v>
      </c>
      <c r="I5" s="97">
        <f>SUM(Octubre!Q7,Noviembre!Q7,Diciembre!Q7,Enero!Q8,Febrero!Q7,Marzo!Q7,Abril!Q7,Mayo!Q7,Junio!Q7)</f>
        <v>0</v>
      </c>
      <c r="J5" s="140">
        <f t="shared" si="1"/>
        <v>100</v>
      </c>
      <c r="K5" s="140">
        <f t="shared" si="2"/>
        <v>100</v>
      </c>
      <c r="L5" s="53">
        <f t="shared" si="3"/>
        <v>23</v>
      </c>
      <c r="M5" s="53">
        <f t="shared" si="4"/>
        <v>31</v>
      </c>
    </row>
    <row r="6" spans="1:13" ht="14.25" x14ac:dyDescent="0.2">
      <c r="A6" s="103">
        <v>6</v>
      </c>
      <c r="B6" s="103" t="str">
        <f>Listado!B8</f>
        <v>Cardona Hernández</v>
      </c>
      <c r="C6" s="103" t="str">
        <f>Listado!C8</f>
        <v>Diego</v>
      </c>
      <c r="D6" s="107" t="str">
        <f>Listado!D8</f>
        <v>Diego</v>
      </c>
      <c r="E6" s="103" t="s">
        <v>16571</v>
      </c>
      <c r="F6" s="105">
        <f>SUM(Octubre!O8,Noviembre!O8,Diciembre!O8,Enero!O9,Febrero!O8,Marzo!O8,Abril!O8,Mayo!O8,Junio!O8)</f>
        <v>0</v>
      </c>
      <c r="G6" s="140">
        <f t="shared" si="0"/>
        <v>100</v>
      </c>
      <c r="H6" s="97">
        <f>SUM(Octubre!P8,Noviembre!P8,Diciembre!P8,Enero!P9,Febrero!P8,Marzo!P8,Abril!P8,Mayo!P8,Junio!P8)</f>
        <v>0</v>
      </c>
      <c r="I6" s="97">
        <f>SUM(Octubre!Q8,Noviembre!Q8,Diciembre!Q8,Enero!Q9,Febrero!Q8,Marzo!Q8,Abril!Q8,Mayo!Q8,Junio!Q8)</f>
        <v>0</v>
      </c>
      <c r="J6" s="140">
        <f t="shared" si="1"/>
        <v>100</v>
      </c>
      <c r="K6" s="140">
        <f t="shared" si="2"/>
        <v>100</v>
      </c>
      <c r="L6" s="53">
        <f t="shared" si="3"/>
        <v>23</v>
      </c>
      <c r="M6" s="53">
        <f t="shared" si="4"/>
        <v>31</v>
      </c>
    </row>
    <row r="7" spans="1:13" ht="14.25" x14ac:dyDescent="0.2">
      <c r="A7" s="103">
        <v>7</v>
      </c>
      <c r="B7" s="103" t="str">
        <f>Listado!B9</f>
        <v>Casco Valero</v>
      </c>
      <c r="C7" s="103" t="str">
        <f>Listado!C9</f>
        <v>Álvaro</v>
      </c>
      <c r="D7" s="107" t="str">
        <f>Listado!D9</f>
        <v>Álvaro</v>
      </c>
      <c r="E7" s="103" t="s">
        <v>16572</v>
      </c>
      <c r="F7" s="105">
        <f>SUM(Octubre!O9,Noviembre!O9,Diciembre!O9,Enero!O10,Febrero!O9,Marzo!O9,Abril!O9,Mayo!O9,Junio!O9)</f>
        <v>0</v>
      </c>
      <c r="G7" s="140">
        <f t="shared" si="0"/>
        <v>100</v>
      </c>
      <c r="H7" s="97">
        <f>SUM(Octubre!P9,Noviembre!P9,Diciembre!P9,Enero!P10,Febrero!P9,Marzo!P9,Abril!P9,Mayo!P9,Junio!P9)</f>
        <v>0</v>
      </c>
      <c r="I7" s="97">
        <f>SUM(Octubre!Q9,Noviembre!Q9,Diciembre!Q9,Enero!Q10,Febrero!Q9,Marzo!Q9,Abril!Q9,Mayo!Q9,Junio!Q9)</f>
        <v>0</v>
      </c>
      <c r="J7" s="140">
        <f t="shared" si="1"/>
        <v>100</v>
      </c>
      <c r="K7" s="140">
        <f t="shared" si="2"/>
        <v>100</v>
      </c>
      <c r="L7" s="53">
        <f t="shared" si="3"/>
        <v>23</v>
      </c>
      <c r="M7" s="53">
        <f t="shared" si="4"/>
        <v>31</v>
      </c>
    </row>
    <row r="8" spans="1:13" ht="14.25" x14ac:dyDescent="0.2">
      <c r="A8" s="103">
        <v>8</v>
      </c>
      <c r="B8" s="103" t="str">
        <f>Listado!B10</f>
        <v>Cobo Marcos</v>
      </c>
      <c r="C8" s="103" t="str">
        <f>Listado!C10</f>
        <v>Alejandro</v>
      </c>
      <c r="D8" s="107" t="str">
        <f>Listado!D10</f>
        <v>Alex</v>
      </c>
      <c r="E8" s="103" t="s">
        <v>16573</v>
      </c>
      <c r="F8" s="105">
        <f>SUM(Octubre!O10,Noviembre!O10,Diciembre!O10,Enero!O11,Febrero!O10,Marzo!O10,Abril!O10,Mayo!O10,Junio!O10)</f>
        <v>0</v>
      </c>
      <c r="G8" s="140">
        <f t="shared" si="0"/>
        <v>100</v>
      </c>
      <c r="H8" s="97">
        <f>SUM(Octubre!P10,Noviembre!P10,Diciembre!P10,Enero!P11,Febrero!P10,Marzo!P10,Abril!P10,Mayo!P10,Junio!P10)</f>
        <v>0</v>
      </c>
      <c r="I8" s="97">
        <f>SUM(Octubre!Q10,Noviembre!Q10,Diciembre!Q10,Enero!Q11,Febrero!Q10,Marzo!Q10,Abril!Q10,Mayo!Q10,Junio!Q10)</f>
        <v>0</v>
      </c>
      <c r="J8" s="140">
        <f t="shared" si="1"/>
        <v>100</v>
      </c>
      <c r="K8" s="140">
        <f t="shared" si="2"/>
        <v>100</v>
      </c>
      <c r="L8" s="53">
        <f t="shared" si="3"/>
        <v>23</v>
      </c>
      <c r="M8" s="53">
        <f t="shared" si="4"/>
        <v>31</v>
      </c>
    </row>
    <row r="9" spans="1:13" ht="14.25" x14ac:dyDescent="0.2">
      <c r="A9" s="103">
        <v>9</v>
      </c>
      <c r="B9" s="103" t="str">
        <f>Listado!B11</f>
        <v>Galán Castro</v>
      </c>
      <c r="C9" s="103" t="str">
        <f>Listado!C11</f>
        <v>Asil</v>
      </c>
      <c r="D9" s="107" t="str">
        <f>Listado!D11</f>
        <v>Asil</v>
      </c>
      <c r="E9" s="103" t="s">
        <v>16574</v>
      </c>
      <c r="F9" s="105">
        <f>SUM(Octubre!O11,Noviembre!O11,Diciembre!O11,Enero!O12,Febrero!O11,Marzo!O11,Abril!O11,Mayo!O11,Junio!O11)</f>
        <v>0</v>
      </c>
      <c r="G9" s="140">
        <f t="shared" si="0"/>
        <v>100</v>
      </c>
      <c r="H9" s="97">
        <f>SUM(Octubre!P11,Noviembre!P11,Diciembre!P11,Enero!P12,Febrero!P11,Marzo!P11,Abril!P11,Mayo!P11,Junio!P11)</f>
        <v>0</v>
      </c>
      <c r="I9" s="97">
        <f>SUM(Octubre!Q11,Noviembre!Q11,Diciembre!Q11,Enero!Q12,Febrero!Q11,Marzo!Q11,Abril!Q11,Mayo!Q11,Junio!Q11)</f>
        <v>0</v>
      </c>
      <c r="J9" s="140">
        <f t="shared" si="1"/>
        <v>100</v>
      </c>
      <c r="K9" s="140">
        <f t="shared" si="2"/>
        <v>100</v>
      </c>
      <c r="L9" s="53">
        <f t="shared" si="3"/>
        <v>23</v>
      </c>
      <c r="M9" s="53">
        <f t="shared" si="4"/>
        <v>31</v>
      </c>
    </row>
    <row r="10" spans="1:13" ht="14.25" x14ac:dyDescent="0.2">
      <c r="A10" s="103">
        <v>10</v>
      </c>
      <c r="B10" s="103" t="str">
        <f>Listado!B12</f>
        <v>García Martín</v>
      </c>
      <c r="C10" s="103" t="str">
        <f>Listado!C12</f>
        <v>Alonso</v>
      </c>
      <c r="D10" s="107" t="str">
        <f>Listado!D12</f>
        <v>Alonso</v>
      </c>
      <c r="E10" s="103" t="s">
        <v>16575</v>
      </c>
      <c r="F10" s="105">
        <f>SUM(Octubre!O12,Noviembre!O12,Diciembre!O12,Enero!O13,Febrero!O12,Marzo!O12,Abril!O12,Mayo!O12,Junio!O12)</f>
        <v>0</v>
      </c>
      <c r="G10" s="140">
        <f t="shared" si="0"/>
        <v>100</v>
      </c>
      <c r="H10" s="97">
        <f>SUM(Octubre!P12,Noviembre!P12,Diciembre!P12,Enero!P13,Febrero!P12,Marzo!P12,Abril!P12,Mayo!P12,Junio!P12)</f>
        <v>0</v>
      </c>
      <c r="I10" s="97">
        <f>SUM(Octubre!Q12,Noviembre!Q12,Diciembre!Q12,Enero!Q13,Febrero!Q12,Marzo!Q12,Abril!Q12,Mayo!Q12,Junio!Q12)</f>
        <v>0</v>
      </c>
      <c r="J10" s="140">
        <f t="shared" si="1"/>
        <v>100</v>
      </c>
      <c r="K10" s="140">
        <f t="shared" si="2"/>
        <v>100</v>
      </c>
      <c r="L10" s="53">
        <f t="shared" si="3"/>
        <v>23</v>
      </c>
      <c r="M10" s="53">
        <f t="shared" si="4"/>
        <v>31</v>
      </c>
    </row>
    <row r="11" spans="1:13" ht="14.25" x14ac:dyDescent="0.2">
      <c r="A11" s="103">
        <v>11</v>
      </c>
      <c r="B11" s="103" t="str">
        <f>Listado!B13</f>
        <v>García Muñoz</v>
      </c>
      <c r="C11" s="103" t="str">
        <f>Listado!C13</f>
        <v>Raúl</v>
      </c>
      <c r="D11" s="107" t="str">
        <f>Listado!D13</f>
        <v>Raúl</v>
      </c>
      <c r="E11" s="103" t="s">
        <v>16576</v>
      </c>
      <c r="F11" s="105">
        <f>SUM(Octubre!O13,Noviembre!O13,Diciembre!O13,Enero!O14,Febrero!O13,Marzo!O13,Abril!O13,Mayo!O13,Junio!O13)</f>
        <v>0</v>
      </c>
      <c r="G11" s="140">
        <f t="shared" si="0"/>
        <v>100</v>
      </c>
      <c r="H11" s="97">
        <f>SUM(Octubre!P13,Noviembre!P13,Diciembre!P13,Enero!P14,Febrero!P13,Marzo!P13,Abril!P13,Mayo!P13,Junio!P13)</f>
        <v>0</v>
      </c>
      <c r="I11" s="97">
        <f>SUM(Octubre!Q13,Noviembre!Q13,Diciembre!Q13,Enero!Q14,Febrero!Q13,Marzo!Q13,Abril!Q13,Mayo!Q13,Junio!Q13)</f>
        <v>0</v>
      </c>
      <c r="J11" s="140">
        <f t="shared" si="1"/>
        <v>100</v>
      </c>
      <c r="K11" s="140">
        <f t="shared" si="2"/>
        <v>100</v>
      </c>
      <c r="L11" s="53">
        <f t="shared" si="3"/>
        <v>23</v>
      </c>
      <c r="M11" s="53">
        <f t="shared" si="4"/>
        <v>31</v>
      </c>
    </row>
    <row r="12" spans="1:13" ht="14.25" x14ac:dyDescent="0.2">
      <c r="A12" s="103">
        <v>12</v>
      </c>
      <c r="B12" s="103" t="str">
        <f>Listado!B14</f>
        <v>Gil Fuertes</v>
      </c>
      <c r="C12" s="103" t="str">
        <f>Listado!C14</f>
        <v>Héctor</v>
      </c>
      <c r="D12" s="107" t="str">
        <f>Listado!D14</f>
        <v>Héctor</v>
      </c>
      <c r="E12" s="103" t="s">
        <v>16577</v>
      </c>
      <c r="F12" s="105">
        <f>SUM(Octubre!O14,Noviembre!O14,Diciembre!O14,Enero!O15,Febrero!O14,Marzo!O14,Abril!O14,Mayo!O14,Junio!O14)</f>
        <v>0</v>
      </c>
      <c r="G12" s="140">
        <f t="shared" si="0"/>
        <v>100</v>
      </c>
      <c r="H12" s="97">
        <f>SUM(Octubre!P14,Noviembre!P14,Diciembre!P14,Enero!P15,Febrero!P14,Marzo!P14,Abril!P14,Mayo!P14,Junio!P14)</f>
        <v>0</v>
      </c>
      <c r="I12" s="97">
        <f>SUM(Octubre!Q14,Noviembre!Q14,Diciembre!Q14,Enero!Q15,Febrero!Q14,Marzo!Q14,Abril!Q14,Mayo!Q14,Junio!Q14)</f>
        <v>0</v>
      </c>
      <c r="J12" s="140">
        <f t="shared" si="1"/>
        <v>100</v>
      </c>
      <c r="K12" s="140">
        <f t="shared" si="2"/>
        <v>100</v>
      </c>
      <c r="L12" s="53">
        <f t="shared" si="3"/>
        <v>23</v>
      </c>
      <c r="M12" s="53">
        <f t="shared" si="4"/>
        <v>31</v>
      </c>
    </row>
    <row r="13" spans="1:13" ht="14.25" x14ac:dyDescent="0.2">
      <c r="A13" s="103">
        <v>13</v>
      </c>
      <c r="B13" s="103" t="str">
        <f>Listado!B15</f>
        <v>Gonzalo Lucas</v>
      </c>
      <c r="C13" s="103" t="str">
        <f>Listado!C15</f>
        <v>Pablo</v>
      </c>
      <c r="D13" s="107" t="str">
        <f>Listado!D15</f>
        <v>Pablo</v>
      </c>
      <c r="E13" s="103" t="s">
        <v>16578</v>
      </c>
      <c r="F13" s="105">
        <f>SUM(Octubre!O15,Noviembre!O15,Diciembre!O15,Enero!O16,Febrero!O15,Marzo!O15,Abril!O15,Mayo!O15,Junio!O15)</f>
        <v>0</v>
      </c>
      <c r="G13" s="140">
        <f t="shared" si="0"/>
        <v>100</v>
      </c>
      <c r="H13" s="97">
        <f>SUM(Octubre!P15,Noviembre!P15,Diciembre!P15,Enero!P16,Febrero!P15,Marzo!P15,Abril!P15,Mayo!P15,Junio!P15)</f>
        <v>0</v>
      </c>
      <c r="I13" s="97">
        <f>SUM(Octubre!Q15,Noviembre!Q15,Diciembre!Q15,Enero!Q16,Febrero!Q15,Marzo!Q15,Abril!Q15,Mayo!Q15,Junio!Q15)</f>
        <v>0</v>
      </c>
      <c r="J13" s="140">
        <f t="shared" si="1"/>
        <v>100</v>
      </c>
      <c r="K13" s="140">
        <f t="shared" si="2"/>
        <v>100</v>
      </c>
      <c r="L13" s="53">
        <f t="shared" si="3"/>
        <v>23</v>
      </c>
      <c r="M13" s="53">
        <f t="shared" si="4"/>
        <v>31</v>
      </c>
    </row>
    <row r="14" spans="1:13" ht="14.25" x14ac:dyDescent="0.2">
      <c r="A14" s="103">
        <v>14</v>
      </c>
      <c r="B14" s="103" t="str">
        <f>Listado!B16</f>
        <v xml:space="preserve">Jacek </v>
      </c>
      <c r="C14" s="103" t="str">
        <f>Listado!C16</f>
        <v>Adrian</v>
      </c>
      <c r="D14" s="107" t="str">
        <f>Listado!D16</f>
        <v>Adrian</v>
      </c>
      <c r="E14" s="103" t="s">
        <v>16579</v>
      </c>
      <c r="F14" s="105">
        <f>SUM(Octubre!O16,Noviembre!O16,Diciembre!O16,Enero!O17,Febrero!O16,Marzo!O16,Abril!O16,Mayo!O16,Junio!O16)</f>
        <v>0</v>
      </c>
      <c r="G14" s="140">
        <f t="shared" si="0"/>
        <v>100</v>
      </c>
      <c r="H14" s="97">
        <f>SUM(Octubre!P16,Noviembre!P16,Diciembre!P16,Enero!P17,Febrero!P16,Marzo!P16,Abril!P16,Mayo!P16,Junio!P16)</f>
        <v>0</v>
      </c>
      <c r="I14" s="97">
        <f>SUM(Octubre!Q16,Noviembre!Q16,Diciembre!Q16,Enero!Q17,Febrero!Q16,Marzo!Q16,Abril!Q16,Mayo!Q16,Junio!Q16)</f>
        <v>0</v>
      </c>
      <c r="J14" s="140">
        <f t="shared" si="1"/>
        <v>100</v>
      </c>
      <c r="K14" s="140">
        <f t="shared" si="2"/>
        <v>100</v>
      </c>
      <c r="L14" s="53">
        <f t="shared" si="3"/>
        <v>23</v>
      </c>
      <c r="M14" s="53">
        <f t="shared" si="4"/>
        <v>31</v>
      </c>
    </row>
    <row r="15" spans="1:13" ht="14.25" x14ac:dyDescent="0.2">
      <c r="A15" s="103">
        <v>15</v>
      </c>
      <c r="B15" s="103" t="str">
        <f>Listado!B17</f>
        <v>López Pachón</v>
      </c>
      <c r="C15" s="103" t="str">
        <f>Listado!C17</f>
        <v xml:space="preserve">José Antonio </v>
      </c>
      <c r="D15" s="107" t="str">
        <f>Listado!D17</f>
        <v>Jose</v>
      </c>
      <c r="E15" s="103" t="s">
        <v>16580</v>
      </c>
      <c r="F15" s="105">
        <f>SUM(Octubre!O17,Noviembre!O17,Diciembre!O17,Enero!O18,Febrero!O17,Marzo!O17,Abril!O17,Mayo!O17,Junio!O17)</f>
        <v>0</v>
      </c>
      <c r="G15" s="140">
        <f t="shared" si="0"/>
        <v>100</v>
      </c>
      <c r="H15" s="97">
        <f>SUM(Octubre!P17,Noviembre!P17,Diciembre!P17,Enero!P18,Febrero!P17,Marzo!P17,Abril!P17,Mayo!P17,Junio!P17)</f>
        <v>0</v>
      </c>
      <c r="I15" s="97">
        <f>SUM(Octubre!Q17,Noviembre!Q17,Diciembre!Q17,Enero!Q18,Febrero!Q17,Marzo!Q17,Abril!Q17,Mayo!Q17,Junio!Q17)</f>
        <v>0</v>
      </c>
      <c r="J15" s="140">
        <f t="shared" si="1"/>
        <v>100</v>
      </c>
      <c r="K15" s="140">
        <f t="shared" si="2"/>
        <v>100</v>
      </c>
      <c r="L15" s="53">
        <f t="shared" si="3"/>
        <v>23</v>
      </c>
      <c r="M15" s="53">
        <f t="shared" si="4"/>
        <v>31</v>
      </c>
    </row>
    <row r="16" spans="1:13" ht="14.25" x14ac:dyDescent="0.2">
      <c r="A16" s="103">
        <v>16</v>
      </c>
      <c r="B16" s="103" t="str">
        <f>Listado!B18</f>
        <v>Miguel Tolosana</v>
      </c>
      <c r="C16" s="103" t="str">
        <f>Listado!C18</f>
        <v>María</v>
      </c>
      <c r="D16" s="107" t="str">
        <f>Listado!D18</f>
        <v>María</v>
      </c>
      <c r="E16" s="103" t="s">
        <v>16581</v>
      </c>
      <c r="F16" s="105">
        <f>SUM(Octubre!O18,Noviembre!O18,Diciembre!O18,Enero!O19,Febrero!O18,Marzo!O18,Abril!O18,Mayo!O18,Junio!O18)</f>
        <v>0</v>
      </c>
      <c r="G16" s="140">
        <f t="shared" si="0"/>
        <v>100</v>
      </c>
      <c r="H16" s="97">
        <f>SUM(Octubre!P18,Noviembre!P18,Diciembre!P18,Enero!P19,Febrero!P18,Marzo!P18,Abril!P18,Mayo!P18,Junio!P18)</f>
        <v>0</v>
      </c>
      <c r="I16" s="97">
        <f>SUM(Octubre!Q18,Noviembre!Q18,Diciembre!Q18,Enero!Q19,Febrero!Q18,Marzo!Q18,Abril!Q18,Mayo!Q18,Junio!Q18)</f>
        <v>0</v>
      </c>
      <c r="J16" s="140">
        <f t="shared" si="1"/>
        <v>100</v>
      </c>
      <c r="K16" s="140">
        <f t="shared" si="2"/>
        <v>100</v>
      </c>
      <c r="L16" s="53">
        <f t="shared" si="3"/>
        <v>23</v>
      </c>
      <c r="M16" s="53">
        <f t="shared" si="4"/>
        <v>31</v>
      </c>
    </row>
    <row r="17" spans="1:13" ht="14.25" x14ac:dyDescent="0.2">
      <c r="A17" s="103">
        <v>17</v>
      </c>
      <c r="B17" s="103" t="str">
        <f>Listado!B19</f>
        <v>Navarro Fernández</v>
      </c>
      <c r="C17" s="103" t="str">
        <f>Listado!C19</f>
        <v>Alejandro</v>
      </c>
      <c r="D17" s="107" t="str">
        <f>Listado!D19</f>
        <v>Ale</v>
      </c>
      <c r="E17" s="103" t="s">
        <v>16582</v>
      </c>
      <c r="F17" s="105">
        <f>SUM(Octubre!O19,Noviembre!O19,Diciembre!O19,Enero!O20,Febrero!O19,Marzo!O19,Abril!O19,Mayo!O19,Junio!O19)</f>
        <v>0</v>
      </c>
      <c r="G17" s="140">
        <f t="shared" si="0"/>
        <v>100</v>
      </c>
      <c r="H17" s="97">
        <f>SUM(Octubre!P19,Noviembre!P19,Diciembre!P19,Enero!P20,Febrero!P19,Marzo!P19,Abril!P19,Mayo!P19,Junio!P19)</f>
        <v>0</v>
      </c>
      <c r="I17" s="97">
        <f>SUM(Octubre!Q19,Noviembre!Q19,Diciembre!Q19,Enero!Q20,Febrero!Q19,Marzo!Q19,Abril!Q19,Mayo!Q19,Junio!Q19)</f>
        <v>0</v>
      </c>
      <c r="J17" s="140">
        <f t="shared" si="1"/>
        <v>100</v>
      </c>
      <c r="K17" s="140">
        <f t="shared" si="2"/>
        <v>100</v>
      </c>
      <c r="L17" s="53">
        <f t="shared" si="3"/>
        <v>23</v>
      </c>
      <c r="M17" s="53">
        <f t="shared" si="4"/>
        <v>31</v>
      </c>
    </row>
    <row r="18" spans="1:13" ht="14.25" x14ac:dyDescent="0.2">
      <c r="A18" s="103">
        <v>18</v>
      </c>
      <c r="B18" s="103" t="str">
        <f>Listado!B20</f>
        <v>Ordóñez Rimacuna</v>
      </c>
      <c r="C18" s="103" t="str">
        <f>Listado!C20</f>
        <v>Julio Alejandro</v>
      </c>
      <c r="D18" s="107" t="str">
        <f>Listado!D20</f>
        <v>Julio</v>
      </c>
      <c r="E18" s="103" t="s">
        <v>16583</v>
      </c>
      <c r="F18" s="105">
        <f>SUM(Octubre!O20,Noviembre!O20,Diciembre!O20,Enero!O21,Febrero!O20,Marzo!O20,Abril!O20,Mayo!O20,Junio!O20)</f>
        <v>0</v>
      </c>
      <c r="G18" s="140">
        <f t="shared" si="0"/>
        <v>100</v>
      </c>
      <c r="H18" s="97">
        <f>SUM(Octubre!P20,Noviembre!P20,Diciembre!P20,Enero!P21,Febrero!P20,Marzo!P20,Abril!P20,Mayo!P20,Junio!P20)</f>
        <v>0</v>
      </c>
      <c r="I18" s="97">
        <f>SUM(Octubre!Q20,Noviembre!Q20,Diciembre!Q20,Enero!Q21,Febrero!Q20,Marzo!Q20,Abril!Q20,Mayo!Q20,Junio!Q20)</f>
        <v>0</v>
      </c>
      <c r="J18" s="140">
        <f t="shared" si="1"/>
        <v>100</v>
      </c>
      <c r="K18" s="140">
        <f t="shared" si="2"/>
        <v>100</v>
      </c>
      <c r="L18" s="53">
        <f t="shared" si="3"/>
        <v>23</v>
      </c>
      <c r="M18" s="53">
        <f t="shared" si="4"/>
        <v>31</v>
      </c>
    </row>
    <row r="19" spans="1:13" ht="14.25" x14ac:dyDescent="0.2">
      <c r="A19" s="103">
        <v>19</v>
      </c>
      <c r="B19" s="103" t="str">
        <f>Listado!B21</f>
        <v>Pedroche Pérez</v>
      </c>
      <c r="C19" s="103" t="str">
        <f>Listado!C21</f>
        <v>Marcos</v>
      </c>
      <c r="D19" s="107" t="str">
        <f>Listado!D21</f>
        <v>Marcos</v>
      </c>
      <c r="E19" s="103" t="s">
        <v>16584</v>
      </c>
      <c r="F19" s="105">
        <f>SUM(Octubre!O21,Noviembre!O21,Diciembre!O21,Enero!O22,Febrero!O21,Marzo!O21,Abril!O21,Mayo!O21,Junio!O21)</f>
        <v>0</v>
      </c>
      <c r="G19" s="140">
        <f t="shared" si="0"/>
        <v>100</v>
      </c>
      <c r="H19" s="97">
        <f>SUM(Octubre!P21,Noviembre!P21,Diciembre!P21,Enero!P22,Febrero!P21,Marzo!P21,Abril!P21,Mayo!P21,Junio!P21)</f>
        <v>0</v>
      </c>
      <c r="I19" s="97">
        <f>SUM(Octubre!Q21,Noviembre!Q21,Diciembre!Q21,Enero!Q22,Febrero!Q21,Marzo!Q21,Abril!Q21,Mayo!Q21,Junio!Q21)</f>
        <v>0</v>
      </c>
      <c r="J19" s="140">
        <f t="shared" si="1"/>
        <v>100</v>
      </c>
      <c r="K19" s="140">
        <f t="shared" si="2"/>
        <v>100</v>
      </c>
      <c r="L19" s="53">
        <f t="shared" si="3"/>
        <v>23</v>
      </c>
      <c r="M19" s="53">
        <f t="shared" si="4"/>
        <v>31</v>
      </c>
    </row>
    <row r="20" spans="1:13" ht="14.25" x14ac:dyDescent="0.2">
      <c r="A20" s="103">
        <v>20</v>
      </c>
      <c r="B20" s="103" t="str">
        <f>Listado!B22</f>
        <v xml:space="preserve">Pérez Gregorio </v>
      </c>
      <c r="C20" s="103" t="str">
        <f>Listado!C22</f>
        <v xml:space="preserve">Diego </v>
      </c>
      <c r="D20" s="107" t="str">
        <f>Listado!D22</f>
        <v xml:space="preserve">Diego </v>
      </c>
      <c r="E20" s="103" t="s">
        <v>16585</v>
      </c>
      <c r="F20" s="105">
        <f>SUM(Octubre!O22,Noviembre!O22,Diciembre!O22,Enero!O23,Febrero!O22,Marzo!O22,Abril!O22,Mayo!O22,Junio!O22)</f>
        <v>0</v>
      </c>
      <c r="G20" s="140">
        <f t="shared" si="0"/>
        <v>100</v>
      </c>
      <c r="H20" s="97">
        <f>SUM(Octubre!P22,Noviembre!P22,Diciembre!P22,Enero!P23,Febrero!P22,Marzo!P22,Abril!P22,Mayo!P22,Junio!P22)</f>
        <v>0</v>
      </c>
      <c r="I20" s="97">
        <f>SUM(Octubre!Q22,Noviembre!Q22,Diciembre!Q22,Enero!Q23,Febrero!Q22,Marzo!Q22,Abril!Q22,Mayo!Q22,Junio!Q22)</f>
        <v>0</v>
      </c>
      <c r="J20" s="140">
        <f t="shared" si="1"/>
        <v>100</v>
      </c>
      <c r="K20" s="140">
        <f t="shared" si="2"/>
        <v>100</v>
      </c>
      <c r="L20" s="53">
        <f t="shared" si="3"/>
        <v>23</v>
      </c>
      <c r="M20" s="53">
        <f t="shared" si="4"/>
        <v>31</v>
      </c>
    </row>
    <row r="21" spans="1:13" ht="14.25" x14ac:dyDescent="0.2">
      <c r="A21" s="103">
        <v>21</v>
      </c>
      <c r="B21" s="103" t="str">
        <f>Listado!B23</f>
        <v>Pinto Díaz</v>
      </c>
      <c r="C21" s="103" t="str">
        <f>Listado!C23</f>
        <v>Ángel</v>
      </c>
      <c r="D21" s="107" t="str">
        <f>Listado!D23</f>
        <v>Ángel</v>
      </c>
      <c r="E21" s="103" t="s">
        <v>16586</v>
      </c>
      <c r="F21" s="105">
        <f>SUM(Octubre!O23,Noviembre!O23,Diciembre!O23,Enero!O24,Febrero!O23,Marzo!O23,Abril!O23,Mayo!O23,Junio!O23)</f>
        <v>0</v>
      </c>
      <c r="G21" s="140">
        <f t="shared" si="0"/>
        <v>100</v>
      </c>
      <c r="H21" s="97">
        <f>SUM(Octubre!P23,Noviembre!P23,Diciembre!P23,Enero!P24,Febrero!P23,Marzo!P23,Abril!P23,Mayo!P23,Junio!P23)</f>
        <v>0</v>
      </c>
      <c r="I21" s="97">
        <f>SUM(Octubre!Q23,Noviembre!Q23,Diciembre!Q23,Enero!Q24,Febrero!Q23,Marzo!Q23,Abril!Q23,Mayo!Q23,Junio!Q23)</f>
        <v>0</v>
      </c>
      <c r="J21" s="140">
        <f t="shared" si="1"/>
        <v>100</v>
      </c>
      <c r="K21" s="140">
        <f t="shared" si="2"/>
        <v>100</v>
      </c>
      <c r="L21" s="53">
        <f t="shared" si="3"/>
        <v>23</v>
      </c>
      <c r="M21" s="53">
        <f t="shared" si="4"/>
        <v>31</v>
      </c>
    </row>
    <row r="22" spans="1:13" ht="14.25" x14ac:dyDescent="0.2">
      <c r="A22" s="103">
        <v>22</v>
      </c>
      <c r="B22" s="103" t="str">
        <f>Listado!B24</f>
        <v>Quirós Martín-Portugués</v>
      </c>
      <c r="C22" s="103" t="str">
        <f>Listado!C24</f>
        <v>Marta</v>
      </c>
      <c r="D22" s="107" t="str">
        <f>Listado!D24</f>
        <v>Marta</v>
      </c>
      <c r="E22" s="103" t="s">
        <v>16587</v>
      </c>
      <c r="F22" s="105">
        <f>SUM(Octubre!O24,Noviembre!O24,Diciembre!O24,Enero!O25,Febrero!O24,Marzo!O24,Abril!O24,Mayo!O24,Junio!O24)</f>
        <v>0</v>
      </c>
      <c r="G22" s="140">
        <f t="shared" si="0"/>
        <v>100</v>
      </c>
      <c r="H22" s="97">
        <f>SUM(Octubre!P24,Noviembre!P24,Diciembre!P24,Enero!P25,Febrero!P24,Marzo!P24,Abril!P24,Mayo!P24,Junio!P24)</f>
        <v>0</v>
      </c>
      <c r="I22" s="97">
        <f>SUM(Octubre!Q24,Noviembre!Q24,Diciembre!Q24,Enero!Q25,Febrero!Q24,Marzo!Q24,Abril!Q24,Mayo!Q24,Junio!Q24)</f>
        <v>0</v>
      </c>
      <c r="J22" s="140">
        <f t="shared" si="1"/>
        <v>100</v>
      </c>
      <c r="K22" s="140">
        <f t="shared" si="2"/>
        <v>100</v>
      </c>
      <c r="L22" s="53">
        <f t="shared" si="3"/>
        <v>23</v>
      </c>
      <c r="M22" s="53">
        <f t="shared" si="4"/>
        <v>31</v>
      </c>
    </row>
    <row r="23" spans="1:13" ht="14.25" x14ac:dyDescent="0.2">
      <c r="A23" s="103">
        <v>23</v>
      </c>
      <c r="B23" s="103" t="str">
        <f>Listado!B25</f>
        <v>Rodríguez Alonso</v>
      </c>
      <c r="C23" s="103" t="str">
        <f>Listado!C25</f>
        <v>Jorge</v>
      </c>
      <c r="D23" s="107" t="str">
        <f>Listado!D25</f>
        <v>Jorge</v>
      </c>
      <c r="E23" s="103" t="s">
        <v>16588</v>
      </c>
      <c r="F23" s="105">
        <f>SUM(Octubre!O25,Noviembre!O25,Diciembre!O25,Enero!O26,Febrero!O25,Marzo!O25,Abril!O25,Mayo!O25,Junio!O25)</f>
        <v>0</v>
      </c>
      <c r="G23" s="140">
        <f t="shared" si="0"/>
        <v>100</v>
      </c>
      <c r="H23" s="97">
        <f>SUM(Octubre!P25,Noviembre!P25,Diciembre!P25,Enero!P26,Febrero!P25,Marzo!P25,Abril!P25,Mayo!P25,Junio!P25)</f>
        <v>0</v>
      </c>
      <c r="I23" s="97">
        <f>SUM(Octubre!Q25,Noviembre!Q25,Diciembre!Q25,Enero!Q26,Febrero!Q25,Marzo!Q25,Abril!Q25,Mayo!Q25,Junio!Q25)</f>
        <v>0</v>
      </c>
      <c r="J23" s="140">
        <f t="shared" si="1"/>
        <v>100</v>
      </c>
      <c r="K23" s="140">
        <f t="shared" si="2"/>
        <v>100</v>
      </c>
      <c r="L23" s="53">
        <f t="shared" si="3"/>
        <v>23</v>
      </c>
      <c r="M23" s="53">
        <f t="shared" si="4"/>
        <v>31</v>
      </c>
    </row>
    <row r="24" spans="1:13" ht="14.25" x14ac:dyDescent="0.2">
      <c r="A24" s="103">
        <v>24</v>
      </c>
      <c r="B24" s="103" t="str">
        <f>Listado!B26</f>
        <v>Rodríguez-Rey Prieto</v>
      </c>
      <c r="C24" s="103" t="str">
        <f>Listado!C26</f>
        <v>Alberto</v>
      </c>
      <c r="D24" s="107" t="str">
        <f>Listado!D26</f>
        <v>Alber</v>
      </c>
      <c r="E24" s="103" t="s">
        <v>16589</v>
      </c>
      <c r="F24" s="105">
        <f>SUM(Octubre!O26,Noviembre!O26,Diciembre!O26,Enero!O27,Febrero!O26,Marzo!O26,Abril!O26,Mayo!O26,Junio!O26)</f>
        <v>0</v>
      </c>
      <c r="G24" s="140">
        <f t="shared" si="0"/>
        <v>100</v>
      </c>
      <c r="H24" s="97">
        <f>SUM(Octubre!P26,Noviembre!P26,Diciembre!P26,Enero!P27,Febrero!P26,Marzo!P26,Abril!P26,Mayo!P26,Junio!P26)</f>
        <v>0</v>
      </c>
      <c r="I24" s="97">
        <f>SUM(Octubre!Q26,Noviembre!Q26,Diciembre!Q26,Enero!Q27,Febrero!Q26,Marzo!Q26,Abril!Q26,Mayo!Q26,Junio!Q26)</f>
        <v>0</v>
      </c>
      <c r="J24" s="140">
        <f t="shared" si="1"/>
        <v>100</v>
      </c>
      <c r="K24" s="140">
        <f t="shared" si="2"/>
        <v>100</v>
      </c>
      <c r="L24" s="53">
        <f t="shared" si="3"/>
        <v>23</v>
      </c>
      <c r="M24" s="53">
        <f t="shared" si="4"/>
        <v>31</v>
      </c>
    </row>
    <row r="25" spans="1:13" ht="14.25" x14ac:dyDescent="0.2">
      <c r="A25" s="103">
        <v>25</v>
      </c>
      <c r="B25" s="103" t="str">
        <f>Listado!B27</f>
        <v>Ruiz García</v>
      </c>
      <c r="C25" s="103" t="str">
        <f>Listado!C27</f>
        <v>Alejandro</v>
      </c>
      <c r="D25" s="107" t="str">
        <f>Listado!D27</f>
        <v>Alex</v>
      </c>
      <c r="E25" s="103" t="s">
        <v>16590</v>
      </c>
      <c r="F25" s="105">
        <f>SUM(Octubre!O27,Noviembre!O27,Diciembre!O27,Enero!O28,Febrero!O27,Marzo!O27,Abril!O27,Mayo!O27,Junio!O27)</f>
        <v>0</v>
      </c>
      <c r="G25" s="140">
        <f t="shared" si="0"/>
        <v>100</v>
      </c>
      <c r="H25" s="97">
        <f>SUM(Octubre!P27,Noviembre!P27,Diciembre!P27,Enero!P28,Febrero!P27,Marzo!P27,Abril!P27,Mayo!P27,Junio!P27)</f>
        <v>0</v>
      </c>
      <c r="I25" s="97">
        <f>SUM(Octubre!Q27,Noviembre!Q27,Diciembre!Q27,Enero!Q28,Febrero!Q27,Marzo!Q27,Abril!Q27,Mayo!Q27,Junio!Q27)</f>
        <v>0</v>
      </c>
      <c r="J25" s="140">
        <f t="shared" si="1"/>
        <v>100</v>
      </c>
      <c r="K25" s="140">
        <f t="shared" si="2"/>
        <v>100</v>
      </c>
      <c r="L25" s="53">
        <f t="shared" si="3"/>
        <v>23</v>
      </c>
      <c r="M25" s="53">
        <f t="shared" si="4"/>
        <v>31</v>
      </c>
    </row>
    <row r="26" spans="1:13" ht="14.25" x14ac:dyDescent="0.2">
      <c r="A26" s="103">
        <v>26</v>
      </c>
      <c r="B26" s="103" t="str">
        <f>Listado!B28</f>
        <v>Solís Torrijos</v>
      </c>
      <c r="C26" s="103" t="str">
        <f>Listado!C28</f>
        <v>Juan</v>
      </c>
      <c r="D26" s="107" t="str">
        <f>Listado!D28</f>
        <v>Juan</v>
      </c>
      <c r="E26" s="103" t="s">
        <v>16591</v>
      </c>
      <c r="F26" s="105">
        <f>SUM(Octubre!O28,Noviembre!O28,Diciembre!O28,Enero!O29,Febrero!O28,Marzo!O28,Abril!O28,Mayo!O28,Junio!O28)</f>
        <v>0</v>
      </c>
      <c r="G26" s="140">
        <f t="shared" si="0"/>
        <v>100</v>
      </c>
      <c r="H26" s="97">
        <f>SUM(Octubre!P28,Noviembre!P28,Diciembre!P28,Enero!P29,Febrero!P28,Marzo!P28,Abril!P28,Mayo!P28,Junio!P28)</f>
        <v>0</v>
      </c>
      <c r="I26" s="97">
        <f>SUM(Octubre!Q28,Noviembre!Q28,Diciembre!Q28,Enero!Q29,Febrero!Q28,Marzo!Q28,Abril!Q28,Mayo!Q28,Junio!Q28)</f>
        <v>0</v>
      </c>
      <c r="J26" s="140">
        <f t="shared" ref="J26:J27" si="5">100-((H26*100)/$F$29)</f>
        <v>100</v>
      </c>
      <c r="K26" s="140">
        <f t="shared" ref="K26:K27" si="6">100-((I26*100)/$F$29)</f>
        <v>100</v>
      </c>
      <c r="L26" s="53">
        <f t="shared" si="3"/>
        <v>23</v>
      </c>
      <c r="M26" s="53">
        <f t="shared" si="4"/>
        <v>31</v>
      </c>
    </row>
    <row r="27" spans="1:13" ht="14.25" x14ac:dyDescent="0.2">
      <c r="A27" s="103">
        <v>27</v>
      </c>
      <c r="B27" s="103" t="str">
        <f>Listado!B29</f>
        <v>Vázquez Martínez</v>
      </c>
      <c r="C27" s="103" t="str">
        <f>Listado!C29</f>
        <v>Iván</v>
      </c>
      <c r="D27" s="107" t="str">
        <f>Listado!D29</f>
        <v>Iván</v>
      </c>
      <c r="E27" s="103" t="s">
        <v>16592</v>
      </c>
      <c r="F27" s="105">
        <f>SUM(Octubre!O29,Noviembre!O29,Diciembre!O29,Enero!O30,Febrero!O29,Marzo!O29,Abril!O29,Mayo!O29,Junio!O29)</f>
        <v>0</v>
      </c>
      <c r="G27" s="140">
        <f t="shared" si="0"/>
        <v>100</v>
      </c>
      <c r="H27" s="97">
        <f>SUM(Octubre!P29,Noviembre!P29,Diciembre!P29,Enero!P30,Febrero!P29,Marzo!P29,Abril!P29,Mayo!P29,Junio!P29)</f>
        <v>0</v>
      </c>
      <c r="I27" s="97">
        <f>SUM(Octubre!Q29,Noviembre!Q29,Diciembre!Q29,Enero!Q30,Febrero!Q29,Marzo!Q29,Abril!Q29,Mayo!Q29,Junio!Q29)</f>
        <v>0</v>
      </c>
      <c r="J27" s="140">
        <f t="shared" si="5"/>
        <v>100</v>
      </c>
      <c r="K27" s="140">
        <f t="shared" si="6"/>
        <v>100</v>
      </c>
      <c r="L27" s="53">
        <f t="shared" si="3"/>
        <v>23</v>
      </c>
      <c r="M27" s="53">
        <f t="shared" si="4"/>
        <v>31</v>
      </c>
    </row>
    <row r="29" spans="1:13" x14ac:dyDescent="0.2">
      <c r="B29" s="53" t="s">
        <v>16593</v>
      </c>
      <c r="F29" s="53">
        <f>F31</f>
        <v>156</v>
      </c>
    </row>
    <row r="31" spans="1:13" x14ac:dyDescent="0.2">
      <c r="D31" s="2"/>
      <c r="F31" s="53">
        <f>Octubre!B48+Noviembre!B48+Diciembre!B48+Enero!B48+Febrero!B48+Marzo!B48+Abril!B48+Mayo!B48+Junio!B48</f>
        <v>156</v>
      </c>
    </row>
    <row r="47" spans="4:4" x14ac:dyDescent="0.2">
      <c r="D47" s="41"/>
    </row>
    <row r="48" spans="4:4" x14ac:dyDescent="0.2">
      <c r="D48" s="42"/>
    </row>
    <row r="49" spans="4:4" x14ac:dyDescent="0.2">
      <c r="D49" s="42"/>
    </row>
    <row r="50" spans="4:4" x14ac:dyDescent="0.2">
      <c r="D50" s="42"/>
    </row>
    <row r="51" spans="4:4" x14ac:dyDescent="0.2">
      <c r="D51" s="42"/>
    </row>
    <row r="52" spans="4:4" x14ac:dyDescent="0.2">
      <c r="D52" s="42"/>
    </row>
  </sheetData>
  <conditionalFormatting sqref="K2:K27">
    <cfRule type="cellIs" dxfId="3" priority="1" operator="between">
      <formula>85</formula>
      <formula>90</formula>
    </cfRule>
    <cfRule type="cellIs" dxfId="2" priority="2" operator="lessThan">
      <formula>85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9868-9C9C-4AAB-A740-FC01559386A7}">
  <sheetPr>
    <tabColor rgb="FFFFC000"/>
  </sheetPr>
  <dimension ref="A1:GC66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17.140625" defaultRowHeight="12.75" customHeight="1" x14ac:dyDescent="0.2"/>
  <cols>
    <col min="1" max="1" width="15.5703125" style="10" bestFit="1" customWidth="1"/>
    <col min="2" max="2" width="31.42578125" style="10" customWidth="1"/>
    <col min="3" max="3" width="18.140625" style="10" bestFit="1" customWidth="1"/>
    <col min="4" max="4" width="18.7109375" style="10" bestFit="1" customWidth="1"/>
    <col min="5" max="16384" width="17.140625" style="10"/>
  </cols>
  <sheetData>
    <row r="1" spans="1:143" s="9" customFormat="1" ht="14.25" x14ac:dyDescent="0.2">
      <c r="A1" s="102" t="s">
        <v>0</v>
      </c>
      <c r="B1" s="102" t="s">
        <v>1</v>
      </c>
      <c r="C1" s="102" t="s">
        <v>2</v>
      </c>
      <c r="D1" s="102" t="s">
        <v>16594</v>
      </c>
      <c r="E1" s="108" t="s">
        <v>16595</v>
      </c>
    </row>
    <row r="2" spans="1:143" s="9" customFormat="1" ht="87" customHeight="1" x14ac:dyDescent="0.2">
      <c r="A2" s="103">
        <f>Listado!A4</f>
        <v>1</v>
      </c>
      <c r="B2" s="103" t="str">
        <f>Listado!B4</f>
        <v>Alonso Mansilla</v>
      </c>
      <c r="C2" s="103" t="str">
        <f>Listado!C4</f>
        <v>Javier</v>
      </c>
      <c r="D2" s="107" t="str">
        <f>Listado!D4</f>
        <v>Javi</v>
      </c>
    </row>
    <row r="3" spans="1:143" s="13" customFormat="1" ht="87" customHeight="1" x14ac:dyDescent="0.2">
      <c r="A3" s="103">
        <f>Listado!A5</f>
        <v>2</v>
      </c>
      <c r="B3" s="103" t="str">
        <f>Listado!B5</f>
        <v>Barbacid Fernández</v>
      </c>
      <c r="C3" s="103" t="str">
        <f>Listado!C5</f>
        <v>Alberto</v>
      </c>
      <c r="D3" s="107" t="str">
        <f>Listado!D5</f>
        <v>Alberto</v>
      </c>
      <c r="E3" s="9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88"/>
    </row>
    <row r="4" spans="1:143" s="13" customFormat="1" ht="87" customHeight="1" x14ac:dyDescent="0.2">
      <c r="A4" s="103">
        <f>Listado!A6</f>
        <v>3</v>
      </c>
      <c r="B4" s="103" t="str">
        <f>Listado!B6</f>
        <v>Bayas Sarzosa</v>
      </c>
      <c r="C4" s="103" t="str">
        <f>Listado!C6</f>
        <v>Kevin</v>
      </c>
      <c r="D4" s="107" t="str">
        <f>Listado!D6</f>
        <v>Kevin</v>
      </c>
      <c r="E4" s="9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88"/>
    </row>
    <row r="5" spans="1:143" s="8" customFormat="1" ht="87" customHeight="1" x14ac:dyDescent="0.2">
      <c r="A5" s="103">
        <f>Listado!A7</f>
        <v>4</v>
      </c>
      <c r="B5" s="103" t="str">
        <f>Listado!B7</f>
        <v>Cánovas López</v>
      </c>
      <c r="C5" s="103" t="str">
        <f>Listado!C7</f>
        <v>Alejandro</v>
      </c>
      <c r="D5" s="107" t="str">
        <f>Listado!D7</f>
        <v>Alex</v>
      </c>
      <c r="E5" s="9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89"/>
    </row>
    <row r="6" spans="1:143" s="13" customFormat="1" ht="87" customHeight="1" x14ac:dyDescent="0.2">
      <c r="A6" s="103">
        <f>Listado!A8</f>
        <v>5</v>
      </c>
      <c r="B6" s="103" t="str">
        <f>Listado!B8</f>
        <v>Cardona Hernández</v>
      </c>
      <c r="C6" s="103" t="str">
        <f>Listado!C8</f>
        <v>Diego</v>
      </c>
      <c r="D6" s="107" t="str">
        <f>Listado!D8</f>
        <v>Diego</v>
      </c>
      <c r="E6" s="9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88"/>
    </row>
    <row r="7" spans="1:143" s="9" customFormat="1" ht="87" customHeight="1" x14ac:dyDescent="0.2">
      <c r="A7" s="103">
        <f>Listado!A9</f>
        <v>6</v>
      </c>
      <c r="B7" s="103" t="str">
        <f>Listado!B9</f>
        <v>Casco Valero</v>
      </c>
      <c r="C7" s="103" t="str">
        <f>Listado!C9</f>
        <v>Álvaro</v>
      </c>
      <c r="D7" s="107" t="str">
        <f>Listado!D9</f>
        <v>Álvaro</v>
      </c>
    </row>
    <row r="8" spans="1:143" s="13" customFormat="1" ht="87" customHeight="1" x14ac:dyDescent="0.2">
      <c r="A8" s="103">
        <f>Listado!A10</f>
        <v>7</v>
      </c>
      <c r="B8" s="103" t="str">
        <f>Listado!B10</f>
        <v>Cobo Marcos</v>
      </c>
      <c r="C8" s="103" t="str">
        <f>Listado!C10</f>
        <v>Alejandro</v>
      </c>
      <c r="D8" s="107" t="str">
        <f>Listado!D10</f>
        <v>Alex</v>
      </c>
      <c r="E8" s="9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88"/>
    </row>
    <row r="9" spans="1:143" s="65" customFormat="1" ht="87" customHeight="1" x14ac:dyDescent="0.2">
      <c r="A9" s="103">
        <f>Listado!A11</f>
        <v>8</v>
      </c>
      <c r="B9" s="103" t="str">
        <f>Listado!B11</f>
        <v>Galán Castro</v>
      </c>
      <c r="C9" s="103" t="str">
        <f>Listado!C11</f>
        <v>Asil</v>
      </c>
      <c r="D9" s="107" t="str">
        <f>Listado!D11</f>
        <v>Asil</v>
      </c>
      <c r="E9" s="9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</row>
    <row r="10" spans="1:143" s="65" customFormat="1" ht="87" customHeight="1" x14ac:dyDescent="0.2">
      <c r="A10" s="103">
        <f>Listado!A12</f>
        <v>9</v>
      </c>
      <c r="B10" s="103" t="str">
        <f>Listado!B12</f>
        <v>García Martín</v>
      </c>
      <c r="C10" s="103" t="str">
        <f>Listado!C12</f>
        <v>Alonso</v>
      </c>
      <c r="D10" s="107" t="str">
        <f>Listado!D12</f>
        <v>Alonso</v>
      </c>
      <c r="E10" s="9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</row>
    <row r="11" spans="1:143" s="9" customFormat="1" ht="87" customHeight="1" x14ac:dyDescent="0.2">
      <c r="A11" s="103">
        <f>Listado!A13</f>
        <v>10</v>
      </c>
      <c r="B11" s="103" t="str">
        <f>Listado!B13</f>
        <v>García Muñoz</v>
      </c>
      <c r="C11" s="103" t="str">
        <f>Listado!C13</f>
        <v>Raúl</v>
      </c>
      <c r="D11" s="107" t="str">
        <f>Listado!D13</f>
        <v>Raúl</v>
      </c>
    </row>
    <row r="12" spans="1:143" s="9" customFormat="1" ht="87" customHeight="1" x14ac:dyDescent="0.2">
      <c r="A12" s="103">
        <f>Listado!A14</f>
        <v>11</v>
      </c>
      <c r="B12" s="103" t="str">
        <f>Listado!B14</f>
        <v>Gil Fuertes</v>
      </c>
      <c r="C12" s="103" t="str">
        <f>Listado!C14</f>
        <v>Héctor</v>
      </c>
      <c r="D12" s="107" t="str">
        <f>Listado!D14</f>
        <v>Héctor</v>
      </c>
    </row>
    <row r="13" spans="1:143" s="9" customFormat="1" ht="87" customHeight="1" x14ac:dyDescent="0.2">
      <c r="A13" s="103">
        <f>Listado!A15</f>
        <v>12</v>
      </c>
      <c r="B13" s="103" t="str">
        <f>Listado!B15</f>
        <v>Gonzalo Lucas</v>
      </c>
      <c r="C13" s="103" t="str">
        <f>Listado!C15</f>
        <v>Pablo</v>
      </c>
      <c r="D13" s="107" t="str">
        <f>Listado!D15</f>
        <v>Pablo</v>
      </c>
    </row>
    <row r="14" spans="1:143" s="9" customFormat="1" ht="87" customHeight="1" x14ac:dyDescent="0.2">
      <c r="A14" s="103">
        <f>Listado!A16</f>
        <v>13</v>
      </c>
      <c r="B14" s="103" t="str">
        <f>Listado!B16</f>
        <v xml:space="preserve">Jacek </v>
      </c>
      <c r="C14" s="103" t="str">
        <f>Listado!C16</f>
        <v>Adrian</v>
      </c>
      <c r="D14" s="107" t="str">
        <f>Listado!D16</f>
        <v>Adrian</v>
      </c>
    </row>
    <row r="15" spans="1:143" s="9" customFormat="1" ht="87" customHeight="1" x14ac:dyDescent="0.2">
      <c r="A15" s="103">
        <f>Listado!A17</f>
        <v>14</v>
      </c>
      <c r="B15" s="103" t="str">
        <f>Listado!B17</f>
        <v>López Pachón</v>
      </c>
      <c r="C15" s="103" t="str">
        <f>Listado!C17</f>
        <v xml:space="preserve">José Antonio </v>
      </c>
      <c r="D15" s="107" t="str">
        <f>Listado!D17</f>
        <v>Jose</v>
      </c>
    </row>
    <row r="16" spans="1:143" s="9" customFormat="1" ht="87" customHeight="1" x14ac:dyDescent="0.2">
      <c r="A16" s="103">
        <f>Listado!A18</f>
        <v>15</v>
      </c>
      <c r="B16" s="103" t="str">
        <f>Listado!B18</f>
        <v>Miguel Tolosana</v>
      </c>
      <c r="C16" s="103" t="str">
        <f>Listado!C18</f>
        <v>María</v>
      </c>
      <c r="D16" s="107" t="str">
        <f>Listado!D18</f>
        <v>María</v>
      </c>
    </row>
    <row r="17" spans="1:185" s="9" customFormat="1" ht="87" customHeight="1" x14ac:dyDescent="0.2">
      <c r="A17" s="103">
        <f>Listado!A19</f>
        <v>16</v>
      </c>
      <c r="B17" s="103" t="str">
        <f>Listado!B19</f>
        <v>Navarro Fernández</v>
      </c>
      <c r="C17" s="103" t="str">
        <f>Listado!C19</f>
        <v>Alejandro</v>
      </c>
      <c r="D17" s="107" t="str">
        <f>Listado!D19</f>
        <v>Ale</v>
      </c>
    </row>
    <row r="18" spans="1:185" s="9" customFormat="1" ht="87" customHeight="1" x14ac:dyDescent="0.2">
      <c r="A18" s="103">
        <f>Listado!A20</f>
        <v>17</v>
      </c>
      <c r="B18" s="103" t="str">
        <f>Listado!B20</f>
        <v>Ordóñez Rimacuna</v>
      </c>
      <c r="C18" s="103" t="str">
        <f>Listado!C20</f>
        <v>Julio Alejandro</v>
      </c>
      <c r="D18" s="107" t="str">
        <f>Listado!D20</f>
        <v>Julio</v>
      </c>
    </row>
    <row r="19" spans="1:185" s="9" customFormat="1" ht="87" customHeight="1" x14ac:dyDescent="0.2">
      <c r="A19" s="103">
        <f>Listado!A21</f>
        <v>18</v>
      </c>
      <c r="B19" s="103" t="str">
        <f>Listado!B21</f>
        <v>Pedroche Pérez</v>
      </c>
      <c r="C19" s="103" t="str">
        <f>Listado!C21</f>
        <v>Marcos</v>
      </c>
      <c r="D19" s="107" t="str">
        <f>Listado!D21</f>
        <v>Marcos</v>
      </c>
    </row>
    <row r="20" spans="1:185" s="9" customFormat="1" ht="87" customHeight="1" x14ac:dyDescent="0.2">
      <c r="A20" s="103">
        <f>Listado!A22</f>
        <v>19</v>
      </c>
      <c r="B20" s="103" t="str">
        <f>Listado!B22</f>
        <v xml:space="preserve">Pérez Gregorio </v>
      </c>
      <c r="C20" s="103" t="str">
        <f>Listado!C22</f>
        <v xml:space="preserve">Diego </v>
      </c>
      <c r="D20" s="107" t="str">
        <f>Listado!D22</f>
        <v xml:space="preserve">Diego </v>
      </c>
    </row>
    <row r="21" spans="1:185" s="9" customFormat="1" ht="87" customHeight="1" x14ac:dyDescent="0.2">
      <c r="A21" s="103">
        <f>Listado!A23</f>
        <v>20</v>
      </c>
      <c r="B21" s="103" t="str">
        <f>Listado!B23</f>
        <v>Pinto Díaz</v>
      </c>
      <c r="C21" s="103" t="str">
        <f>Listado!C23</f>
        <v>Ángel</v>
      </c>
      <c r="D21" s="107" t="str">
        <f>Listado!D23</f>
        <v>Ángel</v>
      </c>
    </row>
    <row r="22" spans="1:185" s="13" customFormat="1" ht="87" customHeight="1" x14ac:dyDescent="0.2">
      <c r="A22" s="103">
        <f>Listado!A24</f>
        <v>21</v>
      </c>
      <c r="B22" s="103" t="str">
        <f>Listado!B24</f>
        <v>Quirós Martín-Portugués</v>
      </c>
      <c r="C22" s="103" t="str">
        <f>Listado!C24</f>
        <v>Marta</v>
      </c>
      <c r="D22" s="107" t="str">
        <f>Listado!D24</f>
        <v>Marta</v>
      </c>
      <c r="E22" s="9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88"/>
    </row>
    <row r="23" spans="1:185" s="13" customFormat="1" ht="87" customHeight="1" x14ac:dyDescent="0.2">
      <c r="A23" s="103">
        <f>Listado!A25</f>
        <v>22</v>
      </c>
      <c r="B23" s="103" t="str">
        <f>Listado!B25</f>
        <v>Rodríguez Alonso</v>
      </c>
      <c r="C23" s="103" t="str">
        <f>Listado!C25</f>
        <v>Jorge</v>
      </c>
      <c r="D23" s="107" t="str">
        <f>Listado!D25</f>
        <v>Jorge</v>
      </c>
      <c r="E23" s="9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88"/>
    </row>
    <row r="24" spans="1:185" s="13" customFormat="1" ht="87" customHeight="1" x14ac:dyDescent="0.2">
      <c r="A24" s="103">
        <f>Listado!A26</f>
        <v>23</v>
      </c>
      <c r="B24" s="103" t="str">
        <f>Listado!B26</f>
        <v>Rodríguez-Rey Prieto</v>
      </c>
      <c r="C24" s="103" t="str">
        <f>Listado!C26</f>
        <v>Alberto</v>
      </c>
      <c r="D24" s="107" t="str">
        <f>Listado!D26</f>
        <v>Alber</v>
      </c>
      <c r="E24" s="9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88"/>
    </row>
    <row r="25" spans="1:185" s="13" customFormat="1" ht="87" customHeight="1" x14ac:dyDescent="0.2">
      <c r="A25" s="103">
        <f>Listado!A27</f>
        <v>24</v>
      </c>
      <c r="B25" s="103" t="str">
        <f>Listado!B27</f>
        <v>Ruiz García</v>
      </c>
      <c r="C25" s="103" t="str">
        <f>Listado!C27</f>
        <v>Alejandro</v>
      </c>
      <c r="D25" s="107" t="str">
        <f>Listado!D27</f>
        <v>Alex</v>
      </c>
      <c r="E25" s="9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88"/>
    </row>
    <row r="26" spans="1:185" s="13" customFormat="1" ht="87" customHeight="1" x14ac:dyDescent="0.2">
      <c r="A26" s="103">
        <f>Listado!A28</f>
        <v>25</v>
      </c>
      <c r="B26" s="103" t="str">
        <f>Listado!B28</f>
        <v>Solís Torrijos</v>
      </c>
      <c r="C26" s="103" t="str">
        <f>Listado!C28</f>
        <v>Juan</v>
      </c>
      <c r="D26" s="107" t="str">
        <f>Listado!D28</f>
        <v>Juan</v>
      </c>
      <c r="E26" s="9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88"/>
    </row>
    <row r="27" spans="1:185" s="13" customFormat="1" ht="87" customHeight="1" x14ac:dyDescent="0.2">
      <c r="A27" s="103">
        <f>Listado!A29</f>
        <v>26</v>
      </c>
      <c r="B27" s="103" t="str">
        <f>Listado!B29</f>
        <v>Vázquez Martínez</v>
      </c>
      <c r="C27" s="103" t="str">
        <f>Listado!C29</f>
        <v>Iván</v>
      </c>
      <c r="D27" s="107" t="str">
        <f>Listado!D29</f>
        <v>Iván</v>
      </c>
      <c r="E27" s="9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88"/>
    </row>
    <row r="28" spans="1:185" ht="12.75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</row>
    <row r="29" spans="1:185" ht="12.75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</row>
    <row r="30" spans="1:185" ht="12.7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</row>
    <row r="31" spans="1:185" ht="12.7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</row>
    <row r="32" spans="1:185" ht="12.7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</row>
    <row r="33" spans="1:185" ht="12.7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</row>
    <row r="34" spans="1:185" ht="12.7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</row>
    <row r="35" spans="1:185" ht="12.7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</row>
    <row r="36" spans="1:185" ht="12.7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</row>
    <row r="37" spans="1:185" ht="12.7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</row>
    <row r="38" spans="1:185" ht="12.7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</row>
    <row r="39" spans="1:185" ht="12.75" customHeight="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</row>
    <row r="40" spans="1:185" ht="12.7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</row>
    <row r="41" spans="1:185" ht="12.7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</row>
    <row r="42" spans="1:185" ht="12.7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</row>
    <row r="43" spans="1:185" ht="12.7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</row>
    <row r="44" spans="1:185" ht="12.7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</row>
    <row r="45" spans="1:185" ht="12.7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</row>
    <row r="46" spans="1:185" ht="12.7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</row>
    <row r="47" spans="1:185" ht="12.7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</row>
    <row r="48" spans="1:185" ht="12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</row>
    <row r="49" spans="1:185" ht="12.7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</row>
    <row r="50" spans="1:185" ht="12.7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</row>
    <row r="51" spans="1:185" ht="12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</row>
    <row r="52" spans="1:185" ht="12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</row>
    <row r="53" spans="1:185" ht="12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</row>
    <row r="54" spans="1:185" ht="12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</row>
    <row r="55" spans="1:185" ht="12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</row>
    <row r="56" spans="1:185" ht="12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</row>
    <row r="57" spans="1:185" ht="12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</row>
    <row r="58" spans="1:185" ht="12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</row>
    <row r="59" spans="1:185" ht="12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</row>
    <row r="60" spans="1:185" ht="12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</row>
    <row r="61" spans="1:185" ht="12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</row>
    <row r="62" spans="1:185" ht="12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</row>
    <row r="63" spans="1:185" ht="12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</row>
    <row r="64" spans="1:185" ht="12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</row>
    <row r="65" spans="1:185" ht="12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</row>
    <row r="66" spans="1:185" ht="12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</row>
  </sheetData>
  <phoneticPr fontId="1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08C6-636B-466A-9781-CEE0D08B9B74}">
  <sheetPr>
    <tabColor rgb="FF0070C0"/>
  </sheetPr>
  <dimension ref="A1:AF27"/>
  <sheetViews>
    <sheetView workbookViewId="0">
      <pane xSplit="3" ySplit="1" topLeftCell="D2" activePane="bottomRight" state="frozen"/>
      <selection pane="topRight"/>
      <selection pane="bottomLeft"/>
      <selection pane="bottomRight" activeCell="C3" sqref="C3"/>
    </sheetView>
  </sheetViews>
  <sheetFormatPr baseColWidth="10" defaultColWidth="9.140625" defaultRowHeight="12.75" x14ac:dyDescent="0.2"/>
  <cols>
    <col min="1" max="1" width="3.28515625" style="53" bestFit="1" customWidth="1"/>
    <col min="2" max="2" width="24.5703125" style="53" bestFit="1" customWidth="1"/>
    <col min="3" max="4" width="21.85546875" style="53" customWidth="1"/>
    <col min="5" max="5" width="24" customWidth="1"/>
    <col min="6" max="6" width="20.7109375" customWidth="1"/>
    <col min="7" max="7" width="21.85546875" customWidth="1"/>
    <col min="8" max="8" width="23" customWidth="1"/>
    <col min="9" max="9" width="18.7109375" customWidth="1"/>
    <col min="10" max="10" width="20" customWidth="1"/>
    <col min="11" max="11" width="17.28515625" customWidth="1"/>
    <col min="12" max="12" width="20" customWidth="1"/>
    <col min="13" max="13" width="19.28515625" customWidth="1"/>
    <col min="14" max="14" width="22.5703125" customWidth="1"/>
    <col min="15" max="15" width="19.42578125" customWidth="1"/>
    <col min="16" max="16" width="21.85546875" customWidth="1"/>
    <col min="17" max="17" width="24.85546875" customWidth="1"/>
    <col min="18" max="18" width="16.42578125" customWidth="1"/>
    <col min="19" max="19" width="17.85546875" customWidth="1"/>
    <col min="20" max="20" width="15.7109375" customWidth="1"/>
    <col min="21" max="21" width="21.5703125" customWidth="1"/>
    <col min="22" max="22" width="19.7109375" customWidth="1"/>
    <col min="23" max="23" width="22.5703125" customWidth="1"/>
    <col min="24" max="24" width="27.140625" customWidth="1"/>
    <col min="25" max="25" width="22.7109375" customWidth="1"/>
    <col min="26" max="26" width="20.140625" customWidth="1"/>
    <col min="28" max="28" width="22.7109375" customWidth="1"/>
    <col min="30" max="30" width="27.85546875" customWidth="1"/>
    <col min="31" max="31" width="22.7109375" customWidth="1"/>
    <col min="32" max="16384" width="9.140625" style="53"/>
  </cols>
  <sheetData>
    <row r="1" spans="1:32" s="3" customFormat="1" ht="120.75" customHeight="1" x14ac:dyDescent="0.2">
      <c r="A1" s="11" t="s">
        <v>0</v>
      </c>
      <c r="B1" s="11" t="s">
        <v>1</v>
      </c>
      <c r="C1" s="11" t="s">
        <v>2</v>
      </c>
      <c r="D1" s="125" t="s">
        <v>16596</v>
      </c>
      <c r="E1" s="125" t="s">
        <v>16597</v>
      </c>
      <c r="F1" s="113" t="s">
        <v>16598</v>
      </c>
      <c r="G1" s="113" t="s">
        <v>16599</v>
      </c>
      <c r="H1" s="114" t="s">
        <v>16600</v>
      </c>
      <c r="I1" s="115" t="s">
        <v>16601</v>
      </c>
      <c r="J1" s="115" t="s">
        <v>16602</v>
      </c>
      <c r="K1" s="116" t="s">
        <v>16603</v>
      </c>
      <c r="L1" s="115" t="s">
        <v>16604</v>
      </c>
      <c r="M1" s="115" t="s">
        <v>16605</v>
      </c>
      <c r="N1" s="116" t="s">
        <v>16606</v>
      </c>
      <c r="O1" s="117" t="s">
        <v>16607</v>
      </c>
      <c r="P1" s="117" t="s">
        <v>16608</v>
      </c>
      <c r="Q1" s="118" t="s">
        <v>16609</v>
      </c>
      <c r="R1" s="119" t="s">
        <v>16610</v>
      </c>
      <c r="S1" s="119" t="s">
        <v>16611</v>
      </c>
      <c r="T1" s="118" t="s">
        <v>16612</v>
      </c>
      <c r="U1" s="120" t="s">
        <v>16613</v>
      </c>
      <c r="V1" s="120" t="s">
        <v>16614</v>
      </c>
      <c r="W1" s="118" t="s">
        <v>16615</v>
      </c>
      <c r="X1" s="121" t="s">
        <v>16616</v>
      </c>
      <c r="Y1" s="121" t="s">
        <v>16617</v>
      </c>
      <c r="Z1" s="118" t="s">
        <v>16618</v>
      </c>
      <c r="AA1" s="122" t="s">
        <v>16619</v>
      </c>
      <c r="AB1" s="122" t="s">
        <v>16620</v>
      </c>
      <c r="AC1" s="118" t="s">
        <v>16621</v>
      </c>
      <c r="AD1" s="122" t="s">
        <v>16622</v>
      </c>
      <c r="AE1" s="122" t="s">
        <v>16623</v>
      </c>
      <c r="AF1" s="118" t="s">
        <v>16624</v>
      </c>
    </row>
    <row r="2" spans="1:32" ht="14.25" x14ac:dyDescent="0.2">
      <c r="A2" s="110">
        <f>Listado!A4</f>
        <v>1</v>
      </c>
      <c r="B2" s="110" t="str">
        <f>Listado!B4</f>
        <v>Alonso Mansilla</v>
      </c>
      <c r="C2" s="110" t="str">
        <f>Listado!C4</f>
        <v>Javier</v>
      </c>
      <c r="D2" s="3"/>
      <c r="E2" s="3"/>
      <c r="F2" s="3"/>
      <c r="G2" s="18"/>
      <c r="H2" s="144"/>
      <c r="I2" s="3"/>
      <c r="J2" s="3"/>
      <c r="K2" s="145"/>
      <c r="L2" s="3"/>
      <c r="M2" s="3"/>
      <c r="N2" s="145"/>
      <c r="O2" s="3"/>
      <c r="P2" s="3"/>
      <c r="Q2" s="145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4.25" x14ac:dyDescent="0.2">
      <c r="A3" s="110">
        <f>Listado!A5</f>
        <v>2</v>
      </c>
      <c r="B3" s="110" t="str">
        <f>Listado!B5</f>
        <v>Barbacid Fernández</v>
      </c>
      <c r="C3" s="110" t="str">
        <f>Listado!C5</f>
        <v>Alberto</v>
      </c>
      <c r="D3" s="3"/>
      <c r="E3" s="3"/>
      <c r="F3" s="3"/>
      <c r="G3" s="18"/>
      <c r="H3" s="144"/>
      <c r="I3" s="3"/>
      <c r="J3" s="3"/>
      <c r="K3" s="145"/>
      <c r="L3" s="3"/>
      <c r="M3" s="3"/>
      <c r="N3" s="145"/>
      <c r="O3" s="3"/>
      <c r="P3" s="3"/>
      <c r="Q3" s="145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4.25" x14ac:dyDescent="0.2">
      <c r="A4" s="110">
        <f>Listado!A6</f>
        <v>3</v>
      </c>
      <c r="B4" s="110" t="str">
        <f>Listado!B6</f>
        <v>Bayas Sarzosa</v>
      </c>
      <c r="C4" s="110" t="str">
        <f>Listado!C6</f>
        <v>Kevin</v>
      </c>
      <c r="D4" s="3"/>
      <c r="E4" s="3"/>
      <c r="F4" s="3"/>
      <c r="G4" s="18"/>
      <c r="H4" s="144"/>
      <c r="I4" s="3"/>
      <c r="J4" s="3"/>
      <c r="K4" s="145"/>
      <c r="M4" s="3"/>
      <c r="N4" s="145"/>
      <c r="O4" s="3"/>
      <c r="P4" s="3"/>
      <c r="Q4" s="145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4.25" x14ac:dyDescent="0.2">
      <c r="A5" s="110">
        <f>Listado!A7</f>
        <v>4</v>
      </c>
      <c r="B5" s="110" t="str">
        <f>Listado!B7</f>
        <v>Cánovas López</v>
      </c>
      <c r="C5" s="110" t="str">
        <f>Listado!C7</f>
        <v>Alejandro</v>
      </c>
      <c r="D5" s="3"/>
      <c r="E5" s="3"/>
      <c r="F5" s="3"/>
      <c r="G5" s="18"/>
      <c r="H5" s="144"/>
      <c r="I5" s="3"/>
      <c r="J5" s="3"/>
      <c r="K5" s="145"/>
      <c r="L5" s="3"/>
      <c r="M5" s="3"/>
      <c r="N5" s="145"/>
      <c r="O5" s="3"/>
      <c r="P5" s="3"/>
      <c r="Q5" s="14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4.25" x14ac:dyDescent="0.2">
      <c r="A6" s="110">
        <f>Listado!A8</f>
        <v>5</v>
      </c>
      <c r="B6" s="110" t="str">
        <f>Listado!B8</f>
        <v>Cardona Hernández</v>
      </c>
      <c r="C6" s="110" t="str">
        <f>Listado!C8</f>
        <v>Diego</v>
      </c>
      <c r="D6" s="3"/>
      <c r="E6" s="3"/>
      <c r="F6" s="3"/>
      <c r="G6" s="18"/>
      <c r="H6" s="144"/>
      <c r="I6" s="3"/>
      <c r="J6" s="3"/>
      <c r="K6" s="145"/>
      <c r="L6" s="3"/>
      <c r="M6" s="3"/>
      <c r="N6" s="145"/>
      <c r="O6" s="3"/>
      <c r="P6" s="3"/>
      <c r="Q6" s="14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4.25" x14ac:dyDescent="0.2">
      <c r="A7" s="110">
        <f>Listado!A9</f>
        <v>6</v>
      </c>
      <c r="B7" s="110" t="str">
        <f>Listado!B9</f>
        <v>Casco Valero</v>
      </c>
      <c r="C7" s="110" t="str">
        <f>Listado!C9</f>
        <v>Álvaro</v>
      </c>
      <c r="D7" s="3"/>
      <c r="E7" s="3"/>
      <c r="F7" s="3"/>
      <c r="G7" s="18"/>
      <c r="H7" s="144"/>
      <c r="I7" s="3"/>
      <c r="J7" s="3"/>
      <c r="K7" s="145"/>
      <c r="L7" s="3"/>
      <c r="M7" s="3"/>
      <c r="N7" s="145"/>
      <c r="O7" s="3"/>
      <c r="P7" s="3"/>
      <c r="Q7" s="145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4.25" x14ac:dyDescent="0.2">
      <c r="A8" s="110">
        <f>Listado!A10</f>
        <v>7</v>
      </c>
      <c r="B8" s="110" t="str">
        <f>Listado!B10</f>
        <v>Cobo Marcos</v>
      </c>
      <c r="C8" s="110" t="str">
        <f>Listado!C10</f>
        <v>Alejandro</v>
      </c>
      <c r="D8" s="3"/>
      <c r="E8" s="3"/>
      <c r="F8" s="3"/>
      <c r="G8" s="18"/>
      <c r="H8" s="144"/>
      <c r="I8" s="3"/>
      <c r="J8" s="3"/>
      <c r="K8" s="145"/>
      <c r="L8" s="3"/>
      <c r="M8" s="3"/>
      <c r="N8" s="145"/>
      <c r="O8" s="3"/>
      <c r="P8" s="3"/>
      <c r="Q8" s="145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4.25" x14ac:dyDescent="0.2">
      <c r="A9" s="110">
        <f>Listado!A11</f>
        <v>8</v>
      </c>
      <c r="B9" s="110" t="str">
        <f>Listado!B11</f>
        <v>Galán Castro</v>
      </c>
      <c r="C9" s="110" t="str">
        <f>Listado!C11</f>
        <v>Asil</v>
      </c>
      <c r="D9" s="3"/>
      <c r="E9" s="3"/>
      <c r="F9" s="3"/>
      <c r="G9" s="3"/>
      <c r="H9" s="144"/>
      <c r="I9" s="3"/>
      <c r="J9" s="3"/>
      <c r="K9" s="145"/>
      <c r="L9" s="3"/>
      <c r="M9" s="3"/>
      <c r="N9" s="145"/>
      <c r="O9" s="131"/>
      <c r="P9" s="3"/>
      <c r="Q9" s="145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4.25" x14ac:dyDescent="0.2">
      <c r="A10" s="110">
        <f>Listado!A12</f>
        <v>9</v>
      </c>
      <c r="B10" s="110" t="str">
        <f>Listado!B12</f>
        <v>García Martín</v>
      </c>
      <c r="C10" s="110" t="str">
        <f>Listado!C12</f>
        <v>Alonso</v>
      </c>
      <c r="D10" s="3"/>
      <c r="E10" s="3"/>
      <c r="F10" s="3"/>
      <c r="G10" s="18"/>
      <c r="H10" s="144"/>
      <c r="I10" s="3"/>
      <c r="J10" s="3"/>
      <c r="K10" s="145"/>
      <c r="L10" s="3"/>
      <c r="M10" s="3"/>
      <c r="N10" s="145"/>
      <c r="O10" s="3"/>
      <c r="P10" s="3"/>
      <c r="Q10" s="145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4.25" x14ac:dyDescent="0.2">
      <c r="A11" s="110">
        <f>Listado!A13</f>
        <v>10</v>
      </c>
      <c r="B11" s="110" t="str">
        <f>Listado!B13</f>
        <v>García Muñoz</v>
      </c>
      <c r="C11" s="110" t="str">
        <f>Listado!C13</f>
        <v>Raúl</v>
      </c>
      <c r="D11" s="3"/>
      <c r="E11" s="3"/>
      <c r="F11" s="3"/>
      <c r="G11" s="18"/>
      <c r="H11" s="144"/>
      <c r="I11" s="3"/>
      <c r="J11" s="3"/>
      <c r="K11" s="145"/>
      <c r="L11" s="3"/>
      <c r="M11" s="3"/>
      <c r="N11" s="145"/>
      <c r="O11" s="3"/>
      <c r="P11" s="3"/>
      <c r="Q11" s="14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4.25" x14ac:dyDescent="0.2">
      <c r="A12" s="110">
        <f>Listado!A14</f>
        <v>11</v>
      </c>
      <c r="B12" s="110" t="str">
        <f>Listado!B14</f>
        <v>Gil Fuertes</v>
      </c>
      <c r="C12" s="110" t="str">
        <f>Listado!C14</f>
        <v>Héctor</v>
      </c>
      <c r="D12" s="3"/>
      <c r="E12" s="3"/>
      <c r="F12" s="3"/>
      <c r="G12" s="18"/>
      <c r="H12" s="144"/>
      <c r="I12" s="3"/>
      <c r="J12" s="3"/>
      <c r="K12" s="145"/>
      <c r="L12" s="3"/>
      <c r="M12" s="3"/>
      <c r="N12" s="145"/>
      <c r="O12" s="3"/>
      <c r="P12" s="3"/>
      <c r="Q12" s="145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4.25" x14ac:dyDescent="0.2">
      <c r="A13" s="110">
        <f>Listado!A15</f>
        <v>12</v>
      </c>
      <c r="B13" s="110" t="str">
        <f>Listado!B15</f>
        <v>Gonzalo Lucas</v>
      </c>
      <c r="C13" s="110" t="str">
        <f>Listado!C15</f>
        <v>Pablo</v>
      </c>
      <c r="D13" s="3"/>
      <c r="E13" s="3"/>
      <c r="F13" s="3"/>
      <c r="G13" s="18"/>
      <c r="H13" s="144"/>
      <c r="I13" s="3"/>
      <c r="J13" s="3"/>
      <c r="K13" s="145"/>
      <c r="L13" s="3"/>
      <c r="M13" s="3"/>
      <c r="N13" s="145"/>
      <c r="O13" s="3"/>
      <c r="P13" s="3"/>
      <c r="Q13" s="145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4.25" x14ac:dyDescent="0.2">
      <c r="A14" s="110">
        <f>Listado!A16</f>
        <v>13</v>
      </c>
      <c r="B14" s="110" t="str">
        <f>Listado!B16</f>
        <v xml:space="preserve">Jacek </v>
      </c>
      <c r="C14" s="110" t="str">
        <f>Listado!C16</f>
        <v>Adrian</v>
      </c>
      <c r="D14" s="3"/>
      <c r="E14" s="3"/>
      <c r="F14" s="3"/>
      <c r="G14" s="18"/>
      <c r="H14" s="144"/>
      <c r="I14" s="3"/>
      <c r="J14" s="3"/>
      <c r="K14" s="145"/>
      <c r="L14" s="3"/>
      <c r="M14" s="3"/>
      <c r="N14" s="145"/>
      <c r="O14" s="3"/>
      <c r="P14" s="3"/>
      <c r="Q14" s="145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4.25" x14ac:dyDescent="0.2">
      <c r="A15" s="110">
        <f>Listado!A17</f>
        <v>14</v>
      </c>
      <c r="B15" s="110" t="str">
        <f>Listado!B17</f>
        <v>López Pachón</v>
      </c>
      <c r="C15" s="110" t="str">
        <f>Listado!C17</f>
        <v xml:space="preserve">José Antonio </v>
      </c>
      <c r="D15" s="3"/>
      <c r="E15" s="3"/>
      <c r="F15" s="3"/>
      <c r="G15" s="18"/>
      <c r="H15" s="144"/>
      <c r="I15" s="3"/>
      <c r="J15" s="3"/>
      <c r="K15" s="145"/>
      <c r="L15" s="3"/>
      <c r="M15" s="3"/>
      <c r="N15" s="145"/>
      <c r="O15" s="3"/>
      <c r="P15" s="3"/>
      <c r="Q15" s="145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4.25" x14ac:dyDescent="0.2">
      <c r="A16" s="110">
        <f>Listado!A18</f>
        <v>15</v>
      </c>
      <c r="B16" s="110" t="str">
        <f>Listado!B18</f>
        <v>Miguel Tolosana</v>
      </c>
      <c r="C16" s="110" t="str">
        <f>Listado!C18</f>
        <v>María</v>
      </c>
      <c r="D16" s="3"/>
      <c r="E16" s="3"/>
      <c r="F16" s="3"/>
      <c r="G16" s="18"/>
      <c r="H16" s="144"/>
      <c r="I16" s="3"/>
      <c r="J16" s="3"/>
      <c r="K16" s="145"/>
      <c r="L16" s="3"/>
      <c r="M16" s="3"/>
      <c r="N16" s="145"/>
      <c r="O16" s="3"/>
      <c r="P16" s="3"/>
      <c r="Q16" s="14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4.25" x14ac:dyDescent="0.2">
      <c r="A17" s="110">
        <f>Listado!A19</f>
        <v>16</v>
      </c>
      <c r="B17" s="110" t="str">
        <f>Listado!B19</f>
        <v>Navarro Fernández</v>
      </c>
      <c r="C17" s="110" t="str">
        <f>Listado!C19</f>
        <v>Alejandro</v>
      </c>
      <c r="D17" s="3"/>
      <c r="E17" s="3"/>
      <c r="F17" s="3"/>
      <c r="G17" s="3"/>
      <c r="H17" s="144"/>
      <c r="I17" s="3"/>
      <c r="J17" s="3"/>
      <c r="K17" s="145"/>
      <c r="L17" s="3"/>
      <c r="M17" s="3"/>
      <c r="N17" s="145"/>
      <c r="O17" s="3"/>
      <c r="P17" s="3"/>
      <c r="Q17" s="145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4.25" x14ac:dyDescent="0.2">
      <c r="A18" s="110">
        <f>Listado!A20</f>
        <v>17</v>
      </c>
      <c r="B18" s="110" t="str">
        <f>Listado!B20</f>
        <v>Ordóñez Rimacuna</v>
      </c>
      <c r="C18" s="110" t="str">
        <f>Listado!C20</f>
        <v>Julio Alejandro</v>
      </c>
      <c r="D18" s="3"/>
      <c r="E18" s="3"/>
      <c r="F18" s="3"/>
      <c r="G18" s="18"/>
      <c r="H18" s="144"/>
      <c r="I18" s="3"/>
      <c r="J18" s="3"/>
      <c r="K18" s="145"/>
      <c r="L18" s="3"/>
      <c r="M18" s="3"/>
      <c r="N18" s="145"/>
      <c r="O18" s="3"/>
      <c r="P18" s="3"/>
      <c r="Q18" s="145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4.25" x14ac:dyDescent="0.2">
      <c r="A19" s="110">
        <f>Listado!A21</f>
        <v>18</v>
      </c>
      <c r="B19" s="110" t="str">
        <f>Listado!B21</f>
        <v>Pedroche Pérez</v>
      </c>
      <c r="C19" s="110" t="str">
        <f>Listado!C21</f>
        <v>Marcos</v>
      </c>
      <c r="D19" s="3"/>
      <c r="E19" s="3"/>
      <c r="F19" s="3"/>
      <c r="G19" s="18"/>
      <c r="H19" s="144"/>
      <c r="I19" s="3"/>
      <c r="J19" s="3"/>
      <c r="K19" s="145"/>
      <c r="L19" s="3"/>
      <c r="M19" s="3"/>
      <c r="N19" s="145"/>
      <c r="O19" s="3"/>
      <c r="P19" s="3"/>
      <c r="Q19" s="145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4.25" x14ac:dyDescent="0.2">
      <c r="A20" s="110">
        <f>Listado!A22</f>
        <v>19</v>
      </c>
      <c r="B20" s="110" t="str">
        <f>Listado!B22</f>
        <v xml:space="preserve">Pérez Gregorio </v>
      </c>
      <c r="C20" s="110" t="str">
        <f>Listado!C22</f>
        <v xml:space="preserve">Diego </v>
      </c>
      <c r="D20" s="3"/>
      <c r="E20" s="3"/>
      <c r="F20" s="3"/>
      <c r="G20" s="18"/>
      <c r="H20" s="144"/>
      <c r="I20" s="3"/>
      <c r="J20" s="3"/>
      <c r="K20" s="145"/>
      <c r="L20" s="3"/>
      <c r="M20" s="3"/>
      <c r="N20" s="145"/>
      <c r="O20" s="3"/>
      <c r="P20" s="3"/>
      <c r="Q20" s="145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4.25" x14ac:dyDescent="0.2">
      <c r="A21" s="110">
        <f>Listado!A23</f>
        <v>20</v>
      </c>
      <c r="B21" s="110" t="str">
        <f>Listado!B23</f>
        <v>Pinto Díaz</v>
      </c>
      <c r="C21" s="110" t="str">
        <f>Listado!C23</f>
        <v>Ángel</v>
      </c>
      <c r="D21" s="3"/>
      <c r="E21" s="3"/>
      <c r="F21" s="3"/>
      <c r="G21" s="18"/>
      <c r="H21" s="144"/>
      <c r="I21" s="3"/>
      <c r="J21" s="3"/>
      <c r="K21" s="145"/>
      <c r="L21" s="3"/>
      <c r="M21" s="3"/>
      <c r="N21" s="145"/>
      <c r="O21" s="3"/>
      <c r="P21" s="3"/>
      <c r="Q21" s="145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4.25" x14ac:dyDescent="0.2">
      <c r="A22" s="110">
        <f>Listado!A24</f>
        <v>21</v>
      </c>
      <c r="B22" s="110" t="str">
        <f>Listado!B24</f>
        <v>Quirós Martín-Portugués</v>
      </c>
      <c r="C22" s="110" t="str">
        <f>Listado!C24</f>
        <v>Marta</v>
      </c>
      <c r="D22" s="3"/>
      <c r="E22" s="3"/>
      <c r="F22" s="3"/>
      <c r="G22" s="18"/>
      <c r="H22" s="144"/>
      <c r="I22" s="3"/>
      <c r="J22" s="3"/>
      <c r="K22" s="145"/>
      <c r="L22" s="3"/>
      <c r="M22" s="3"/>
      <c r="N22" s="145"/>
      <c r="O22" s="3"/>
      <c r="P22" s="3"/>
      <c r="Q22" s="145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4.25" x14ac:dyDescent="0.2">
      <c r="A23" s="110">
        <f>Listado!A25</f>
        <v>22</v>
      </c>
      <c r="B23" s="110" t="str">
        <f>Listado!B25</f>
        <v>Rodríguez Alonso</v>
      </c>
      <c r="C23" s="110" t="str">
        <f>Listado!C25</f>
        <v>Jorge</v>
      </c>
      <c r="D23" s="3"/>
      <c r="E23" s="3"/>
      <c r="F23" s="3"/>
      <c r="G23" s="18"/>
      <c r="H23" s="144"/>
      <c r="I23" s="3"/>
      <c r="J23" s="3"/>
      <c r="K23" s="145"/>
      <c r="L23" s="3"/>
      <c r="M23" s="3"/>
      <c r="N23" s="145"/>
      <c r="O23" s="3"/>
      <c r="P23" s="3"/>
      <c r="Q23" s="145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4.25" x14ac:dyDescent="0.2">
      <c r="A24" s="110">
        <f>Listado!A26</f>
        <v>23</v>
      </c>
      <c r="B24" s="110" t="str">
        <f>Listado!B26</f>
        <v>Rodríguez-Rey Prieto</v>
      </c>
      <c r="C24" s="110" t="str">
        <f>Listado!C26</f>
        <v>Alberto</v>
      </c>
      <c r="D24" s="3"/>
      <c r="E24" s="3"/>
      <c r="F24" s="3"/>
      <c r="G24" s="18"/>
      <c r="H24" s="144"/>
      <c r="I24" s="3"/>
      <c r="J24" s="3"/>
      <c r="K24" s="145"/>
      <c r="L24" s="3"/>
      <c r="M24" s="3"/>
      <c r="N24" s="145"/>
      <c r="O24" s="3"/>
      <c r="P24" s="3"/>
      <c r="Q24" s="145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4.25" x14ac:dyDescent="0.2">
      <c r="A25" s="110">
        <f>Listado!A27</f>
        <v>24</v>
      </c>
      <c r="B25" s="110" t="str">
        <f>Listado!B27</f>
        <v>Ruiz García</v>
      </c>
      <c r="C25" s="110" t="str">
        <f>Listado!C27</f>
        <v>Alejandro</v>
      </c>
      <c r="D25" s="3"/>
      <c r="E25" s="3"/>
      <c r="F25" s="3"/>
      <c r="G25" s="18"/>
      <c r="H25" s="144"/>
      <c r="I25" s="3"/>
      <c r="J25" s="3"/>
      <c r="K25" s="145"/>
      <c r="L25" s="3"/>
      <c r="M25" s="3"/>
      <c r="N25" s="145"/>
      <c r="O25" s="3"/>
      <c r="P25" s="3"/>
      <c r="Q25" s="145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4.25" x14ac:dyDescent="0.2">
      <c r="A26" s="110">
        <f>Listado!A28</f>
        <v>25</v>
      </c>
      <c r="B26" s="110" t="str">
        <f>Listado!B28</f>
        <v>Solís Torrijos</v>
      </c>
      <c r="C26" s="110" t="str">
        <f>Listado!C28</f>
        <v>Juan</v>
      </c>
      <c r="D26" s="3"/>
      <c r="E26" s="3"/>
      <c r="F26" s="3"/>
      <c r="G26" s="18"/>
      <c r="H26" s="144"/>
      <c r="I26" s="3"/>
      <c r="J26" s="3"/>
      <c r="K26" s="145"/>
      <c r="L26" s="3"/>
      <c r="M26" s="3"/>
      <c r="N26" s="145"/>
      <c r="O26" s="3"/>
      <c r="P26" s="3"/>
      <c r="Q26" s="145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4.25" x14ac:dyDescent="0.2">
      <c r="A27" s="110">
        <f>Listado!A29</f>
        <v>26</v>
      </c>
      <c r="B27" s="110" t="str">
        <f>Listado!B29</f>
        <v>Vázquez Martínez</v>
      </c>
      <c r="C27" s="110" t="str">
        <f>Listado!C29</f>
        <v>Iván</v>
      </c>
      <c r="D27" s="3"/>
      <c r="E27" s="3"/>
      <c r="F27" s="3"/>
      <c r="G27" s="18"/>
      <c r="H27" s="144"/>
      <c r="I27" s="3"/>
      <c r="J27" s="3"/>
      <c r="K27" s="145"/>
      <c r="L27" s="3"/>
      <c r="M27" s="3"/>
      <c r="N27" s="145"/>
      <c r="O27" s="3"/>
      <c r="P27" s="3"/>
      <c r="Q27" s="145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</sheetData>
  <autoFilter ref="A1:AE20" xr:uid="{7F9BFE43-D164-4770-8CE3-FCC7152170CD}">
    <sortState xmlns:xlrd2="http://schemas.microsoft.com/office/spreadsheetml/2017/richdata2" ref="A2:AE20">
      <sortCondition ref="A1:A20"/>
    </sortState>
  </autoFilter>
  <conditionalFormatting sqref="H2:H27 K2:K27 Q2:Q27">
    <cfRule type="cellIs" dxfId="1" priority="3" operator="lessThan">
      <formula>5</formula>
    </cfRule>
  </conditionalFormatting>
  <conditionalFormatting sqref="N2:N27">
    <cfRule type="cellIs" dxfId="0" priority="1" operator="lessThan">
      <formula>700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E345-534A-4A7D-90B6-EEDA651B46CA}">
  <dimension ref="A1:K27"/>
  <sheetViews>
    <sheetView workbookViewId="0">
      <pane xSplit="3" topLeftCell="D1" activePane="topRight" state="frozen"/>
      <selection activeCell="A2" sqref="A2:A3"/>
      <selection pane="topRight" activeCell="G6" sqref="G6"/>
    </sheetView>
  </sheetViews>
  <sheetFormatPr baseColWidth="10" defaultColWidth="9.140625" defaultRowHeight="12.75" x14ac:dyDescent="0.2"/>
  <cols>
    <col min="1" max="1" width="3.5703125" bestFit="1" customWidth="1"/>
    <col min="2" max="2" width="22.42578125" bestFit="1" customWidth="1"/>
    <col min="3" max="3" width="19.140625" bestFit="1" customWidth="1"/>
    <col min="4" max="4" width="28.85546875" customWidth="1"/>
    <col min="5" max="5" width="21.28515625" customWidth="1"/>
    <col min="6" max="6" width="18.28515625" bestFit="1" customWidth="1"/>
    <col min="7" max="7" width="18.28515625" customWidth="1"/>
    <col min="8" max="8" width="17.42578125" bestFit="1" customWidth="1"/>
    <col min="9" max="9" width="18.28515625" customWidth="1"/>
    <col min="10" max="10" width="20" bestFit="1" customWidth="1"/>
    <col min="11" max="11" width="18.28515625" customWidth="1"/>
  </cols>
  <sheetData>
    <row r="1" spans="1:11" ht="15" x14ac:dyDescent="0.25">
      <c r="A1" s="11" t="s">
        <v>0</v>
      </c>
      <c r="B1" s="11" t="s">
        <v>1</v>
      </c>
      <c r="C1" s="11" t="s">
        <v>2</v>
      </c>
      <c r="D1" s="93" t="s">
        <v>16625</v>
      </c>
      <c r="E1" s="93" t="s">
        <v>16626</v>
      </c>
      <c r="F1" s="93" t="s">
        <v>16627</v>
      </c>
      <c r="G1" s="93"/>
      <c r="H1" s="93"/>
      <c r="I1" s="93"/>
      <c r="J1" s="93"/>
      <c r="K1" s="93"/>
    </row>
    <row r="2" spans="1:11" ht="15" customHeight="1" x14ac:dyDescent="0.25">
      <c r="A2" s="103">
        <f>Listado!A4</f>
        <v>1</v>
      </c>
      <c r="B2" s="103" t="str">
        <f>Listado!B4</f>
        <v>Alonso Mansilla</v>
      </c>
      <c r="C2" s="103" t="str">
        <f>Listado!C4</f>
        <v>Javier</v>
      </c>
      <c r="D2" s="111"/>
      <c r="E2" s="111"/>
      <c r="F2" s="111"/>
      <c r="G2" s="111"/>
      <c r="H2" s="111"/>
      <c r="I2" s="111"/>
      <c r="J2" s="111"/>
      <c r="K2" s="111"/>
    </row>
    <row r="3" spans="1:11" ht="15" customHeight="1" x14ac:dyDescent="0.25">
      <c r="A3" s="103">
        <f>Listado!A5</f>
        <v>2</v>
      </c>
      <c r="B3" s="103" t="str">
        <f>Listado!B5</f>
        <v>Barbacid Fernández</v>
      </c>
      <c r="C3" s="103" t="str">
        <f>Listado!C5</f>
        <v>Alberto</v>
      </c>
      <c r="D3" s="111"/>
      <c r="E3" s="111"/>
      <c r="F3" s="111"/>
      <c r="G3" s="111"/>
      <c r="H3" s="111"/>
      <c r="I3" s="111"/>
      <c r="J3" s="112"/>
      <c r="K3" s="111"/>
    </row>
    <row r="4" spans="1:11" ht="15" customHeight="1" x14ac:dyDescent="0.25">
      <c r="A4" s="103">
        <f>Listado!A6</f>
        <v>3</v>
      </c>
      <c r="B4" s="103" t="str">
        <f>Listado!B6</f>
        <v>Bayas Sarzosa</v>
      </c>
      <c r="C4" s="103" t="str">
        <f>Listado!C6</f>
        <v>Kevin</v>
      </c>
      <c r="D4" s="111"/>
      <c r="E4" s="111"/>
      <c r="F4" s="111"/>
      <c r="G4" s="111"/>
      <c r="H4" s="111"/>
      <c r="I4" s="111"/>
      <c r="J4" s="111"/>
      <c r="K4" s="111"/>
    </row>
    <row r="5" spans="1:11" ht="15" customHeight="1" x14ac:dyDescent="0.25">
      <c r="A5" s="103">
        <f>Listado!A7</f>
        <v>4</v>
      </c>
      <c r="B5" s="103" t="str">
        <f>Listado!B7</f>
        <v>Cánovas López</v>
      </c>
      <c r="C5" s="103" t="str">
        <f>Listado!C7</f>
        <v>Alejandro</v>
      </c>
      <c r="D5" s="111"/>
      <c r="E5" s="111"/>
      <c r="F5" s="111"/>
      <c r="G5" s="111"/>
      <c r="H5" s="111"/>
      <c r="I5" s="111"/>
      <c r="J5" s="111"/>
      <c r="K5" s="111"/>
    </row>
    <row r="6" spans="1:11" ht="15" customHeight="1" x14ac:dyDescent="0.25">
      <c r="A6" s="103">
        <f>Listado!A8</f>
        <v>5</v>
      </c>
      <c r="B6" s="103" t="str">
        <f>Listado!B8</f>
        <v>Cardona Hernández</v>
      </c>
      <c r="C6" s="103" t="str">
        <f>Listado!C8</f>
        <v>Diego</v>
      </c>
      <c r="D6" s="111"/>
      <c r="E6" s="111"/>
      <c r="F6" s="111"/>
      <c r="G6" s="111"/>
      <c r="H6" s="111"/>
      <c r="I6" s="111"/>
      <c r="J6" s="112"/>
      <c r="K6" s="111"/>
    </row>
    <row r="7" spans="1:11" ht="15" customHeight="1" x14ac:dyDescent="0.25">
      <c r="A7" s="103">
        <f>Listado!A9</f>
        <v>6</v>
      </c>
      <c r="B7" s="103" t="str">
        <f>Listado!B9</f>
        <v>Casco Valero</v>
      </c>
      <c r="C7" s="103" t="str">
        <f>Listado!C9</f>
        <v>Álvaro</v>
      </c>
      <c r="D7" s="111"/>
      <c r="E7" s="111"/>
      <c r="F7" s="111"/>
      <c r="G7" s="111"/>
      <c r="H7" s="111"/>
      <c r="I7" s="111"/>
      <c r="J7" s="111"/>
      <c r="K7" s="111"/>
    </row>
    <row r="8" spans="1:11" ht="15" customHeight="1" x14ac:dyDescent="0.25">
      <c r="A8" s="103">
        <f>Listado!A10</f>
        <v>7</v>
      </c>
      <c r="B8" s="103" t="str">
        <f>Listado!B10</f>
        <v>Cobo Marcos</v>
      </c>
      <c r="C8" s="103" t="str">
        <f>Listado!C10</f>
        <v>Alejandro</v>
      </c>
      <c r="D8" s="111"/>
      <c r="E8" s="111"/>
      <c r="F8" s="111"/>
      <c r="G8" s="111"/>
      <c r="H8" s="111"/>
      <c r="I8" s="111"/>
      <c r="J8" s="111"/>
      <c r="K8" s="111"/>
    </row>
    <row r="9" spans="1:11" ht="15" customHeight="1" x14ac:dyDescent="0.25">
      <c r="A9" s="103">
        <f>Listado!A11</f>
        <v>8</v>
      </c>
      <c r="B9" s="103" t="str">
        <f>Listado!B11</f>
        <v>Galán Castro</v>
      </c>
      <c r="C9" s="103" t="str">
        <f>Listado!C11</f>
        <v>Asil</v>
      </c>
      <c r="D9" s="111"/>
      <c r="E9" s="111"/>
      <c r="F9" s="111"/>
      <c r="G9" s="111"/>
      <c r="H9" s="111"/>
      <c r="I9" s="111"/>
      <c r="J9" s="112"/>
      <c r="K9" s="111"/>
    </row>
    <row r="10" spans="1:11" ht="15" customHeight="1" x14ac:dyDescent="0.25">
      <c r="A10" s="103">
        <f>Listado!A12</f>
        <v>9</v>
      </c>
      <c r="B10" s="103" t="str">
        <f>Listado!B12</f>
        <v>García Martín</v>
      </c>
      <c r="C10" s="103" t="str">
        <f>Listado!C12</f>
        <v>Alonso</v>
      </c>
      <c r="D10" s="111"/>
      <c r="E10" s="111"/>
      <c r="F10" s="111"/>
      <c r="G10" s="111"/>
      <c r="H10" s="111"/>
      <c r="I10" s="111"/>
      <c r="J10" s="111"/>
      <c r="K10" s="111"/>
    </row>
    <row r="11" spans="1:11" ht="15" customHeight="1" x14ac:dyDescent="0.25">
      <c r="A11" s="103">
        <f>Listado!A13</f>
        <v>10</v>
      </c>
      <c r="B11" s="103" t="str">
        <f>Listado!B13</f>
        <v>García Muñoz</v>
      </c>
      <c r="C11" s="103" t="str">
        <f>Listado!C13</f>
        <v>Raúl</v>
      </c>
      <c r="D11" s="111"/>
      <c r="E11" s="111"/>
      <c r="F11" s="111"/>
      <c r="G11" s="111"/>
      <c r="H11" s="111"/>
      <c r="I11" s="111"/>
      <c r="J11" s="111"/>
      <c r="K11" s="111"/>
    </row>
    <row r="12" spans="1:11" ht="15" customHeight="1" x14ac:dyDescent="0.25">
      <c r="A12" s="103">
        <f>Listado!A14</f>
        <v>11</v>
      </c>
      <c r="B12" s="103" t="str">
        <f>Listado!B14</f>
        <v>Gil Fuertes</v>
      </c>
      <c r="C12" s="103" t="str">
        <f>Listado!C14</f>
        <v>Héctor</v>
      </c>
      <c r="D12" s="111"/>
      <c r="E12" s="111"/>
      <c r="F12" s="111"/>
      <c r="G12" s="111"/>
      <c r="H12" s="111"/>
      <c r="I12" s="111"/>
      <c r="J12" s="111"/>
      <c r="K12" s="111"/>
    </row>
    <row r="13" spans="1:11" ht="15" customHeight="1" x14ac:dyDescent="0.25">
      <c r="A13" s="103">
        <f>Listado!A15</f>
        <v>12</v>
      </c>
      <c r="B13" s="103" t="str">
        <f>Listado!B15</f>
        <v>Gonzalo Lucas</v>
      </c>
      <c r="C13" s="103" t="str">
        <f>Listado!C15</f>
        <v>Pablo</v>
      </c>
      <c r="D13" s="111"/>
      <c r="E13" s="111"/>
      <c r="F13" s="111"/>
      <c r="G13" s="111"/>
      <c r="H13" s="111"/>
      <c r="I13" s="111"/>
      <c r="J13" s="112"/>
      <c r="K13" s="111"/>
    </row>
    <row r="14" spans="1:11" ht="15" customHeight="1" x14ac:dyDescent="0.25">
      <c r="A14" s="103">
        <f>Listado!A16</f>
        <v>13</v>
      </c>
      <c r="B14" s="103" t="str">
        <f>Listado!B16</f>
        <v xml:space="preserve">Jacek </v>
      </c>
      <c r="C14" s="103" t="str">
        <f>Listado!C16</f>
        <v>Adrian</v>
      </c>
      <c r="D14" s="111"/>
      <c r="E14" s="111"/>
      <c r="F14" s="111"/>
      <c r="G14" s="111"/>
      <c r="H14" s="111"/>
      <c r="I14" s="111"/>
      <c r="J14" s="111"/>
      <c r="K14" s="111"/>
    </row>
    <row r="15" spans="1:11" ht="15" customHeight="1" x14ac:dyDescent="0.25">
      <c r="A15" s="103">
        <f>Listado!A17</f>
        <v>14</v>
      </c>
      <c r="B15" s="103" t="str">
        <f>Listado!B17</f>
        <v>López Pachón</v>
      </c>
      <c r="C15" s="103" t="str">
        <f>Listado!C17</f>
        <v xml:space="preserve">José Antonio </v>
      </c>
      <c r="D15" s="111"/>
      <c r="E15" s="111"/>
      <c r="F15" s="111"/>
      <c r="G15" s="111"/>
      <c r="H15" s="111"/>
      <c r="I15" s="111"/>
      <c r="J15" s="111"/>
      <c r="K15" s="111"/>
    </row>
    <row r="16" spans="1:11" ht="15" customHeight="1" x14ac:dyDescent="0.25">
      <c r="A16" s="103">
        <f>Listado!A18</f>
        <v>15</v>
      </c>
      <c r="B16" s="103" t="str">
        <f>Listado!B18</f>
        <v>Miguel Tolosana</v>
      </c>
      <c r="C16" s="103" t="str">
        <f>Listado!C18</f>
        <v>María</v>
      </c>
      <c r="D16" s="111"/>
      <c r="E16" s="111"/>
      <c r="F16" s="111"/>
      <c r="G16" s="111"/>
      <c r="H16" s="111"/>
      <c r="I16" s="111"/>
      <c r="J16" s="111"/>
      <c r="K16" s="111"/>
    </row>
    <row r="17" spans="1:11" ht="15" customHeight="1" x14ac:dyDescent="0.25">
      <c r="A17" s="103">
        <f>Listado!A19</f>
        <v>16</v>
      </c>
      <c r="B17" s="103" t="str">
        <f>Listado!B19</f>
        <v>Navarro Fernández</v>
      </c>
      <c r="C17" s="103" t="str">
        <f>Listado!C19</f>
        <v>Alejandro</v>
      </c>
      <c r="D17" s="111"/>
      <c r="E17" s="111"/>
      <c r="F17" s="111"/>
      <c r="G17" s="111"/>
      <c r="H17" s="111"/>
      <c r="I17" s="111"/>
      <c r="J17" s="112"/>
      <c r="K17" s="111"/>
    </row>
    <row r="18" spans="1:11" ht="15" x14ac:dyDescent="0.25">
      <c r="A18" s="103">
        <f>Listado!A20</f>
        <v>17</v>
      </c>
      <c r="B18" s="103" t="str">
        <f>Listado!B20</f>
        <v>Ordóñez Rimacuna</v>
      </c>
      <c r="C18" s="103" t="str">
        <f>Listado!C20</f>
        <v>Julio Alejandro</v>
      </c>
      <c r="D18" s="111"/>
      <c r="E18" s="111"/>
      <c r="F18" s="111"/>
      <c r="G18" s="111"/>
      <c r="H18" s="111"/>
      <c r="I18" s="111"/>
      <c r="J18" s="111"/>
      <c r="K18" s="111"/>
    </row>
    <row r="19" spans="1:11" ht="15" x14ac:dyDescent="0.25">
      <c r="A19" s="103">
        <f>Listado!A21</f>
        <v>18</v>
      </c>
      <c r="B19" s="103" t="str">
        <f>Listado!B21</f>
        <v>Pedroche Pérez</v>
      </c>
      <c r="C19" s="103" t="str">
        <f>Listado!C21</f>
        <v>Marcos</v>
      </c>
      <c r="D19" s="111"/>
      <c r="E19" s="111"/>
      <c r="F19" s="111"/>
      <c r="G19" s="111"/>
      <c r="H19" s="111"/>
      <c r="I19" s="111"/>
      <c r="J19" s="111"/>
      <c r="K19" s="111"/>
    </row>
    <row r="20" spans="1:11" ht="15" x14ac:dyDescent="0.25">
      <c r="A20" s="103">
        <f>Listado!A22</f>
        <v>19</v>
      </c>
      <c r="B20" s="103" t="str">
        <f>Listado!B22</f>
        <v xml:space="preserve">Pérez Gregorio </v>
      </c>
      <c r="C20" s="103" t="str">
        <f>Listado!C22</f>
        <v xml:space="preserve">Diego </v>
      </c>
      <c r="D20" s="111"/>
      <c r="E20" s="111"/>
      <c r="F20" s="111"/>
      <c r="G20" s="111"/>
      <c r="H20" s="111"/>
      <c r="I20" s="111"/>
      <c r="J20" s="111"/>
      <c r="K20" s="111"/>
    </row>
    <row r="21" spans="1:11" ht="15" x14ac:dyDescent="0.25">
      <c r="A21" s="103">
        <f>Listado!A23</f>
        <v>20</v>
      </c>
      <c r="B21" s="103" t="str">
        <f>Listado!B23</f>
        <v>Pinto Díaz</v>
      </c>
      <c r="C21" s="103" t="str">
        <f>Listado!C23</f>
        <v>Ángel</v>
      </c>
      <c r="D21" s="111"/>
      <c r="E21" s="111"/>
      <c r="F21" s="111"/>
      <c r="G21" s="111"/>
      <c r="H21" s="111"/>
      <c r="I21" s="111"/>
      <c r="J21" s="112"/>
      <c r="K21" s="111"/>
    </row>
    <row r="22" spans="1:11" ht="15" x14ac:dyDescent="0.25">
      <c r="A22" s="103">
        <f>Listado!A24</f>
        <v>21</v>
      </c>
      <c r="B22" s="103" t="str">
        <f>Listado!B24</f>
        <v>Quirós Martín-Portugués</v>
      </c>
      <c r="C22" s="103" t="str">
        <f>Listado!C24</f>
        <v>Marta</v>
      </c>
      <c r="D22" s="111"/>
      <c r="E22" s="111"/>
      <c r="F22" s="111"/>
      <c r="G22" s="111"/>
      <c r="H22" s="111"/>
      <c r="I22" s="111"/>
      <c r="J22" s="111"/>
      <c r="K22" s="111"/>
    </row>
    <row r="23" spans="1:11" ht="15" x14ac:dyDescent="0.25">
      <c r="A23" s="103">
        <f>Listado!A25</f>
        <v>22</v>
      </c>
      <c r="B23" s="103" t="str">
        <f>Listado!B25</f>
        <v>Rodríguez Alonso</v>
      </c>
      <c r="C23" s="103" t="str">
        <f>Listado!C25</f>
        <v>Jorge</v>
      </c>
      <c r="D23" s="111"/>
      <c r="E23" s="111"/>
      <c r="F23" s="111"/>
      <c r="G23" s="111"/>
      <c r="H23" s="111"/>
      <c r="I23" s="111"/>
      <c r="J23" s="111"/>
      <c r="K23" s="111"/>
    </row>
    <row r="24" spans="1:11" ht="15" x14ac:dyDescent="0.25">
      <c r="A24" s="103">
        <f>Listado!A26</f>
        <v>23</v>
      </c>
      <c r="B24" s="103" t="str">
        <f>Listado!B26</f>
        <v>Rodríguez-Rey Prieto</v>
      </c>
      <c r="C24" s="103" t="str">
        <f>Listado!C26</f>
        <v>Alberto</v>
      </c>
      <c r="D24" s="111"/>
      <c r="E24" s="111"/>
      <c r="F24" s="111"/>
      <c r="G24" s="111"/>
      <c r="H24" s="111"/>
      <c r="I24" s="111"/>
      <c r="J24" s="112"/>
      <c r="K24" s="111"/>
    </row>
    <row r="25" spans="1:11" ht="15" x14ac:dyDescent="0.25">
      <c r="A25" s="103">
        <f>Listado!A27</f>
        <v>24</v>
      </c>
      <c r="B25" s="103" t="str">
        <f>Listado!B27</f>
        <v>Ruiz García</v>
      </c>
      <c r="C25" s="103" t="str">
        <f>Listado!C27</f>
        <v>Alejandro</v>
      </c>
      <c r="D25" s="111"/>
      <c r="E25" s="111"/>
      <c r="F25" s="111"/>
      <c r="G25" s="111"/>
      <c r="H25" s="111"/>
      <c r="I25" s="111"/>
      <c r="J25" s="111"/>
      <c r="K25" s="111"/>
    </row>
    <row r="26" spans="1:11" ht="15" x14ac:dyDescent="0.25">
      <c r="A26" s="103">
        <f>Listado!A28</f>
        <v>25</v>
      </c>
      <c r="B26" s="103" t="str">
        <f>Listado!B28</f>
        <v>Solís Torrijos</v>
      </c>
      <c r="C26" s="103" t="str">
        <f>Listado!C28</f>
        <v>Juan</v>
      </c>
      <c r="D26" s="111"/>
      <c r="E26" s="111"/>
      <c r="F26" s="111"/>
      <c r="G26" s="111"/>
      <c r="H26" s="111"/>
      <c r="I26" s="111"/>
      <c r="J26" s="111"/>
      <c r="K26" s="111"/>
    </row>
    <row r="27" spans="1:11" ht="15" x14ac:dyDescent="0.25">
      <c r="A27" s="103">
        <f>Listado!A29</f>
        <v>26</v>
      </c>
      <c r="B27" s="103" t="str">
        <f>Listado!B29</f>
        <v>Vázquez Martínez</v>
      </c>
      <c r="C27" s="103" t="str">
        <f>Listado!C29</f>
        <v>Iván</v>
      </c>
      <c r="D27" s="111"/>
      <c r="E27" s="111"/>
      <c r="F27" s="111"/>
      <c r="G27" s="111"/>
      <c r="H27" s="111"/>
      <c r="I27" s="111"/>
      <c r="J27" s="111"/>
      <c r="K27" s="111"/>
    </row>
  </sheetData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693C-55D9-45D1-B915-872AFC438D3B}">
  <dimension ref="A1:K35"/>
  <sheetViews>
    <sheetView workbookViewId="0">
      <pane xSplit="3" ySplit="1" topLeftCell="D2" activePane="bottomRight" state="frozen"/>
      <selection pane="topRight"/>
      <selection pane="bottomLeft"/>
      <selection pane="bottomRight" activeCell="C17" sqref="C17"/>
    </sheetView>
  </sheetViews>
  <sheetFormatPr baseColWidth="10" defaultColWidth="23.28515625" defaultRowHeight="12.75" x14ac:dyDescent="0.2"/>
  <cols>
    <col min="1" max="1" width="4.5703125" style="53" customWidth="1"/>
    <col min="2" max="10" width="23.28515625" style="53"/>
    <col min="11" max="11" width="58.85546875" style="53" customWidth="1"/>
    <col min="12" max="16384" width="23.28515625" style="53"/>
  </cols>
  <sheetData>
    <row r="1" spans="1:11" ht="53.25" customHeight="1" x14ac:dyDescent="0.2">
      <c r="A1" s="94" t="s">
        <v>0</v>
      </c>
      <c r="B1" s="95" t="s">
        <v>1</v>
      </c>
      <c r="C1" s="96" t="s">
        <v>2</v>
      </c>
      <c r="D1" s="84" t="s">
        <v>3</v>
      </c>
      <c r="E1" s="106" t="s">
        <v>4</v>
      </c>
      <c r="F1" s="84" t="s">
        <v>5</v>
      </c>
      <c r="G1" s="84" t="s">
        <v>6</v>
      </c>
      <c r="H1" s="109" t="s">
        <v>7</v>
      </c>
      <c r="I1" s="109" t="s">
        <v>8</v>
      </c>
      <c r="J1" s="84" t="s">
        <v>9</v>
      </c>
      <c r="K1" s="109" t="s">
        <v>16628</v>
      </c>
    </row>
    <row r="2" spans="1:11" ht="14.25" x14ac:dyDescent="0.2">
      <c r="A2" s="103">
        <f>Listado!A4</f>
        <v>1</v>
      </c>
      <c r="B2" s="103" t="str">
        <f>Listado!B4</f>
        <v>Alonso Mansilla</v>
      </c>
      <c r="C2" s="103" t="str">
        <f>Listado!C4</f>
        <v>Javier</v>
      </c>
      <c r="D2" s="85"/>
      <c r="E2" s="85"/>
      <c r="F2" s="85"/>
      <c r="G2" s="60"/>
      <c r="H2" s="85"/>
      <c r="I2" s="85"/>
      <c r="J2" s="60"/>
      <c r="K2" s="85"/>
    </row>
    <row r="3" spans="1:11" ht="14.25" x14ac:dyDescent="0.2">
      <c r="A3" s="103" t="e">
        <f>Listado!#REF!</f>
        <v>#REF!</v>
      </c>
      <c r="B3" s="103" t="e">
        <f>Listado!#REF!</f>
        <v>#REF!</v>
      </c>
      <c r="C3" s="103" t="e">
        <f>Listado!#REF!</f>
        <v>#REF!</v>
      </c>
      <c r="D3" s="85"/>
      <c r="E3" s="85"/>
      <c r="F3" s="85"/>
      <c r="G3" s="60"/>
      <c r="H3" s="85"/>
      <c r="I3" s="85"/>
      <c r="J3" s="60"/>
      <c r="K3" s="85"/>
    </row>
    <row r="4" spans="1:11" ht="14.25" x14ac:dyDescent="0.2">
      <c r="A4" s="103">
        <f>Listado!A5</f>
        <v>2</v>
      </c>
      <c r="B4" s="103" t="str">
        <f>Listado!B5</f>
        <v>Barbacid Fernández</v>
      </c>
      <c r="C4" s="103" t="str">
        <f>Listado!C5</f>
        <v>Alberto</v>
      </c>
      <c r="D4" s="85"/>
      <c r="E4" s="85"/>
      <c r="F4" s="85"/>
      <c r="G4" s="60"/>
      <c r="H4" s="85"/>
      <c r="I4" s="85"/>
      <c r="J4" s="60"/>
      <c r="K4" s="85"/>
    </row>
    <row r="5" spans="1:11" ht="14.25" x14ac:dyDescent="0.2">
      <c r="A5" s="103">
        <f>Listado!A6</f>
        <v>3</v>
      </c>
      <c r="B5" s="103" t="str">
        <f>Listado!B6</f>
        <v>Bayas Sarzosa</v>
      </c>
      <c r="C5" s="103" t="str">
        <f>Listado!C6</f>
        <v>Kevin</v>
      </c>
      <c r="D5" s="85"/>
      <c r="E5" s="85"/>
      <c r="F5" s="85"/>
      <c r="G5" s="60"/>
      <c r="H5" s="85"/>
      <c r="I5" s="85"/>
      <c r="J5" s="60"/>
      <c r="K5" s="85"/>
    </row>
    <row r="6" spans="1:11" ht="14.25" x14ac:dyDescent="0.2">
      <c r="A6" s="103">
        <f>Listado!A7</f>
        <v>4</v>
      </c>
      <c r="B6" s="103" t="str">
        <f>Listado!B7</f>
        <v>Cánovas López</v>
      </c>
      <c r="C6" s="103" t="str">
        <f>Listado!C7</f>
        <v>Alejandro</v>
      </c>
      <c r="D6" s="85"/>
      <c r="E6" s="85"/>
      <c r="F6" s="85"/>
      <c r="G6" s="60"/>
      <c r="H6" s="85"/>
      <c r="I6" s="85"/>
      <c r="J6" s="60"/>
      <c r="K6" s="85"/>
    </row>
    <row r="7" spans="1:11" ht="14.25" x14ac:dyDescent="0.2">
      <c r="A7" s="103" t="e">
        <f>Listado!#REF!</f>
        <v>#REF!</v>
      </c>
      <c r="B7" s="103" t="e">
        <f>Listado!#REF!</f>
        <v>#REF!</v>
      </c>
      <c r="C7" s="103" t="e">
        <f>Listado!#REF!</f>
        <v>#REF!</v>
      </c>
      <c r="D7" s="85"/>
      <c r="E7" s="85"/>
      <c r="F7" s="85"/>
      <c r="G7" s="85"/>
      <c r="H7" s="85"/>
      <c r="I7" s="85"/>
      <c r="J7" s="85"/>
      <c r="K7" s="85"/>
    </row>
    <row r="8" spans="1:11" ht="14.25" x14ac:dyDescent="0.2">
      <c r="A8" s="103">
        <f>Listado!A8</f>
        <v>5</v>
      </c>
      <c r="B8" s="103" t="str">
        <f>Listado!B8</f>
        <v>Cardona Hernández</v>
      </c>
      <c r="C8" s="103" t="str">
        <f>Listado!C8</f>
        <v>Diego</v>
      </c>
      <c r="D8" s="85"/>
      <c r="E8" s="85"/>
      <c r="F8" s="85"/>
      <c r="G8" s="85"/>
      <c r="H8" s="85"/>
      <c r="I8" s="85"/>
      <c r="J8" s="85"/>
      <c r="K8" s="85"/>
    </row>
    <row r="9" spans="1:11" ht="14.25" x14ac:dyDescent="0.2">
      <c r="A9" s="103">
        <f>Listado!A9</f>
        <v>6</v>
      </c>
      <c r="B9" s="103" t="str">
        <f>Listado!B9</f>
        <v>Casco Valero</v>
      </c>
      <c r="C9" s="103" t="str">
        <f>Listado!C9</f>
        <v>Álvaro</v>
      </c>
      <c r="D9" s="85"/>
      <c r="E9" s="85"/>
      <c r="F9" s="85"/>
      <c r="G9" s="85"/>
      <c r="H9" s="85"/>
      <c r="I9" s="85"/>
      <c r="J9" s="85"/>
      <c r="K9" s="60"/>
    </row>
    <row r="10" spans="1:11" ht="14.25" x14ac:dyDescent="0.2">
      <c r="A10" s="103">
        <f>Listado!A10</f>
        <v>7</v>
      </c>
      <c r="B10" s="103" t="str">
        <f>Listado!B10</f>
        <v>Cobo Marcos</v>
      </c>
      <c r="C10" s="103" t="str">
        <f>Listado!C10</f>
        <v>Alejandro</v>
      </c>
      <c r="D10" s="85"/>
      <c r="E10" s="85"/>
      <c r="F10" s="85"/>
      <c r="G10" s="85"/>
      <c r="H10" s="85"/>
      <c r="I10" s="85"/>
      <c r="J10" s="85"/>
      <c r="K10" s="85"/>
    </row>
    <row r="11" spans="1:11" ht="14.25" x14ac:dyDescent="0.2">
      <c r="A11" s="103" t="e">
        <f>Listado!#REF!</f>
        <v>#REF!</v>
      </c>
      <c r="B11" s="103" t="e">
        <f>Listado!#REF!</f>
        <v>#REF!</v>
      </c>
      <c r="C11" s="103" t="e">
        <f>Listado!#REF!</f>
        <v>#REF!</v>
      </c>
      <c r="D11" s="85"/>
      <c r="E11" s="85"/>
      <c r="F11" s="85"/>
      <c r="G11" s="85"/>
      <c r="H11" s="85"/>
      <c r="I11" s="85"/>
      <c r="J11" s="85"/>
      <c r="K11" s="60"/>
    </row>
    <row r="12" spans="1:11" ht="14.25" x14ac:dyDescent="0.2">
      <c r="A12" s="103">
        <f>Listado!A11</f>
        <v>8</v>
      </c>
      <c r="B12" s="103" t="str">
        <f>Listado!B11</f>
        <v>Galán Castro</v>
      </c>
      <c r="C12" s="103" t="str">
        <f>Listado!C11</f>
        <v>Asil</v>
      </c>
      <c r="D12" s="60"/>
      <c r="E12" s="60"/>
      <c r="F12" s="60"/>
      <c r="G12" s="60"/>
      <c r="H12" s="85"/>
      <c r="I12" s="85"/>
      <c r="J12" s="60"/>
      <c r="K12" s="85"/>
    </row>
    <row r="13" spans="1:11" ht="14.25" x14ac:dyDescent="0.2">
      <c r="A13" s="103">
        <f>Listado!A12</f>
        <v>9</v>
      </c>
      <c r="B13" s="103" t="str">
        <f>Listado!B12</f>
        <v>García Martín</v>
      </c>
      <c r="C13" s="103" t="str">
        <f>Listado!C12</f>
        <v>Alonso</v>
      </c>
      <c r="D13" s="85"/>
      <c r="E13" s="85"/>
      <c r="F13" s="85"/>
      <c r="G13" s="60"/>
      <c r="H13" s="85"/>
      <c r="I13" s="85"/>
      <c r="J13" s="60"/>
      <c r="K13" s="85"/>
    </row>
    <row r="14" spans="1:11" ht="14.25" x14ac:dyDescent="0.2">
      <c r="A14" s="103">
        <f>Listado!A13</f>
        <v>10</v>
      </c>
      <c r="B14" s="103" t="str">
        <f>Listado!B13</f>
        <v>García Muñoz</v>
      </c>
      <c r="C14" s="103" t="str">
        <f>Listado!C13</f>
        <v>Raúl</v>
      </c>
      <c r="D14" s="85"/>
      <c r="E14" s="85"/>
      <c r="F14" s="85"/>
      <c r="G14" s="60"/>
      <c r="H14" s="60"/>
      <c r="I14" s="60"/>
      <c r="J14" s="60"/>
      <c r="K14" s="85"/>
    </row>
    <row r="15" spans="1:11" ht="14.25" x14ac:dyDescent="0.2">
      <c r="A15" s="103">
        <f>Listado!A14</f>
        <v>11</v>
      </c>
      <c r="B15" s="103" t="str">
        <f>Listado!B14</f>
        <v>Gil Fuertes</v>
      </c>
      <c r="C15" s="103" t="str">
        <f>Listado!C14</f>
        <v>Héctor</v>
      </c>
      <c r="D15" s="85"/>
      <c r="E15" s="85"/>
      <c r="F15" s="85"/>
      <c r="G15" s="60"/>
      <c r="H15" s="60"/>
      <c r="I15" s="60"/>
      <c r="J15" s="60"/>
      <c r="K15" s="85"/>
    </row>
    <row r="16" spans="1:11" ht="14.25" x14ac:dyDescent="0.2">
      <c r="A16" s="103">
        <f>Listado!A15</f>
        <v>12</v>
      </c>
      <c r="B16" s="103" t="str">
        <f>Listado!B15</f>
        <v>Gonzalo Lucas</v>
      </c>
      <c r="C16" s="103" t="str">
        <f>Listado!C15</f>
        <v>Pablo</v>
      </c>
      <c r="D16" s="85"/>
      <c r="E16" s="85"/>
      <c r="F16" s="85"/>
      <c r="G16" s="60"/>
      <c r="H16" s="60"/>
      <c r="I16" s="60"/>
      <c r="J16" s="60"/>
      <c r="K16" s="85"/>
    </row>
    <row r="17" spans="1:11" ht="14.25" x14ac:dyDescent="0.2">
      <c r="A17" s="103">
        <f>Listado!A16</f>
        <v>13</v>
      </c>
      <c r="B17" s="103" t="str">
        <f>Listado!B16</f>
        <v xml:space="preserve">Jacek </v>
      </c>
      <c r="C17" s="103" t="str">
        <f>Listado!C16</f>
        <v>Adrian</v>
      </c>
      <c r="D17" s="85"/>
      <c r="E17" s="85"/>
      <c r="F17" s="85"/>
      <c r="G17" s="60"/>
      <c r="H17" s="60"/>
      <c r="I17" s="60"/>
      <c r="J17" s="60"/>
      <c r="K17" s="85"/>
    </row>
    <row r="18" spans="1:11" ht="14.25" x14ac:dyDescent="0.2">
      <c r="A18" s="103">
        <f>Listado!A17</f>
        <v>14</v>
      </c>
      <c r="B18" s="103" t="str">
        <f>Listado!B17</f>
        <v>López Pachón</v>
      </c>
      <c r="C18" s="103" t="str">
        <f>Listado!C17</f>
        <v xml:space="preserve">José Antonio </v>
      </c>
      <c r="D18" s="85"/>
      <c r="E18" s="85"/>
      <c r="F18" s="85"/>
      <c r="G18" s="60"/>
      <c r="H18" s="60"/>
      <c r="I18" s="60"/>
      <c r="J18" s="60"/>
      <c r="K18" s="85"/>
    </row>
    <row r="19" spans="1:11" ht="14.25" x14ac:dyDescent="0.2">
      <c r="A19" s="103">
        <f>Listado!A18</f>
        <v>15</v>
      </c>
      <c r="B19" s="103" t="str">
        <f>Listado!B18</f>
        <v>Miguel Tolosana</v>
      </c>
      <c r="C19" s="103" t="str">
        <f>Listado!C18</f>
        <v>María</v>
      </c>
      <c r="D19" s="85"/>
      <c r="E19" s="85"/>
      <c r="F19" s="85"/>
      <c r="G19" s="60"/>
      <c r="H19" s="60"/>
      <c r="I19" s="60"/>
      <c r="J19" s="60"/>
      <c r="K19" s="85"/>
    </row>
    <row r="20" spans="1:11" ht="14.25" x14ac:dyDescent="0.2">
      <c r="A20" s="103">
        <f>Listado!A19</f>
        <v>16</v>
      </c>
      <c r="B20" s="103" t="str">
        <f>Listado!B19</f>
        <v>Navarro Fernández</v>
      </c>
      <c r="C20" s="103" t="str">
        <f>Listado!C19</f>
        <v>Alejandro</v>
      </c>
      <c r="D20" s="85"/>
      <c r="E20" s="85"/>
      <c r="F20" s="85"/>
      <c r="G20" s="60"/>
      <c r="H20" s="60"/>
      <c r="I20" s="60"/>
      <c r="J20" s="60"/>
      <c r="K20" s="85"/>
    </row>
    <row r="21" spans="1:11" ht="14.25" x14ac:dyDescent="0.2">
      <c r="A21" s="103">
        <f>Listado!A20</f>
        <v>17</v>
      </c>
      <c r="B21" s="103" t="str">
        <f>Listado!B20</f>
        <v>Ordóñez Rimacuna</v>
      </c>
      <c r="C21" s="103" t="str">
        <f>Listado!C20</f>
        <v>Julio Alejandro</v>
      </c>
      <c r="D21" s="85"/>
      <c r="E21" s="85"/>
      <c r="F21" s="85"/>
      <c r="G21" s="60"/>
      <c r="H21" s="60"/>
      <c r="I21" s="60"/>
      <c r="J21" s="60"/>
      <c r="K21" s="85"/>
    </row>
    <row r="22" spans="1:11" ht="14.25" x14ac:dyDescent="0.2">
      <c r="A22" s="103">
        <f>Listado!A25</f>
        <v>22</v>
      </c>
      <c r="B22" s="103" t="str">
        <f>Listado!B25</f>
        <v>Rodríguez Alonso</v>
      </c>
      <c r="C22" s="103" t="str">
        <f>Listado!C25</f>
        <v>Jorge</v>
      </c>
      <c r="D22" s="85"/>
      <c r="E22" s="85"/>
      <c r="F22" s="85"/>
      <c r="G22" s="60"/>
      <c r="H22" s="60"/>
      <c r="I22" s="60"/>
      <c r="J22" s="60"/>
      <c r="K22" s="85"/>
    </row>
    <row r="23" spans="1:11" ht="14.25" x14ac:dyDescent="0.2">
      <c r="A23" s="103">
        <f>Listado!A26</f>
        <v>23</v>
      </c>
      <c r="B23" s="103" t="str">
        <f>Listado!B26</f>
        <v>Rodríguez-Rey Prieto</v>
      </c>
      <c r="C23" s="103" t="str">
        <f>Listado!C26</f>
        <v>Alberto</v>
      </c>
      <c r="D23" s="85"/>
      <c r="E23" s="85"/>
      <c r="F23" s="85"/>
      <c r="G23" s="60"/>
      <c r="H23" s="60"/>
      <c r="I23" s="60"/>
      <c r="J23" s="60"/>
      <c r="K23" s="85"/>
    </row>
    <row r="24" spans="1:11" ht="14.25" x14ac:dyDescent="0.2">
      <c r="A24" s="103">
        <f>Listado!A27</f>
        <v>24</v>
      </c>
      <c r="B24" s="103" t="str">
        <f>Listado!B27</f>
        <v>Ruiz García</v>
      </c>
      <c r="C24" s="103" t="str">
        <f>Listado!C27</f>
        <v>Alejandro</v>
      </c>
      <c r="D24" s="85"/>
      <c r="E24" s="85"/>
      <c r="F24" s="85"/>
      <c r="G24" s="60"/>
      <c r="H24" s="60"/>
      <c r="I24" s="60"/>
      <c r="J24" s="60"/>
      <c r="K24" s="85"/>
    </row>
    <row r="25" spans="1:11" ht="14.25" x14ac:dyDescent="0.2">
      <c r="A25" s="103">
        <f>Listado!A28</f>
        <v>25</v>
      </c>
      <c r="B25" s="103" t="str">
        <f>Listado!B28</f>
        <v>Solís Torrijos</v>
      </c>
      <c r="C25" s="103" t="str">
        <f>Listado!C28</f>
        <v>Juan</v>
      </c>
      <c r="D25" s="85"/>
      <c r="E25" s="85"/>
      <c r="F25" s="85"/>
      <c r="G25" s="60"/>
      <c r="H25" s="60"/>
      <c r="I25" s="60"/>
      <c r="J25" s="60"/>
      <c r="K25" s="85"/>
    </row>
    <row r="26" spans="1:11" ht="14.25" x14ac:dyDescent="0.2">
      <c r="A26" s="103">
        <f>Listado!A29</f>
        <v>26</v>
      </c>
      <c r="B26" s="103" t="str">
        <f>Listado!B29</f>
        <v>Vázquez Martínez</v>
      </c>
      <c r="C26" s="103" t="str">
        <f>Listado!C29</f>
        <v>Iván</v>
      </c>
      <c r="D26" s="85"/>
      <c r="E26" s="85"/>
      <c r="F26" s="85"/>
      <c r="G26" s="60"/>
      <c r="H26" s="60"/>
      <c r="I26" s="60"/>
      <c r="J26" s="60"/>
      <c r="K26" s="60"/>
    </row>
    <row r="27" spans="1:11" ht="14.25" x14ac:dyDescent="0.2">
      <c r="A27" s="98"/>
      <c r="B27" s="98"/>
      <c r="C27" s="98"/>
    </row>
    <row r="29" spans="1:11" x14ac:dyDescent="0.2">
      <c r="B29" s="153" t="s">
        <v>92</v>
      </c>
    </row>
    <row r="30" spans="1:11" x14ac:dyDescent="0.2">
      <c r="B30" s="153"/>
    </row>
    <row r="31" spans="1:11" x14ac:dyDescent="0.2">
      <c r="B31" s="153"/>
    </row>
    <row r="32" spans="1:11" x14ac:dyDescent="0.2">
      <c r="B32" s="153"/>
    </row>
    <row r="33" spans="2:2" x14ac:dyDescent="0.2">
      <c r="B33" s="153"/>
    </row>
    <row r="34" spans="2:2" x14ac:dyDescent="0.2">
      <c r="B34" s="153"/>
    </row>
    <row r="35" spans="2:2" x14ac:dyDescent="0.2">
      <c r="B35" s="153"/>
    </row>
  </sheetData>
  <autoFilter ref="A1:K26" xr:uid="{3F8A693C-55D9-45D1-B915-872AFC438D3B}"/>
  <mergeCells count="1">
    <mergeCell ref="B29:B35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Y7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:E29"/>
    </sheetView>
  </sheetViews>
  <sheetFormatPr baseColWidth="10" defaultColWidth="17.140625" defaultRowHeight="12.75" customHeight="1" x14ac:dyDescent="0.2"/>
  <cols>
    <col min="1" max="1" width="18.28515625" style="10" customWidth="1"/>
    <col min="2" max="2" width="31.42578125" style="10" customWidth="1"/>
    <col min="3" max="3" width="18.5703125" style="10" bestFit="1" customWidth="1"/>
    <col min="4" max="4" width="18.7109375" style="10" bestFit="1" customWidth="1"/>
    <col min="5" max="5" width="45.5703125" style="10" bestFit="1" customWidth="1"/>
    <col min="6" max="6" width="42.140625" style="10" customWidth="1"/>
    <col min="7" max="7" width="14" style="10" bestFit="1" customWidth="1"/>
    <col min="8" max="16384" width="17.140625" style="10"/>
  </cols>
  <sheetData>
    <row r="1" spans="1:155" s="9" customFormat="1" ht="12.75" customHeight="1" x14ac:dyDescent="0.2">
      <c r="A1" s="43" t="s">
        <v>121</v>
      </c>
      <c r="B1" s="43"/>
      <c r="C1" s="43"/>
      <c r="D1" s="43"/>
      <c r="E1" s="43"/>
      <c r="F1" s="43"/>
      <c r="G1" s="43"/>
    </row>
    <row r="2" spans="1:155" s="9" customFormat="1" ht="12.75" customHeight="1" x14ac:dyDescent="0.2">
      <c r="A2" s="99"/>
      <c r="B2" s="99"/>
      <c r="C2" s="99"/>
      <c r="D2" s="99"/>
      <c r="E2" s="99"/>
      <c r="F2" s="99"/>
      <c r="G2" s="99"/>
    </row>
    <row r="3" spans="1:155" s="9" customFormat="1" ht="14.25" x14ac:dyDescent="0.2">
      <c r="A3" s="102" t="s">
        <v>0</v>
      </c>
      <c r="B3" s="102" t="s">
        <v>1</v>
      </c>
      <c r="C3" s="102" t="s">
        <v>2</v>
      </c>
      <c r="D3" s="102" t="s">
        <v>16594</v>
      </c>
      <c r="E3" s="102" t="s">
        <v>135</v>
      </c>
      <c r="F3" s="102" t="s">
        <v>136</v>
      </c>
      <c r="G3" s="102" t="s">
        <v>137</v>
      </c>
    </row>
    <row r="4" spans="1:155" s="9" customFormat="1" ht="15" customHeight="1" x14ac:dyDescent="0.2">
      <c r="A4" s="103">
        <v>1</v>
      </c>
      <c r="B4" s="103" t="s">
        <v>16629</v>
      </c>
      <c r="C4" s="103" t="s">
        <v>16630</v>
      </c>
      <c r="D4" s="107" t="s">
        <v>16631</v>
      </c>
      <c r="E4" s="103" t="s">
        <v>16567</v>
      </c>
      <c r="F4" s="103" t="s">
        <v>16632</v>
      </c>
      <c r="G4" s="103" t="s">
        <v>16633</v>
      </c>
    </row>
    <row r="5" spans="1:155" s="13" customFormat="1" ht="15" customHeight="1" x14ac:dyDescent="0.2">
      <c r="A5" s="103">
        <v>2</v>
      </c>
      <c r="B5" s="103" t="s">
        <v>16634</v>
      </c>
      <c r="C5" s="103" t="s">
        <v>16635</v>
      </c>
      <c r="D5" s="107" t="s">
        <v>16635</v>
      </c>
      <c r="E5" s="103" t="s">
        <v>16568</v>
      </c>
      <c r="F5" s="103" t="s">
        <v>16636</v>
      </c>
      <c r="G5" s="103" t="s">
        <v>16637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88"/>
    </row>
    <row r="6" spans="1:155" s="13" customFormat="1" ht="15" customHeight="1" x14ac:dyDescent="0.2">
      <c r="A6" s="103">
        <v>3</v>
      </c>
      <c r="B6" s="103" t="s">
        <v>16638</v>
      </c>
      <c r="C6" s="103" t="s">
        <v>16639</v>
      </c>
      <c r="D6" s="107" t="s">
        <v>16639</v>
      </c>
      <c r="E6" s="103" t="s">
        <v>16569</v>
      </c>
      <c r="F6" s="103" t="s">
        <v>16640</v>
      </c>
      <c r="G6" s="103" t="s">
        <v>16641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88"/>
    </row>
    <row r="7" spans="1:155" s="8" customFormat="1" ht="15" customHeight="1" x14ac:dyDescent="0.2">
      <c r="A7" s="103">
        <v>4</v>
      </c>
      <c r="B7" s="103" t="s">
        <v>16642</v>
      </c>
      <c r="C7" s="103" t="s">
        <v>16643</v>
      </c>
      <c r="D7" s="107" t="s">
        <v>16644</v>
      </c>
      <c r="E7" s="103" t="s">
        <v>16570</v>
      </c>
      <c r="F7" s="103" t="s">
        <v>16645</v>
      </c>
      <c r="G7" s="103" t="s">
        <v>16646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89"/>
    </row>
    <row r="8" spans="1:155" s="13" customFormat="1" ht="15" customHeight="1" x14ac:dyDescent="0.2">
      <c r="A8" s="103">
        <v>5</v>
      </c>
      <c r="B8" s="103" t="s">
        <v>16647</v>
      </c>
      <c r="C8" s="103" t="s">
        <v>12</v>
      </c>
      <c r="D8" s="107" t="s">
        <v>12</v>
      </c>
      <c r="E8" s="103" t="s">
        <v>16571</v>
      </c>
      <c r="F8" s="103" t="s">
        <v>16648</v>
      </c>
      <c r="G8" s="103" t="s">
        <v>16649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88"/>
    </row>
    <row r="9" spans="1:155" s="9" customFormat="1" ht="15" customHeight="1" x14ac:dyDescent="0.2">
      <c r="A9" s="103">
        <v>6</v>
      </c>
      <c r="B9" s="103" t="s">
        <v>16650</v>
      </c>
      <c r="C9" s="103" t="s">
        <v>16651</v>
      </c>
      <c r="D9" s="107" t="s">
        <v>16651</v>
      </c>
      <c r="E9" s="103" t="s">
        <v>16572</v>
      </c>
      <c r="F9" s="103" t="s">
        <v>16652</v>
      </c>
      <c r="G9" s="103" t="s">
        <v>16653</v>
      </c>
    </row>
    <row r="10" spans="1:155" s="13" customFormat="1" ht="15" customHeight="1" x14ac:dyDescent="0.2">
      <c r="A10" s="103">
        <v>7</v>
      </c>
      <c r="B10" s="126" t="s">
        <v>16654</v>
      </c>
      <c r="C10" s="126" t="s">
        <v>16643</v>
      </c>
      <c r="D10" s="107" t="s">
        <v>16644</v>
      </c>
      <c r="E10" s="103" t="s">
        <v>16573</v>
      </c>
      <c r="F10" s="103" t="s">
        <v>16655</v>
      </c>
      <c r="G10" s="103" t="s">
        <v>16656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88"/>
    </row>
    <row r="11" spans="1:155" s="65" customFormat="1" ht="15" customHeight="1" x14ac:dyDescent="0.2">
      <c r="A11" s="103">
        <v>8</v>
      </c>
      <c r="B11" s="126" t="s">
        <v>16657</v>
      </c>
      <c r="C11" s="126" t="s">
        <v>16658</v>
      </c>
      <c r="D11" s="107" t="s">
        <v>16658</v>
      </c>
      <c r="E11" s="103" t="s">
        <v>16574</v>
      </c>
      <c r="F11" s="103" t="s">
        <v>16659</v>
      </c>
      <c r="G11" s="103">
        <v>681881791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</row>
    <row r="12" spans="1:155" s="65" customFormat="1" ht="15" customHeight="1" x14ac:dyDescent="0.2">
      <c r="A12" s="103">
        <v>9</v>
      </c>
      <c r="B12" s="103" t="s">
        <v>16660</v>
      </c>
      <c r="C12" s="103" t="s">
        <v>16661</v>
      </c>
      <c r="D12" s="107" t="s">
        <v>16661</v>
      </c>
      <c r="E12" s="103" t="s">
        <v>16575</v>
      </c>
      <c r="F12" s="103" t="s">
        <v>16662</v>
      </c>
      <c r="G12" s="103" t="s">
        <v>16663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</row>
    <row r="13" spans="1:155" s="9" customFormat="1" ht="15" customHeight="1" x14ac:dyDescent="0.2">
      <c r="A13" s="103">
        <v>10</v>
      </c>
      <c r="B13" s="103" t="s">
        <v>16664</v>
      </c>
      <c r="C13" s="103" t="s">
        <v>16665</v>
      </c>
      <c r="D13" s="107" t="s">
        <v>16665</v>
      </c>
      <c r="E13" s="123" t="s">
        <v>16576</v>
      </c>
      <c r="F13" s="123" t="s">
        <v>16666</v>
      </c>
      <c r="G13" s="103" t="s">
        <v>16667</v>
      </c>
    </row>
    <row r="14" spans="1:155" s="9" customFormat="1" ht="15" customHeight="1" x14ac:dyDescent="0.2">
      <c r="A14" s="103">
        <v>11</v>
      </c>
      <c r="B14" s="126" t="s">
        <v>16668</v>
      </c>
      <c r="C14" s="126" t="s">
        <v>16669</v>
      </c>
      <c r="D14" s="107" t="s">
        <v>16669</v>
      </c>
      <c r="E14" s="103" t="s">
        <v>16577</v>
      </c>
      <c r="F14" s="103" t="s">
        <v>16670</v>
      </c>
      <c r="G14" s="103" t="s">
        <v>16671</v>
      </c>
    </row>
    <row r="15" spans="1:155" s="9" customFormat="1" ht="15" customHeight="1" x14ac:dyDescent="0.2">
      <c r="A15" s="103">
        <v>12</v>
      </c>
      <c r="B15" s="103" t="s">
        <v>16672</v>
      </c>
      <c r="C15" s="103" t="s">
        <v>16673</v>
      </c>
      <c r="D15" s="107" t="s">
        <v>16673</v>
      </c>
      <c r="E15" s="103" t="s">
        <v>16578</v>
      </c>
      <c r="F15" s="103" t="s">
        <v>16674</v>
      </c>
      <c r="G15" s="103" t="s">
        <v>16675</v>
      </c>
    </row>
    <row r="16" spans="1:155" s="9" customFormat="1" ht="15" customHeight="1" x14ac:dyDescent="0.2">
      <c r="A16" s="103">
        <v>13</v>
      </c>
      <c r="B16" s="103" t="s">
        <v>16676</v>
      </c>
      <c r="C16" s="103" t="s">
        <v>16677</v>
      </c>
      <c r="D16" s="107" t="s">
        <v>16677</v>
      </c>
      <c r="E16" s="103" t="s">
        <v>16579</v>
      </c>
      <c r="F16" s="103" t="s">
        <v>16678</v>
      </c>
      <c r="G16" s="103" t="s">
        <v>16679</v>
      </c>
    </row>
    <row r="17" spans="1:155" s="9" customFormat="1" ht="15" customHeight="1" x14ac:dyDescent="0.2">
      <c r="A17" s="103">
        <v>14</v>
      </c>
      <c r="B17" s="103" t="s">
        <v>16680</v>
      </c>
      <c r="C17" s="103" t="s">
        <v>16681</v>
      </c>
      <c r="D17" s="107" t="s">
        <v>16682</v>
      </c>
      <c r="E17" s="103" t="s">
        <v>16580</v>
      </c>
      <c r="F17" s="103" t="s">
        <v>16683</v>
      </c>
      <c r="G17" s="103" t="s">
        <v>16684</v>
      </c>
    </row>
    <row r="18" spans="1:155" s="9" customFormat="1" ht="15" customHeight="1" x14ac:dyDescent="0.2">
      <c r="A18" s="103">
        <v>15</v>
      </c>
      <c r="B18" s="126" t="s">
        <v>16685</v>
      </c>
      <c r="C18" s="126" t="s">
        <v>16686</v>
      </c>
      <c r="D18" s="107" t="s">
        <v>16686</v>
      </c>
      <c r="E18" s="103" t="s">
        <v>16581</v>
      </c>
      <c r="F18" s="103" t="s">
        <v>16687</v>
      </c>
      <c r="G18" s="103" t="s">
        <v>16688</v>
      </c>
    </row>
    <row r="19" spans="1:155" s="9" customFormat="1" ht="15" customHeight="1" x14ac:dyDescent="0.2">
      <c r="A19" s="103">
        <v>16</v>
      </c>
      <c r="B19" s="103" t="s">
        <v>16689</v>
      </c>
      <c r="C19" s="103" t="s">
        <v>16643</v>
      </c>
      <c r="D19" s="107" t="s">
        <v>16690</v>
      </c>
      <c r="E19" s="103" t="s">
        <v>16582</v>
      </c>
      <c r="F19" s="103" t="s">
        <v>16691</v>
      </c>
      <c r="G19" s="103" t="s">
        <v>16692</v>
      </c>
    </row>
    <row r="20" spans="1:155" s="9" customFormat="1" ht="15" customHeight="1" x14ac:dyDescent="0.2">
      <c r="A20" s="103">
        <v>17</v>
      </c>
      <c r="B20" s="126" t="s">
        <v>16693</v>
      </c>
      <c r="C20" s="126" t="s">
        <v>16694</v>
      </c>
      <c r="D20" s="107" t="s">
        <v>16695</v>
      </c>
      <c r="E20" s="103" t="s">
        <v>16583</v>
      </c>
      <c r="F20" s="103" t="s">
        <v>16696</v>
      </c>
      <c r="G20" s="103" t="s">
        <v>16697</v>
      </c>
    </row>
    <row r="21" spans="1:155" s="9" customFormat="1" ht="15" customHeight="1" x14ac:dyDescent="0.2">
      <c r="A21" s="103">
        <v>18</v>
      </c>
      <c r="B21" s="103" t="s">
        <v>16698</v>
      </c>
      <c r="C21" s="103" t="s">
        <v>16699</v>
      </c>
      <c r="D21" s="107" t="s">
        <v>16699</v>
      </c>
      <c r="E21" s="103" t="s">
        <v>16584</v>
      </c>
      <c r="F21" s="103" t="s">
        <v>16700</v>
      </c>
      <c r="G21" s="103" t="s">
        <v>16701</v>
      </c>
    </row>
    <row r="22" spans="1:155" s="9" customFormat="1" ht="15" customHeight="1" x14ac:dyDescent="0.2">
      <c r="A22" s="103">
        <v>19</v>
      </c>
      <c r="B22" s="103" t="s">
        <v>16702</v>
      </c>
      <c r="C22" s="103" t="s">
        <v>16703</v>
      </c>
      <c r="D22" s="107" t="s">
        <v>16703</v>
      </c>
      <c r="E22" s="103" t="s">
        <v>16585</v>
      </c>
      <c r="F22" s="103" t="s">
        <v>16704</v>
      </c>
      <c r="G22" s="103" t="s">
        <v>16705</v>
      </c>
    </row>
    <row r="23" spans="1:155" s="9" customFormat="1" ht="15" customHeight="1" x14ac:dyDescent="0.2">
      <c r="A23" s="103">
        <v>20</v>
      </c>
      <c r="B23" s="103" t="s">
        <v>16706</v>
      </c>
      <c r="C23" s="103" t="s">
        <v>16707</v>
      </c>
      <c r="D23" s="107" t="s">
        <v>16707</v>
      </c>
      <c r="E23" s="103" t="s">
        <v>16586</v>
      </c>
      <c r="F23" s="103" t="s">
        <v>16708</v>
      </c>
      <c r="G23" s="103" t="s">
        <v>16709</v>
      </c>
    </row>
    <row r="24" spans="1:155" s="9" customFormat="1" ht="15" customHeight="1" x14ac:dyDescent="0.2">
      <c r="A24" s="103">
        <v>21</v>
      </c>
      <c r="B24" s="103" t="s">
        <v>16710</v>
      </c>
      <c r="C24" s="103" t="s">
        <v>16711</v>
      </c>
      <c r="D24" s="107" t="s">
        <v>16711</v>
      </c>
      <c r="E24" s="103" t="s">
        <v>16587</v>
      </c>
      <c r="F24" s="103" t="s">
        <v>16712</v>
      </c>
      <c r="G24" s="103" t="s">
        <v>16713</v>
      </c>
    </row>
    <row r="25" spans="1:155" s="9" customFormat="1" ht="15" customHeight="1" x14ac:dyDescent="0.2">
      <c r="A25" s="103">
        <v>22</v>
      </c>
      <c r="B25" s="103" t="s">
        <v>16714</v>
      </c>
      <c r="C25" s="103" t="s">
        <v>16715</v>
      </c>
      <c r="D25" s="107" t="s">
        <v>16715</v>
      </c>
      <c r="E25" s="123" t="s">
        <v>16588</v>
      </c>
      <c r="F25" s="123" t="s">
        <v>16716</v>
      </c>
      <c r="G25" s="103" t="s">
        <v>16717</v>
      </c>
    </row>
    <row r="26" spans="1:155" s="9" customFormat="1" ht="15" customHeight="1" x14ac:dyDescent="0.2">
      <c r="A26" s="103">
        <v>23</v>
      </c>
      <c r="B26" s="103" t="s">
        <v>16718</v>
      </c>
      <c r="C26" s="103" t="s">
        <v>16635</v>
      </c>
      <c r="D26" s="107" t="s">
        <v>16719</v>
      </c>
      <c r="E26" s="103" t="s">
        <v>16589</v>
      </c>
      <c r="F26" s="103" t="s">
        <v>16720</v>
      </c>
      <c r="G26" s="103" t="s">
        <v>16721</v>
      </c>
    </row>
    <row r="27" spans="1:155" s="13" customFormat="1" ht="15" customHeight="1" x14ac:dyDescent="0.2">
      <c r="A27" s="103">
        <v>24</v>
      </c>
      <c r="B27" s="103" t="s">
        <v>16722</v>
      </c>
      <c r="C27" s="103" t="s">
        <v>16643</v>
      </c>
      <c r="D27" s="107" t="s">
        <v>16644</v>
      </c>
      <c r="E27" s="123" t="s">
        <v>16590</v>
      </c>
      <c r="F27" s="123" t="s">
        <v>16723</v>
      </c>
      <c r="G27" s="103" t="s">
        <v>16724</v>
      </c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88"/>
    </row>
    <row r="28" spans="1:155" s="65" customFormat="1" ht="15" customHeight="1" x14ac:dyDescent="0.2">
      <c r="A28" s="103">
        <v>25</v>
      </c>
      <c r="B28" s="103" t="s">
        <v>16725</v>
      </c>
      <c r="C28" s="103" t="s">
        <v>16726</v>
      </c>
      <c r="D28" s="107" t="s">
        <v>16726</v>
      </c>
      <c r="E28" s="103" t="s">
        <v>16591</v>
      </c>
      <c r="F28" s="103" t="s">
        <v>16727</v>
      </c>
      <c r="G28" s="103" t="s">
        <v>16728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</row>
    <row r="29" spans="1:155" s="65" customFormat="1" ht="15" customHeight="1" x14ac:dyDescent="0.2">
      <c r="A29" s="103">
        <v>26</v>
      </c>
      <c r="B29" s="126" t="s">
        <v>16729</v>
      </c>
      <c r="C29" s="126" t="s">
        <v>45</v>
      </c>
      <c r="D29" s="107" t="s">
        <v>45</v>
      </c>
      <c r="E29" s="103" t="s">
        <v>16592</v>
      </c>
      <c r="F29" s="103" t="s">
        <v>16730</v>
      </c>
      <c r="G29" s="103" t="s">
        <v>16731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ED29" s="51"/>
      <c r="EE29" s="51"/>
      <c r="EF29" s="51"/>
      <c r="EG29" s="51"/>
      <c r="EH29" s="51"/>
      <c r="EI29" s="51"/>
      <c r="EJ29" s="51"/>
      <c r="EK29" s="51"/>
      <c r="EL29" s="51"/>
      <c r="EM29" s="51"/>
      <c r="EN29" s="51"/>
      <c r="EO29" s="51"/>
      <c r="EP29" s="51"/>
      <c r="EQ29" s="51"/>
      <c r="ER29" s="51"/>
      <c r="ES29" s="51"/>
      <c r="ET29" s="51"/>
      <c r="EU29" s="51"/>
      <c r="EV29" s="51"/>
      <c r="EW29" s="51"/>
      <c r="EX29" s="51"/>
    </row>
    <row r="30" spans="1:155" s="9" customFormat="1" x14ac:dyDescent="0.2">
      <c r="A30" s="100"/>
      <c r="B30" s="101"/>
      <c r="C30" s="101"/>
      <c r="D30" s="101"/>
      <c r="E30" s="101"/>
      <c r="F30" s="101"/>
      <c r="G30" s="101"/>
    </row>
    <row r="31" spans="1:155" s="9" customFormat="1" ht="12.75" customHeight="1" x14ac:dyDescent="0.2">
      <c r="A31" s="46"/>
      <c r="B31" s="47"/>
      <c r="C31" s="47"/>
      <c r="D31" s="47"/>
      <c r="E31" s="47"/>
      <c r="F31" s="47"/>
      <c r="G31" s="47"/>
    </row>
    <row r="32" spans="1:155" s="9" customFormat="1" ht="12.75" customHeight="1" x14ac:dyDescent="0.2"/>
    <row r="33" spans="1:7" s="9" customFormat="1" ht="25.5" x14ac:dyDescent="0.2">
      <c r="A33" s="48" t="s">
        <v>151</v>
      </c>
      <c r="B33" s="48"/>
      <c r="C33" s="48"/>
      <c r="D33" s="49"/>
      <c r="E33" s="49"/>
    </row>
    <row r="34" spans="1:7" s="9" customFormat="1" x14ac:dyDescent="0.2">
      <c r="A34" s="43" t="s">
        <v>148</v>
      </c>
      <c r="B34" s="43"/>
      <c r="C34" s="43" t="s">
        <v>153</v>
      </c>
    </row>
    <row r="35" spans="1:7" s="9" customFormat="1" ht="25.5" x14ac:dyDescent="0.2">
      <c r="A35" s="43" t="s">
        <v>156</v>
      </c>
      <c r="B35" s="43" t="s">
        <v>139</v>
      </c>
      <c r="C35" s="43" t="s">
        <v>157</v>
      </c>
      <c r="F35" s="15"/>
      <c r="G35" s="15"/>
    </row>
    <row r="36" spans="1:7" s="9" customFormat="1" ht="140.25" x14ac:dyDescent="0.2">
      <c r="A36" s="43" t="s">
        <v>158</v>
      </c>
      <c r="B36" s="43" t="s">
        <v>140</v>
      </c>
      <c r="C36" s="43" t="s">
        <v>157</v>
      </c>
      <c r="G36" s="54" t="s">
        <v>159</v>
      </c>
    </row>
    <row r="37" spans="1:7" s="9" customFormat="1" ht="38.25" x14ac:dyDescent="0.2">
      <c r="A37" s="43" t="s">
        <v>160</v>
      </c>
      <c r="B37" s="43" t="s">
        <v>141</v>
      </c>
      <c r="C37" s="43" t="s">
        <v>157</v>
      </c>
    </row>
    <row r="38" spans="1:7" s="9" customFormat="1" ht="64.5" customHeight="1" x14ac:dyDescent="0.2">
      <c r="A38" s="43" t="s">
        <v>161</v>
      </c>
      <c r="B38" s="43" t="s">
        <v>142</v>
      </c>
      <c r="C38" s="43" t="s">
        <v>162</v>
      </c>
    </row>
    <row r="39" spans="1:7" s="9" customFormat="1" ht="102" x14ac:dyDescent="0.2">
      <c r="A39" s="43" t="s">
        <v>163</v>
      </c>
      <c r="B39" s="43" t="s">
        <v>143</v>
      </c>
      <c r="C39" s="43" t="s">
        <v>16732</v>
      </c>
    </row>
    <row r="40" spans="1:7" s="9" customFormat="1" ht="63.75" x14ac:dyDescent="0.2">
      <c r="A40" s="43" t="s">
        <v>165</v>
      </c>
      <c r="B40" s="43" t="s">
        <v>144</v>
      </c>
      <c r="C40" s="43" t="s">
        <v>166</v>
      </c>
    </row>
    <row r="41" spans="1:7" s="9" customFormat="1" ht="38.25" x14ac:dyDescent="0.2">
      <c r="A41" s="43" t="s">
        <v>167</v>
      </c>
      <c r="B41" s="43" t="s">
        <v>168</v>
      </c>
      <c r="C41" s="43"/>
    </row>
    <row r="42" spans="1:7" s="9" customFormat="1" ht="25.5" x14ac:dyDescent="0.2">
      <c r="A42" s="43" t="s">
        <v>169</v>
      </c>
      <c r="B42" s="43" t="s">
        <v>170</v>
      </c>
      <c r="C42" s="43" t="s">
        <v>171</v>
      </c>
    </row>
    <row r="43" spans="1:7" s="9" customFormat="1" x14ac:dyDescent="0.2">
      <c r="A43" s="46"/>
      <c r="B43" s="46"/>
      <c r="C43" s="46"/>
    </row>
    <row r="44" spans="1:7" s="9" customFormat="1" x14ac:dyDescent="0.2">
      <c r="F44" s="54"/>
      <c r="G44" s="54"/>
    </row>
    <row r="45" spans="1:7" s="9" customFormat="1" x14ac:dyDescent="0.2"/>
    <row r="46" spans="1:7" s="9" customFormat="1" x14ac:dyDescent="0.2">
      <c r="A46" s="49" t="s">
        <v>124</v>
      </c>
      <c r="B46" s="49"/>
      <c r="C46" s="49"/>
      <c r="D46" s="49"/>
      <c r="E46" s="49"/>
      <c r="F46" s="54"/>
      <c r="G46" s="54"/>
    </row>
    <row r="47" spans="1:7" s="9" customFormat="1" ht="25.5" x14ac:dyDescent="0.2">
      <c r="A47" s="50" t="s">
        <v>172</v>
      </c>
      <c r="B47" s="50" t="e">
        <f>COUNTBLANK(#REF!)</f>
        <v>#REF!</v>
      </c>
      <c r="C47" s="50" t="s">
        <v>173</v>
      </c>
      <c r="D47" s="50"/>
      <c r="E47" s="50"/>
    </row>
    <row r="48" spans="1:7" s="9" customFormat="1" x14ac:dyDescent="0.2">
      <c r="A48" s="50" t="s">
        <v>174</v>
      </c>
      <c r="B48" s="50">
        <v>5.5</v>
      </c>
      <c r="C48" s="50"/>
      <c r="D48" s="50"/>
      <c r="E48" s="50"/>
    </row>
    <row r="49" spans="1:181" s="9" customFormat="1" ht="76.5" x14ac:dyDescent="0.2">
      <c r="A49" s="50" t="s">
        <v>175</v>
      </c>
      <c r="B49" s="50" t="e">
        <f>B47*B48</f>
        <v>#REF!</v>
      </c>
      <c r="C49" s="50" t="s">
        <v>176</v>
      </c>
      <c r="D49" s="50"/>
      <c r="E49" s="50"/>
    </row>
    <row r="50" spans="1:181" s="9" customFormat="1" x14ac:dyDescent="0.2">
      <c r="A50" s="50"/>
      <c r="B50" s="50"/>
      <c r="C50" s="50"/>
      <c r="D50" s="50"/>
      <c r="E50" s="50"/>
    </row>
    <row r="51" spans="1:181" s="9" customFormat="1" ht="25.5" x14ac:dyDescent="0.2">
      <c r="A51" s="50" t="s">
        <v>177</v>
      </c>
      <c r="B51" s="50">
        <v>946</v>
      </c>
      <c r="C51" s="50"/>
      <c r="D51" s="50"/>
      <c r="E51" s="50"/>
    </row>
    <row r="52" spans="1:181" s="9" customFormat="1" ht="12.75" customHeight="1" x14ac:dyDescent="0.2"/>
    <row r="53" spans="1:181" s="9" customFormat="1" ht="12.75" customHeight="1" x14ac:dyDescent="0.2"/>
    <row r="54" spans="1:181" s="9" customFormat="1" ht="12.75" customHeight="1" x14ac:dyDescent="0.2"/>
    <row r="55" spans="1:181" s="9" customFormat="1" ht="12.75" customHeight="1" x14ac:dyDescent="0.2"/>
    <row r="56" spans="1:181" s="9" customFormat="1" ht="12.75" customHeight="1" x14ac:dyDescent="0.2"/>
    <row r="57" spans="1:181" s="9" customFormat="1" ht="12.75" customHeight="1" x14ac:dyDescent="0.2"/>
    <row r="58" spans="1:181" s="9" customFormat="1" ht="12.75" customHeight="1" x14ac:dyDescent="0.2"/>
    <row r="59" spans="1:181" s="9" customFormat="1" ht="12.75" customHeight="1" x14ac:dyDescent="0.2"/>
    <row r="60" spans="1:181" s="9" customFormat="1" ht="12.75" customHeight="1" x14ac:dyDescent="0.2"/>
    <row r="61" spans="1:181" s="9" customFormat="1" ht="12.75" customHeight="1" x14ac:dyDescent="0.2"/>
    <row r="62" spans="1:181" s="9" customFormat="1" ht="12.75" customHeight="1" x14ac:dyDescent="0.2"/>
    <row r="63" spans="1:181" ht="12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</row>
    <row r="64" spans="1:181" ht="12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</row>
    <row r="65" spans="1:181" ht="12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</row>
    <row r="66" spans="1:181" ht="12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</row>
    <row r="67" spans="1:181" ht="12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</row>
    <row r="68" spans="1:181" ht="12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</row>
    <row r="69" spans="1:181" ht="12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</row>
    <row r="70" spans="1:181" ht="12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</row>
    <row r="71" spans="1:181" ht="12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</row>
    <row r="72" spans="1:181" ht="12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</row>
    <row r="73" spans="1:181" ht="12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</row>
  </sheetData>
  <phoneticPr fontId="12" type="noConversion"/>
  <hyperlinks>
    <hyperlink ref="E4" r:id="rId1" xr:uid="{995438E3-C4F0-41BC-994F-FCB639FC73B1}"/>
    <hyperlink ref="E25" r:id="rId2" xr:uid="{08CC12F7-49C0-406F-A0EA-516421DDAD46}"/>
    <hyperlink ref="F25" r:id="rId3" xr:uid="{DD5EC14B-FA53-40BE-9A11-8FCB3A5991E2}"/>
    <hyperlink ref="E13" r:id="rId4" xr:uid="{86AEB4E9-C8FD-4A40-8AE4-87118E5AF3CA}"/>
    <hyperlink ref="F13" r:id="rId5" xr:uid="{D075B529-160F-4610-A124-02E13AB01A60}"/>
    <hyperlink ref="E27" r:id="rId6" xr:uid="{4EED41EF-5E04-414E-8B5B-C2107A530D56}"/>
    <hyperlink ref="F27" r:id="rId7" xr:uid="{09E76205-70E3-435D-AF93-E12BB3F11327}"/>
  </hyperlinks>
  <pageMargins left="0.7" right="0.7" top="0.75" bottom="0.75" header="0.3" footer="0.3"/>
  <pageSetup paperSize="9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EF85203D88DF4EBB7434AD21C9AD14" ma:contentTypeVersion="15" ma:contentTypeDescription="Crear nuevo documento." ma:contentTypeScope="" ma:versionID="5aa7fba9e5ee0a5c479898febb39d3df">
  <xsd:schema xmlns:xsd="http://www.w3.org/2001/XMLSchema" xmlns:xs="http://www.w3.org/2001/XMLSchema" xmlns:p="http://schemas.microsoft.com/office/2006/metadata/properties" xmlns:ns2="dc4a1636-8a38-428b-ab2c-361d809b0d21" xmlns:ns3="102e1a5d-7f29-4387-8e03-a6a08134098d" targetNamespace="http://schemas.microsoft.com/office/2006/metadata/properties" ma:root="true" ma:fieldsID="f7df8780f26f2e44eaa66fd5a6b2093c" ns2:_="" ns3:_="">
    <xsd:import namespace="dc4a1636-8a38-428b-ab2c-361d809b0d21"/>
    <xsd:import namespace="102e1a5d-7f29-4387-8e03-a6a081340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a1636-8a38-428b-ab2c-361d809b0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a1f5335-b09a-4a83-a63e-967bd6a3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e1a5d-7f29-4387-8e03-a6a08134098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73ea2f6-afe8-4e33-a2bc-c5dbd7df37b4}" ma:internalName="TaxCatchAll" ma:showField="CatchAllData" ma:web="102e1a5d-7f29-4387-8e03-a6a081340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4a1636-8a38-428b-ab2c-361d809b0d21">
      <Terms xmlns="http://schemas.microsoft.com/office/infopath/2007/PartnerControls"/>
    </lcf76f155ced4ddcb4097134ff3c332f>
    <TaxCatchAll xmlns="102e1a5d-7f29-4387-8e03-a6a08134098d" xsi:nil="true"/>
    <SharedWithUsers xmlns="102e1a5d-7f29-4387-8e03-a6a08134098d">
      <UserInfo>
        <DisplayName>Carlos Serra Martinez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5275FA3-F435-49E9-9EB7-E3C36B8876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4a1636-8a38-428b-ab2c-361d809b0d21"/>
    <ds:schemaRef ds:uri="102e1a5d-7f29-4387-8e03-a6a0813409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750CC3-A103-4C5F-9AD9-D495BFBD1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467FD6-ADCB-4D87-8D09-01641C7B9502}">
  <ds:schemaRefs>
    <ds:schemaRef ds:uri="http://schemas.microsoft.com/office/2006/metadata/properties"/>
    <ds:schemaRef ds:uri="http://schemas.microsoft.com/office/infopath/2007/PartnerControls"/>
    <ds:schemaRef ds:uri="dc4a1636-8a38-428b-ab2c-361d809b0d21"/>
    <ds:schemaRef ds:uri="102e1a5d-7f29-4387-8e03-a6a0813409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Informe cualitativo</vt:lpstr>
      <vt:lpstr>Total asistencia bueno</vt:lpstr>
      <vt:lpstr>Equipos encendidos</vt:lpstr>
      <vt:lpstr>Mayo</vt:lpstr>
      <vt:lpstr>Abril</vt:lpstr>
      <vt:lpstr>Marzo</vt:lpstr>
      <vt:lpstr>Febrero</vt:lpstr>
      <vt:lpstr>Enero</vt:lpstr>
      <vt:lpstr>Diciembre</vt:lpstr>
      <vt:lpstr>Noviembre</vt:lpstr>
      <vt:lpstr>Octubre</vt:lpstr>
      <vt:lpstr>Junio</vt:lpstr>
      <vt:lpstr>Totales</vt:lpstr>
      <vt:lpstr>Fotos</vt:lpstr>
      <vt:lpstr>Notas</vt:lpstr>
      <vt:lpstr>Proyectos</vt:lpstr>
      <vt:lpstr>Informe 1</vt:lpstr>
      <vt:lpstr>Listado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Bou</dc:creator>
  <cp:keywords/>
  <dc:description/>
  <cp:lastModifiedBy>Francisco García Serrano</cp:lastModifiedBy>
  <cp:revision/>
  <dcterms:created xsi:type="dcterms:W3CDTF">2013-06-11T11:28:05Z</dcterms:created>
  <dcterms:modified xsi:type="dcterms:W3CDTF">2026-05-20T09:05:15Z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0x010100D3EF85203D88DF4EBB7434AD21C9AD14</vt:lpwstr>
  </property>
  <property fmtid="{D5CDD505-2E9C-101B-9397-08002B2CF9AE}" pid="3" name="_dlc_DocIdItemGuid">
    <vt:lpwstr>e64abd34-a723-4f47-a8a0-30772ba1e50b</vt:lpwstr>
  </property>
  <property fmtid="{D5CDD505-2E9C-101B-9397-08002B2CF9AE}" pid="4" name="AuthorIds_UIVersion_309760">
    <vt:lpwstr>12</vt:lpwstr>
  </property>
  <property fmtid="{D5CDD505-2E9C-101B-9397-08002B2CF9AE}" pid="5" name="MediaServiceImageTags">
    <vt:lpwstr/>
  </property>
</Properties>
</file>